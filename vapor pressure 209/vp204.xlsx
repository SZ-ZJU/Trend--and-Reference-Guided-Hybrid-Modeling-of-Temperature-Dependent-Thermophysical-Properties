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vapor pressure 209\"/>
    </mc:Choice>
  </mc:AlternateContent>
  <xr:revisionPtr revIDLastSave="0" documentId="13_ncr:1_{44C4CD42-5964-4724-9BE2-6FC2EC07B29B}" xr6:coauthVersionLast="47" xr6:coauthVersionMax="47" xr10:uidLastSave="{00000000-0000-0000-0000-000000000000}"/>
  <bookViews>
    <workbookView minimized="1" xWindow="10770" yWindow="340" windowWidth="7500" windowHeight="6000" firstSheet="1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X2" i="2" l="1"/>
  <c r="BJ205" i="3"/>
  <c r="BH205" i="3"/>
  <c r="I205" i="3"/>
  <c r="BJ204" i="3"/>
  <c r="BH204" i="3"/>
  <c r="I204" i="3"/>
  <c r="BJ203" i="3"/>
  <c r="BH203" i="3"/>
  <c r="I203" i="3"/>
  <c r="BJ202" i="3"/>
  <c r="BH202" i="3"/>
  <c r="I202" i="3"/>
  <c r="BJ201" i="3"/>
  <c r="BH201" i="3"/>
  <c r="I201" i="3"/>
  <c r="BJ200" i="3"/>
  <c r="BH200" i="3"/>
  <c r="I200" i="3"/>
  <c r="BJ199" i="3"/>
  <c r="BH199" i="3"/>
  <c r="I199" i="3"/>
  <c r="BJ198" i="3"/>
  <c r="BH198" i="3"/>
  <c r="I198" i="3"/>
  <c r="BJ197" i="3"/>
  <c r="BH197" i="3"/>
  <c r="I197" i="3"/>
  <c r="BJ196" i="3"/>
  <c r="BH196" i="3"/>
  <c r="I196" i="3"/>
  <c r="BJ195" i="3"/>
  <c r="BH195" i="3"/>
  <c r="I195" i="3"/>
  <c r="BJ194" i="3"/>
  <c r="BH194" i="3"/>
  <c r="I194" i="3"/>
  <c r="BJ193" i="3"/>
  <c r="BH193" i="3"/>
  <c r="I193" i="3"/>
  <c r="BJ192" i="3"/>
  <c r="BH192" i="3"/>
  <c r="I192" i="3"/>
  <c r="BJ191" i="3"/>
  <c r="BH191" i="3"/>
  <c r="I191" i="3"/>
  <c r="BJ190" i="3"/>
  <c r="BH190" i="3"/>
  <c r="I190" i="3"/>
  <c r="BJ189" i="3"/>
  <c r="BH189" i="3"/>
  <c r="I189" i="3"/>
  <c r="BJ188" i="3"/>
  <c r="BH188" i="3"/>
  <c r="I188" i="3"/>
  <c r="BJ187" i="3"/>
  <c r="BH187" i="3"/>
  <c r="I187" i="3"/>
  <c r="BJ186" i="3"/>
  <c r="BH186" i="3"/>
  <c r="I186" i="3"/>
  <c r="BJ185" i="3"/>
  <c r="BH185" i="3"/>
  <c r="I185" i="3"/>
  <c r="BJ184" i="3"/>
  <c r="BH184" i="3"/>
  <c r="I184" i="3"/>
  <c r="BJ183" i="3"/>
  <c r="BH183" i="3"/>
  <c r="I183" i="3"/>
  <c r="BJ182" i="3"/>
  <c r="BH182" i="3"/>
  <c r="I182" i="3"/>
  <c r="BJ181" i="3"/>
  <c r="BH181" i="3"/>
  <c r="I181" i="3"/>
  <c r="BJ180" i="3"/>
  <c r="BH180" i="3"/>
  <c r="I180" i="3"/>
  <c r="BJ179" i="3"/>
  <c r="BH179" i="3"/>
  <c r="I179" i="3"/>
  <c r="BJ178" i="3"/>
  <c r="BH178" i="3"/>
  <c r="I178" i="3"/>
  <c r="BJ177" i="3"/>
  <c r="BH177" i="3"/>
  <c r="I177" i="3"/>
  <c r="BJ176" i="3"/>
  <c r="BH176" i="3"/>
  <c r="I176" i="3"/>
  <c r="BJ175" i="3"/>
  <c r="BH175" i="3"/>
  <c r="I175" i="3"/>
  <c r="BJ174" i="3"/>
  <c r="BH174" i="3"/>
  <c r="I174" i="3"/>
  <c r="BJ173" i="3"/>
  <c r="BH173" i="3"/>
  <c r="I173" i="3"/>
  <c r="BJ172" i="3"/>
  <c r="BH172" i="3"/>
  <c r="I172" i="3"/>
  <c r="BJ171" i="3"/>
  <c r="BH171" i="3"/>
  <c r="I171" i="3"/>
  <c r="BJ170" i="3"/>
  <c r="BH170" i="3"/>
  <c r="I170" i="3"/>
  <c r="BJ169" i="3"/>
  <c r="BH169" i="3"/>
  <c r="I169" i="3"/>
  <c r="BJ168" i="3"/>
  <c r="BH168" i="3"/>
  <c r="I168" i="3"/>
  <c r="BJ167" i="3"/>
  <c r="BH167" i="3"/>
  <c r="I167" i="3"/>
  <c r="BJ166" i="3"/>
  <c r="BH166" i="3"/>
  <c r="I166" i="3"/>
  <c r="BJ165" i="3"/>
  <c r="BH165" i="3"/>
  <c r="I165" i="3"/>
  <c r="BJ164" i="3"/>
  <c r="BH164" i="3"/>
  <c r="I164" i="3"/>
  <c r="BJ163" i="3"/>
  <c r="BH163" i="3"/>
  <c r="I163" i="3"/>
  <c r="BJ162" i="3"/>
  <c r="BH162" i="3"/>
  <c r="I162" i="3"/>
  <c r="BJ161" i="3"/>
  <c r="BH161" i="3"/>
  <c r="I161" i="3"/>
  <c r="BJ160" i="3"/>
  <c r="BH160" i="3"/>
  <c r="I160" i="3"/>
  <c r="BJ159" i="3"/>
  <c r="BH159" i="3"/>
  <c r="I159" i="3"/>
  <c r="BJ158" i="3"/>
  <c r="BH158" i="3"/>
  <c r="I158" i="3"/>
  <c r="BJ157" i="3"/>
  <c r="BH157" i="3"/>
  <c r="I157" i="3"/>
  <c r="BJ156" i="3"/>
  <c r="BH156" i="3"/>
  <c r="I156" i="3"/>
  <c r="BJ155" i="3"/>
  <c r="BH155" i="3"/>
  <c r="I155" i="3"/>
  <c r="BJ154" i="3"/>
  <c r="BH154" i="3"/>
  <c r="I154" i="3"/>
  <c r="BJ153" i="3"/>
  <c r="BH153" i="3"/>
  <c r="I153" i="3"/>
  <c r="BJ152" i="3"/>
  <c r="BH152" i="3"/>
  <c r="I152" i="3"/>
  <c r="BJ151" i="3"/>
  <c r="BH151" i="3"/>
  <c r="I151" i="3"/>
  <c r="BJ150" i="3"/>
  <c r="BH150" i="3"/>
  <c r="I150" i="3"/>
  <c r="BJ149" i="3"/>
  <c r="BH149" i="3"/>
  <c r="I149" i="3"/>
  <c r="BJ148" i="3"/>
  <c r="BH148" i="3"/>
  <c r="I148" i="3"/>
  <c r="BJ147" i="3"/>
  <c r="BH147" i="3"/>
  <c r="I147" i="3"/>
  <c r="BJ146" i="3"/>
  <c r="BH146" i="3"/>
  <c r="I146" i="3"/>
  <c r="BJ145" i="3"/>
  <c r="BH145" i="3"/>
  <c r="I145" i="3"/>
  <c r="BJ144" i="3"/>
  <c r="BH144" i="3"/>
  <c r="I144" i="3"/>
  <c r="BJ143" i="3"/>
  <c r="BH143" i="3"/>
  <c r="I143" i="3"/>
  <c r="BJ142" i="3"/>
  <c r="BH142" i="3"/>
  <c r="I142" i="3"/>
  <c r="BJ141" i="3"/>
  <c r="BH141" i="3"/>
  <c r="I141" i="3"/>
  <c r="BJ140" i="3"/>
  <c r="BH140" i="3"/>
  <c r="I140" i="3"/>
  <c r="BJ139" i="3"/>
  <c r="BH139" i="3"/>
  <c r="I139" i="3"/>
  <c r="BJ138" i="3"/>
  <c r="BH138" i="3"/>
  <c r="I138" i="3"/>
  <c r="BJ137" i="3"/>
  <c r="BH137" i="3"/>
  <c r="I137" i="3"/>
  <c r="BJ136" i="3"/>
  <c r="BH136" i="3"/>
  <c r="I136" i="3"/>
  <c r="BJ135" i="3"/>
  <c r="BH135" i="3"/>
  <c r="I135" i="3"/>
  <c r="BJ134" i="3"/>
  <c r="BH134" i="3"/>
  <c r="I134" i="3"/>
  <c r="BJ133" i="3"/>
  <c r="BH133" i="3"/>
  <c r="I133" i="3"/>
  <c r="BJ132" i="3"/>
  <c r="BH132" i="3"/>
  <c r="I132" i="3"/>
  <c r="BJ131" i="3"/>
  <c r="BH131" i="3"/>
  <c r="I131" i="3"/>
  <c r="BJ130" i="3"/>
  <c r="BH130" i="3"/>
  <c r="I130" i="3"/>
  <c r="BJ129" i="3"/>
  <c r="BH129" i="3"/>
  <c r="I129" i="3"/>
  <c r="BJ128" i="3"/>
  <c r="BH128" i="3"/>
  <c r="I128" i="3"/>
  <c r="BJ127" i="3"/>
  <c r="BH127" i="3"/>
  <c r="I127" i="3"/>
  <c r="BJ126" i="3"/>
  <c r="BH126" i="3"/>
  <c r="I126" i="3"/>
  <c r="BJ125" i="3"/>
  <c r="BH125" i="3"/>
  <c r="I125" i="3"/>
  <c r="BJ124" i="3"/>
  <c r="BH124" i="3"/>
  <c r="I124" i="3"/>
  <c r="BJ123" i="3"/>
  <c r="BH123" i="3"/>
  <c r="I123" i="3"/>
  <c r="BJ122" i="3"/>
  <c r="BH122" i="3"/>
  <c r="I122" i="3"/>
  <c r="BJ121" i="3"/>
  <c r="BH121" i="3"/>
  <c r="I121" i="3"/>
  <c r="BJ120" i="3"/>
  <c r="BH120" i="3"/>
  <c r="I120" i="3"/>
  <c r="BJ119" i="3"/>
  <c r="BH119" i="3"/>
  <c r="I119" i="3"/>
  <c r="BJ118" i="3"/>
  <c r="BH118" i="3"/>
  <c r="I118" i="3"/>
  <c r="BJ117" i="3"/>
  <c r="BH117" i="3"/>
  <c r="I117" i="3"/>
  <c r="BJ116" i="3"/>
  <c r="BH116" i="3"/>
  <c r="I116" i="3"/>
  <c r="BJ115" i="3"/>
  <c r="BH115" i="3"/>
  <c r="I115" i="3"/>
  <c r="BJ114" i="3"/>
  <c r="BH114" i="3"/>
  <c r="I114" i="3"/>
  <c r="BJ113" i="3"/>
  <c r="BH113" i="3"/>
  <c r="I113" i="3"/>
  <c r="BJ112" i="3"/>
  <c r="BH112" i="3"/>
  <c r="I112" i="3"/>
  <c r="BJ111" i="3"/>
  <c r="BH111" i="3"/>
  <c r="I111" i="3"/>
  <c r="BJ110" i="3"/>
  <c r="BH110" i="3"/>
  <c r="I110" i="3"/>
  <c r="BJ109" i="3"/>
  <c r="BH109" i="3"/>
  <c r="I109" i="3"/>
  <c r="BJ108" i="3"/>
  <c r="BH108" i="3"/>
  <c r="I108" i="3"/>
  <c r="BJ107" i="3"/>
  <c r="BH107" i="3"/>
  <c r="I107" i="3"/>
  <c r="BJ106" i="3"/>
  <c r="BH106" i="3"/>
  <c r="I106" i="3"/>
  <c r="BJ105" i="3"/>
  <c r="BH105" i="3"/>
  <c r="I105" i="3"/>
  <c r="BJ104" i="3"/>
  <c r="BH104" i="3"/>
  <c r="I104" i="3"/>
  <c r="BJ103" i="3"/>
  <c r="BH103" i="3"/>
  <c r="I103" i="3"/>
  <c r="BJ102" i="3"/>
  <c r="BH102" i="3"/>
  <c r="I102" i="3"/>
  <c r="BJ101" i="3"/>
  <c r="BH101" i="3"/>
  <c r="I101" i="3"/>
  <c r="BJ100" i="3"/>
  <c r="BH100" i="3"/>
  <c r="I100" i="3"/>
  <c r="BJ99" i="3"/>
  <c r="BH99" i="3"/>
  <c r="I99" i="3"/>
  <c r="BH98" i="3"/>
  <c r="BC98" i="3"/>
  <c r="I98" i="3"/>
  <c r="BH97" i="3"/>
  <c r="BC97" i="3"/>
  <c r="I97" i="3"/>
  <c r="BH96" i="3"/>
  <c r="BC96" i="3"/>
  <c r="I96" i="3"/>
  <c r="BH95" i="3"/>
  <c r="BC95" i="3"/>
  <c r="I95" i="3"/>
  <c r="BH94" i="3"/>
  <c r="BC94" i="3"/>
  <c r="I94" i="3"/>
  <c r="BH93" i="3"/>
  <c r="BC93" i="3"/>
  <c r="I93" i="3"/>
  <c r="BH92" i="3"/>
  <c r="BC92" i="3"/>
  <c r="I92" i="3"/>
  <c r="BH91" i="3"/>
  <c r="BC91" i="3"/>
  <c r="I91" i="3"/>
  <c r="BH90" i="3"/>
  <c r="BC90" i="3"/>
  <c r="I90" i="3"/>
  <c r="BH89" i="3"/>
  <c r="BC89" i="3"/>
  <c r="I89" i="3"/>
  <c r="BH88" i="3"/>
  <c r="BC88" i="3"/>
  <c r="I88" i="3"/>
  <c r="BH87" i="3"/>
  <c r="BC87" i="3"/>
  <c r="I87" i="3"/>
  <c r="BH86" i="3"/>
  <c r="BC86" i="3"/>
  <c r="I86" i="3"/>
  <c r="BH85" i="3"/>
  <c r="BC85" i="3"/>
  <c r="I85" i="3"/>
  <c r="BH84" i="3"/>
  <c r="BC84" i="3"/>
  <c r="I84" i="3"/>
  <c r="BH83" i="3"/>
  <c r="BC83" i="3"/>
  <c r="I83" i="3"/>
  <c r="BH82" i="3"/>
  <c r="BC82" i="3"/>
  <c r="I82" i="3"/>
  <c r="BH81" i="3"/>
  <c r="BC81" i="3"/>
  <c r="I81" i="3"/>
  <c r="BH80" i="3"/>
  <c r="BC80" i="3"/>
  <c r="I80" i="3"/>
  <c r="BH79" i="3"/>
  <c r="BC79" i="3"/>
  <c r="I79" i="3"/>
  <c r="BH78" i="3"/>
  <c r="BC78" i="3"/>
  <c r="I78" i="3"/>
  <c r="BH77" i="3"/>
  <c r="BC77" i="3"/>
  <c r="I77" i="3"/>
  <c r="BH76" i="3"/>
  <c r="BC76" i="3"/>
  <c r="I76" i="3"/>
  <c r="BH75" i="3"/>
  <c r="BC75" i="3"/>
  <c r="I75" i="3"/>
  <c r="BH74" i="3"/>
  <c r="BC74" i="3"/>
  <c r="I74" i="3"/>
  <c r="BH73" i="3"/>
  <c r="BC73" i="3"/>
  <c r="I73" i="3"/>
  <c r="BH72" i="3"/>
  <c r="BC72" i="3"/>
  <c r="I72" i="3"/>
  <c r="BH71" i="3"/>
  <c r="BC71" i="3"/>
  <c r="I71" i="3"/>
  <c r="BH70" i="3"/>
  <c r="BC70" i="3"/>
  <c r="I70" i="3"/>
  <c r="BH69" i="3"/>
  <c r="BC69" i="3"/>
  <c r="I69" i="3"/>
  <c r="BH68" i="3"/>
  <c r="BC68" i="3"/>
  <c r="I68" i="3"/>
  <c r="BH67" i="3"/>
  <c r="BC67" i="3"/>
  <c r="I67" i="3"/>
  <c r="BH66" i="3"/>
  <c r="BC66" i="3"/>
  <c r="I66" i="3"/>
  <c r="BH65" i="3"/>
  <c r="BC65" i="3"/>
  <c r="I65" i="3"/>
  <c r="BH64" i="3"/>
  <c r="BC64" i="3"/>
  <c r="I64" i="3"/>
  <c r="BH63" i="3"/>
  <c r="BC63" i="3"/>
  <c r="I63" i="3"/>
  <c r="BH62" i="3"/>
  <c r="BC62" i="3"/>
  <c r="I62" i="3"/>
  <c r="BH61" i="3"/>
  <c r="BC61" i="3"/>
  <c r="I61" i="3"/>
  <c r="BH60" i="3"/>
  <c r="BC60" i="3"/>
  <c r="I60" i="3"/>
  <c r="BH59" i="3"/>
  <c r="BC59" i="3"/>
  <c r="I59" i="3"/>
  <c r="BH58" i="3"/>
  <c r="BC58" i="3"/>
  <c r="I58" i="3"/>
  <c r="BH57" i="3"/>
  <c r="BC57" i="3"/>
  <c r="I57" i="3"/>
  <c r="BH56" i="3"/>
  <c r="BC56" i="3"/>
  <c r="I56" i="3"/>
  <c r="BH55" i="3"/>
  <c r="BC55" i="3"/>
  <c r="I55" i="3"/>
  <c r="BH54" i="3"/>
  <c r="BC54" i="3"/>
  <c r="I54" i="3"/>
  <c r="BH53" i="3"/>
  <c r="BC53" i="3"/>
  <c r="I53" i="3"/>
  <c r="BH52" i="3"/>
  <c r="BC52" i="3"/>
  <c r="I52" i="3"/>
  <c r="BH51" i="3"/>
  <c r="BC51" i="3"/>
  <c r="I51" i="3"/>
  <c r="BH50" i="3"/>
  <c r="BC50" i="3"/>
  <c r="I50" i="3"/>
  <c r="BH49" i="3"/>
  <c r="BC49" i="3"/>
  <c r="I49" i="3"/>
  <c r="BH48" i="3"/>
  <c r="BC48" i="3"/>
  <c r="I48" i="3"/>
  <c r="BH47" i="3"/>
  <c r="BC47" i="3"/>
  <c r="I47" i="3"/>
  <c r="BH46" i="3"/>
  <c r="BC46" i="3"/>
  <c r="I46" i="3"/>
  <c r="BH45" i="3"/>
  <c r="BC45" i="3"/>
  <c r="I45" i="3"/>
  <c r="BH44" i="3"/>
  <c r="BC44" i="3"/>
  <c r="I44" i="3"/>
  <c r="BH43" i="3"/>
  <c r="BC43" i="3"/>
  <c r="I43" i="3"/>
  <c r="BH42" i="3"/>
  <c r="BC42" i="3"/>
  <c r="I42" i="3"/>
  <c r="BH41" i="3"/>
  <c r="BC41" i="3"/>
  <c r="I41" i="3"/>
  <c r="BH40" i="3"/>
  <c r="BC40" i="3"/>
  <c r="I40" i="3"/>
  <c r="BH39" i="3"/>
  <c r="BC39" i="3"/>
  <c r="I39" i="3"/>
  <c r="BH38" i="3"/>
  <c r="BC38" i="3"/>
  <c r="I38" i="3"/>
  <c r="BH37" i="3"/>
  <c r="BC37" i="3"/>
  <c r="I37" i="3"/>
  <c r="BH36" i="3"/>
  <c r="BC36" i="3"/>
  <c r="I36" i="3"/>
  <c r="BH35" i="3"/>
  <c r="BC35" i="3"/>
  <c r="I35" i="3"/>
  <c r="BH34" i="3"/>
  <c r="BC34" i="3"/>
  <c r="I34" i="3"/>
  <c r="BH33" i="3"/>
  <c r="BC33" i="3"/>
  <c r="I33" i="3"/>
  <c r="BH32" i="3"/>
  <c r="BC32" i="3"/>
  <c r="I32" i="3"/>
  <c r="BH31" i="3"/>
  <c r="BC31" i="3"/>
  <c r="I31" i="3"/>
  <c r="BH30" i="3"/>
  <c r="BC30" i="3"/>
  <c r="I30" i="3"/>
  <c r="BH29" i="3"/>
  <c r="BC29" i="3"/>
  <c r="I29" i="3"/>
  <c r="BH28" i="3"/>
  <c r="BC28" i="3"/>
  <c r="I28" i="3"/>
  <c r="BH27" i="3"/>
  <c r="BC27" i="3"/>
  <c r="I27" i="3"/>
  <c r="BH26" i="3"/>
  <c r="BC26" i="3"/>
  <c r="I26" i="3"/>
  <c r="BH25" i="3"/>
  <c r="BC25" i="3"/>
  <c r="I25" i="3"/>
  <c r="BH24" i="3"/>
  <c r="BC24" i="3"/>
  <c r="I24" i="3"/>
  <c r="BH23" i="3"/>
  <c r="BC23" i="3"/>
  <c r="I23" i="3"/>
  <c r="BH22" i="3"/>
  <c r="BC22" i="3"/>
  <c r="I22" i="3"/>
  <c r="BH21" i="3"/>
  <c r="BC21" i="3"/>
  <c r="I21" i="3"/>
  <c r="BH20" i="3"/>
  <c r="BC20" i="3"/>
  <c r="I20" i="3"/>
  <c r="BH19" i="3"/>
  <c r="BC19" i="3"/>
  <c r="I19" i="3"/>
  <c r="BH18" i="3"/>
  <c r="BC18" i="3"/>
  <c r="I18" i="3"/>
  <c r="BH17" i="3"/>
  <c r="BC17" i="3"/>
  <c r="I17" i="3"/>
  <c r="BH16" i="3"/>
  <c r="BC16" i="3"/>
  <c r="I16" i="3"/>
  <c r="BH15" i="3"/>
  <c r="BC15" i="3"/>
  <c r="I15" i="3"/>
  <c r="BH14" i="3"/>
  <c r="BC14" i="3"/>
  <c r="I14" i="3"/>
  <c r="BH13" i="3"/>
  <c r="BC13" i="3"/>
  <c r="I13" i="3"/>
  <c r="BH12" i="3"/>
  <c r="BC12" i="3"/>
  <c r="I12" i="3"/>
  <c r="BH11" i="3"/>
  <c r="BC11" i="3"/>
  <c r="I11" i="3"/>
  <c r="BH10" i="3"/>
  <c r="BC10" i="3"/>
  <c r="I10" i="3"/>
  <c r="BH9" i="3"/>
  <c r="BC9" i="3"/>
  <c r="I9" i="3"/>
  <c r="BH8" i="3"/>
  <c r="BC8" i="3"/>
  <c r="I8" i="3"/>
  <c r="BH7" i="3"/>
  <c r="BC7" i="3"/>
  <c r="I7" i="3"/>
  <c r="BH6" i="3"/>
  <c r="BC6" i="3"/>
  <c r="I6" i="3"/>
  <c r="BH5" i="3"/>
  <c r="BC5" i="3"/>
  <c r="I5" i="3"/>
  <c r="BH4" i="3"/>
  <c r="BC4" i="3"/>
  <c r="I4" i="3"/>
  <c r="BH3" i="3"/>
  <c r="BC3" i="3"/>
  <c r="I3" i="3"/>
  <c r="BO2" i="3"/>
  <c r="BH2" i="3"/>
  <c r="BC2" i="3"/>
  <c r="I2" i="3"/>
  <c r="BY3" i="2"/>
  <c r="BY4" i="2"/>
  <c r="BY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88" i="2"/>
  <c r="BY89" i="2"/>
  <c r="BY90" i="2"/>
  <c r="BY91" i="2"/>
  <c r="BY92" i="2"/>
  <c r="BY93" i="2"/>
  <c r="BY94" i="2"/>
  <c r="BY95" i="2"/>
  <c r="BY96" i="2"/>
  <c r="BY97" i="2"/>
  <c r="BY98" i="2"/>
  <c r="BY99" i="2"/>
  <c r="BY100" i="2"/>
  <c r="BY101" i="2"/>
  <c r="BY102" i="2"/>
  <c r="BY103" i="2"/>
  <c r="BY104" i="2"/>
  <c r="BY105" i="2"/>
  <c r="BY106" i="2"/>
  <c r="BY107" i="2"/>
  <c r="BY108" i="2"/>
  <c r="BY109" i="2"/>
  <c r="BY110" i="2"/>
  <c r="BY111" i="2"/>
  <c r="BY112" i="2"/>
  <c r="BY113" i="2"/>
  <c r="BY114" i="2"/>
  <c r="BY115" i="2"/>
  <c r="BY116" i="2"/>
  <c r="BY117" i="2"/>
  <c r="BY118" i="2"/>
  <c r="BY119" i="2"/>
  <c r="BY120" i="2"/>
  <c r="BY121" i="2"/>
  <c r="BY122" i="2"/>
  <c r="BY123" i="2"/>
  <c r="BY124" i="2"/>
  <c r="BY125" i="2"/>
  <c r="BY126" i="2"/>
  <c r="BY127" i="2"/>
  <c r="BY128" i="2"/>
  <c r="BY129" i="2"/>
  <c r="BY130" i="2"/>
  <c r="BY131" i="2"/>
  <c r="BY132" i="2"/>
  <c r="BY133" i="2"/>
  <c r="BY134" i="2"/>
  <c r="BY135" i="2"/>
  <c r="BY136" i="2"/>
  <c r="BY137" i="2"/>
  <c r="BY138" i="2"/>
  <c r="BY139" i="2"/>
  <c r="BY140" i="2"/>
  <c r="BY141" i="2"/>
  <c r="BY142" i="2"/>
  <c r="BY143" i="2"/>
  <c r="BY144" i="2"/>
  <c r="BY145" i="2"/>
  <c r="BY146" i="2"/>
  <c r="BY147" i="2"/>
  <c r="BY148" i="2"/>
  <c r="BY149" i="2"/>
  <c r="BY150" i="2"/>
  <c r="BY151" i="2"/>
  <c r="BY152" i="2"/>
  <c r="BY153" i="2"/>
  <c r="BY154" i="2"/>
  <c r="BY155" i="2"/>
  <c r="BY156" i="2"/>
  <c r="BY157" i="2"/>
  <c r="BY158" i="2"/>
  <c r="BY159" i="2"/>
  <c r="BY160" i="2"/>
  <c r="BY161" i="2"/>
  <c r="BY162" i="2"/>
  <c r="BY163" i="2"/>
  <c r="BY164" i="2"/>
  <c r="BY165" i="2"/>
  <c r="BY166" i="2"/>
  <c r="BY167" i="2"/>
  <c r="BY168" i="2"/>
  <c r="BY169" i="2"/>
  <c r="BY170" i="2"/>
  <c r="BY171" i="2"/>
  <c r="BY172" i="2"/>
  <c r="BY173" i="2"/>
  <c r="BY174" i="2"/>
  <c r="BY175" i="2"/>
  <c r="BY176" i="2"/>
  <c r="BY177" i="2"/>
  <c r="BY178" i="2"/>
  <c r="BY179" i="2"/>
  <c r="BY180" i="2"/>
  <c r="BY181" i="2"/>
  <c r="BY182" i="2"/>
  <c r="BY183" i="2"/>
  <c r="BY184" i="2"/>
  <c r="BY185" i="2"/>
  <c r="BY186" i="2"/>
  <c r="BY187" i="2"/>
  <c r="BY188" i="2"/>
  <c r="BY189" i="2"/>
  <c r="BY190" i="2"/>
  <c r="BY191" i="2"/>
  <c r="BY192" i="2"/>
  <c r="BY193" i="2"/>
  <c r="BY194" i="2"/>
  <c r="BY195" i="2"/>
  <c r="BY196" i="2"/>
  <c r="BY197" i="2"/>
  <c r="BY198" i="2"/>
  <c r="BY199" i="2"/>
  <c r="BY200" i="2"/>
  <c r="BY201" i="2"/>
  <c r="BY202" i="2"/>
  <c r="BY203" i="2"/>
  <c r="BY204" i="2"/>
  <c r="BY205" i="2"/>
  <c r="BY2" i="2"/>
  <c r="BE3" i="2"/>
  <c r="BF3" i="2"/>
  <c r="BG3" i="2"/>
  <c r="BH3" i="2"/>
  <c r="BI3" i="2"/>
  <c r="BJ3" i="2"/>
  <c r="BK3" i="2"/>
  <c r="BL3" i="2"/>
  <c r="BM3" i="2"/>
  <c r="BE4" i="2"/>
  <c r="BF4" i="2"/>
  <c r="BG4" i="2"/>
  <c r="BH4" i="2"/>
  <c r="BI4" i="2"/>
  <c r="BJ4" i="2"/>
  <c r="BK4" i="2"/>
  <c r="BL4" i="2"/>
  <c r="BM4" i="2"/>
  <c r="BE5" i="2"/>
  <c r="BF5" i="2"/>
  <c r="BG5" i="2"/>
  <c r="BH5" i="2"/>
  <c r="BI5" i="2"/>
  <c r="BJ5" i="2"/>
  <c r="BK5" i="2"/>
  <c r="BL5" i="2"/>
  <c r="BM5" i="2"/>
  <c r="BE6" i="2"/>
  <c r="BF6" i="2"/>
  <c r="BG6" i="2"/>
  <c r="BH6" i="2"/>
  <c r="BI6" i="2"/>
  <c r="BJ6" i="2"/>
  <c r="BK6" i="2"/>
  <c r="BL6" i="2"/>
  <c r="BM6" i="2"/>
  <c r="BE7" i="2"/>
  <c r="BF7" i="2"/>
  <c r="BG7" i="2"/>
  <c r="BH7" i="2"/>
  <c r="BI7" i="2"/>
  <c r="BJ7" i="2"/>
  <c r="BK7" i="2"/>
  <c r="BL7" i="2"/>
  <c r="BM7" i="2"/>
  <c r="BE8" i="2"/>
  <c r="BF8" i="2"/>
  <c r="BG8" i="2"/>
  <c r="BH8" i="2"/>
  <c r="BI8" i="2"/>
  <c r="BJ8" i="2"/>
  <c r="BK8" i="2"/>
  <c r="BL8" i="2"/>
  <c r="BM8" i="2"/>
  <c r="BE9" i="2"/>
  <c r="BF9" i="2"/>
  <c r="BG9" i="2"/>
  <c r="BH9" i="2"/>
  <c r="BI9" i="2"/>
  <c r="BJ9" i="2"/>
  <c r="BK9" i="2"/>
  <c r="BL9" i="2"/>
  <c r="BM9" i="2"/>
  <c r="BE10" i="2"/>
  <c r="BF10" i="2"/>
  <c r="BG10" i="2"/>
  <c r="BH10" i="2"/>
  <c r="BI10" i="2"/>
  <c r="BJ10" i="2"/>
  <c r="BK10" i="2"/>
  <c r="BL10" i="2"/>
  <c r="BM10" i="2"/>
  <c r="BE11" i="2"/>
  <c r="BF11" i="2"/>
  <c r="BG11" i="2"/>
  <c r="BH11" i="2"/>
  <c r="BI11" i="2"/>
  <c r="BJ11" i="2"/>
  <c r="BK11" i="2"/>
  <c r="BL11" i="2"/>
  <c r="BM11" i="2"/>
  <c r="BE12" i="2"/>
  <c r="BF12" i="2"/>
  <c r="BG12" i="2"/>
  <c r="BH12" i="2"/>
  <c r="BI12" i="2"/>
  <c r="BJ12" i="2"/>
  <c r="BK12" i="2"/>
  <c r="BL12" i="2"/>
  <c r="BM12" i="2"/>
  <c r="BE13" i="2"/>
  <c r="BF13" i="2"/>
  <c r="BG13" i="2"/>
  <c r="BH13" i="2"/>
  <c r="BI13" i="2"/>
  <c r="BJ13" i="2"/>
  <c r="BK13" i="2"/>
  <c r="BL13" i="2"/>
  <c r="BM13" i="2"/>
  <c r="BE14" i="2"/>
  <c r="BF14" i="2"/>
  <c r="BG14" i="2"/>
  <c r="BH14" i="2"/>
  <c r="BI14" i="2"/>
  <c r="BJ14" i="2"/>
  <c r="BK14" i="2"/>
  <c r="BL14" i="2"/>
  <c r="BM14" i="2"/>
  <c r="BE15" i="2"/>
  <c r="BF15" i="2"/>
  <c r="BG15" i="2"/>
  <c r="BH15" i="2"/>
  <c r="BI15" i="2"/>
  <c r="BJ15" i="2"/>
  <c r="BK15" i="2"/>
  <c r="BL15" i="2"/>
  <c r="BM15" i="2"/>
  <c r="BE16" i="2"/>
  <c r="BF16" i="2"/>
  <c r="BG16" i="2"/>
  <c r="BH16" i="2"/>
  <c r="BI16" i="2"/>
  <c r="BJ16" i="2"/>
  <c r="BK16" i="2"/>
  <c r="BL16" i="2"/>
  <c r="BM16" i="2"/>
  <c r="BE17" i="2"/>
  <c r="BF17" i="2"/>
  <c r="BG17" i="2"/>
  <c r="BH17" i="2"/>
  <c r="BI17" i="2"/>
  <c r="BJ17" i="2"/>
  <c r="BK17" i="2"/>
  <c r="BL17" i="2"/>
  <c r="BM17" i="2"/>
  <c r="BE18" i="2"/>
  <c r="BF18" i="2"/>
  <c r="BG18" i="2"/>
  <c r="BH18" i="2"/>
  <c r="BI18" i="2"/>
  <c r="BJ18" i="2"/>
  <c r="BK18" i="2"/>
  <c r="BL18" i="2"/>
  <c r="BM18" i="2"/>
  <c r="BE19" i="2"/>
  <c r="BF19" i="2"/>
  <c r="BG19" i="2"/>
  <c r="BH19" i="2"/>
  <c r="BI19" i="2"/>
  <c r="BJ19" i="2"/>
  <c r="BK19" i="2"/>
  <c r="BL19" i="2"/>
  <c r="BM19" i="2"/>
  <c r="BE20" i="2"/>
  <c r="BF20" i="2"/>
  <c r="BG20" i="2"/>
  <c r="BH20" i="2"/>
  <c r="BI20" i="2"/>
  <c r="BJ20" i="2"/>
  <c r="BK20" i="2"/>
  <c r="BL20" i="2"/>
  <c r="BM20" i="2"/>
  <c r="BE21" i="2"/>
  <c r="BF21" i="2"/>
  <c r="BG21" i="2"/>
  <c r="BH21" i="2"/>
  <c r="BI21" i="2"/>
  <c r="BJ21" i="2"/>
  <c r="BK21" i="2"/>
  <c r="BL21" i="2"/>
  <c r="BM21" i="2"/>
  <c r="BE22" i="2"/>
  <c r="BF22" i="2"/>
  <c r="BG22" i="2"/>
  <c r="BH22" i="2"/>
  <c r="BI22" i="2"/>
  <c r="BJ22" i="2"/>
  <c r="BK22" i="2"/>
  <c r="BL22" i="2"/>
  <c r="BM22" i="2"/>
  <c r="BE23" i="2"/>
  <c r="BF23" i="2"/>
  <c r="BG23" i="2"/>
  <c r="BH23" i="2"/>
  <c r="BI23" i="2"/>
  <c r="BJ23" i="2"/>
  <c r="BK23" i="2"/>
  <c r="BL23" i="2"/>
  <c r="BM23" i="2"/>
  <c r="BE24" i="2"/>
  <c r="BF24" i="2"/>
  <c r="BG24" i="2"/>
  <c r="BH24" i="2"/>
  <c r="BI24" i="2"/>
  <c r="BJ24" i="2"/>
  <c r="BK24" i="2"/>
  <c r="BL24" i="2"/>
  <c r="BM24" i="2"/>
  <c r="BE25" i="2"/>
  <c r="BF25" i="2"/>
  <c r="BG25" i="2"/>
  <c r="BH25" i="2"/>
  <c r="BI25" i="2"/>
  <c r="BJ25" i="2"/>
  <c r="BK25" i="2"/>
  <c r="BL25" i="2"/>
  <c r="BM25" i="2"/>
  <c r="BE26" i="2"/>
  <c r="BF26" i="2"/>
  <c r="BG26" i="2"/>
  <c r="BH26" i="2"/>
  <c r="BI26" i="2"/>
  <c r="BJ26" i="2"/>
  <c r="BK26" i="2"/>
  <c r="BL26" i="2"/>
  <c r="BM26" i="2"/>
  <c r="BE27" i="2"/>
  <c r="BF27" i="2"/>
  <c r="BG27" i="2"/>
  <c r="BH27" i="2"/>
  <c r="BI27" i="2"/>
  <c r="BJ27" i="2"/>
  <c r="BK27" i="2"/>
  <c r="BL27" i="2"/>
  <c r="BM27" i="2"/>
  <c r="BE28" i="2"/>
  <c r="BF28" i="2"/>
  <c r="BG28" i="2"/>
  <c r="BH28" i="2"/>
  <c r="BI28" i="2"/>
  <c r="BJ28" i="2"/>
  <c r="BK28" i="2"/>
  <c r="BL28" i="2"/>
  <c r="BM28" i="2"/>
  <c r="BE29" i="2"/>
  <c r="BF29" i="2"/>
  <c r="BG29" i="2"/>
  <c r="BH29" i="2"/>
  <c r="BI29" i="2"/>
  <c r="BJ29" i="2"/>
  <c r="BK29" i="2"/>
  <c r="BL29" i="2"/>
  <c r="BM29" i="2"/>
  <c r="BE30" i="2"/>
  <c r="BF30" i="2"/>
  <c r="BG30" i="2"/>
  <c r="BH30" i="2"/>
  <c r="BI30" i="2"/>
  <c r="BJ30" i="2"/>
  <c r="BK30" i="2"/>
  <c r="BL30" i="2"/>
  <c r="BM30" i="2"/>
  <c r="BE31" i="2"/>
  <c r="BF31" i="2"/>
  <c r="BG31" i="2"/>
  <c r="BH31" i="2"/>
  <c r="BI31" i="2"/>
  <c r="BJ31" i="2"/>
  <c r="BK31" i="2"/>
  <c r="BL31" i="2"/>
  <c r="BM31" i="2"/>
  <c r="BE32" i="2"/>
  <c r="BF32" i="2"/>
  <c r="BG32" i="2"/>
  <c r="BH32" i="2"/>
  <c r="BI32" i="2"/>
  <c r="BJ32" i="2"/>
  <c r="BK32" i="2"/>
  <c r="BL32" i="2"/>
  <c r="BM32" i="2"/>
  <c r="BE33" i="2"/>
  <c r="BF33" i="2"/>
  <c r="BG33" i="2"/>
  <c r="BH33" i="2"/>
  <c r="BI33" i="2"/>
  <c r="BJ33" i="2"/>
  <c r="BK33" i="2"/>
  <c r="BL33" i="2"/>
  <c r="BM33" i="2"/>
  <c r="BE34" i="2"/>
  <c r="BF34" i="2"/>
  <c r="BG34" i="2"/>
  <c r="BH34" i="2"/>
  <c r="BI34" i="2"/>
  <c r="BJ34" i="2"/>
  <c r="BK34" i="2"/>
  <c r="BL34" i="2"/>
  <c r="BM34" i="2"/>
  <c r="BE35" i="2"/>
  <c r="BF35" i="2"/>
  <c r="BG35" i="2"/>
  <c r="BH35" i="2"/>
  <c r="BI35" i="2"/>
  <c r="BJ35" i="2"/>
  <c r="BK35" i="2"/>
  <c r="BL35" i="2"/>
  <c r="BM35" i="2"/>
  <c r="BE36" i="2"/>
  <c r="BF36" i="2"/>
  <c r="BG36" i="2"/>
  <c r="BH36" i="2"/>
  <c r="BI36" i="2"/>
  <c r="BJ36" i="2"/>
  <c r="BK36" i="2"/>
  <c r="BL36" i="2"/>
  <c r="BM36" i="2"/>
  <c r="BE37" i="2"/>
  <c r="BF37" i="2"/>
  <c r="BG37" i="2"/>
  <c r="BH37" i="2"/>
  <c r="BI37" i="2"/>
  <c r="BJ37" i="2"/>
  <c r="BK37" i="2"/>
  <c r="BL37" i="2"/>
  <c r="BM37" i="2"/>
  <c r="BE38" i="2"/>
  <c r="BF38" i="2"/>
  <c r="BG38" i="2"/>
  <c r="BH38" i="2"/>
  <c r="BI38" i="2"/>
  <c r="BJ38" i="2"/>
  <c r="BK38" i="2"/>
  <c r="BL38" i="2"/>
  <c r="BM38" i="2"/>
  <c r="BE39" i="2"/>
  <c r="BF39" i="2"/>
  <c r="BG39" i="2"/>
  <c r="BH39" i="2"/>
  <c r="BI39" i="2"/>
  <c r="BJ39" i="2"/>
  <c r="BK39" i="2"/>
  <c r="BL39" i="2"/>
  <c r="BM39" i="2"/>
  <c r="BE40" i="2"/>
  <c r="BF40" i="2"/>
  <c r="BG40" i="2"/>
  <c r="BH40" i="2"/>
  <c r="BI40" i="2"/>
  <c r="BJ40" i="2"/>
  <c r="BK40" i="2"/>
  <c r="BL40" i="2"/>
  <c r="BM40" i="2"/>
  <c r="BE41" i="2"/>
  <c r="BF41" i="2"/>
  <c r="BG41" i="2"/>
  <c r="BH41" i="2"/>
  <c r="BI41" i="2"/>
  <c r="BJ41" i="2"/>
  <c r="BK41" i="2"/>
  <c r="BL41" i="2"/>
  <c r="BM41" i="2"/>
  <c r="BE42" i="2"/>
  <c r="BF42" i="2"/>
  <c r="BG42" i="2"/>
  <c r="BH42" i="2"/>
  <c r="BI42" i="2"/>
  <c r="BJ42" i="2"/>
  <c r="BK42" i="2"/>
  <c r="BL42" i="2"/>
  <c r="BM42" i="2"/>
  <c r="BE43" i="2"/>
  <c r="BF43" i="2"/>
  <c r="BG43" i="2"/>
  <c r="BH43" i="2"/>
  <c r="BI43" i="2"/>
  <c r="BJ43" i="2"/>
  <c r="BK43" i="2"/>
  <c r="BL43" i="2"/>
  <c r="BM43" i="2"/>
  <c r="BE44" i="2"/>
  <c r="BF44" i="2"/>
  <c r="BG44" i="2"/>
  <c r="BH44" i="2"/>
  <c r="BI44" i="2"/>
  <c r="BJ44" i="2"/>
  <c r="BK44" i="2"/>
  <c r="BL44" i="2"/>
  <c r="BM44" i="2"/>
  <c r="BE45" i="2"/>
  <c r="BF45" i="2"/>
  <c r="BG45" i="2"/>
  <c r="BH45" i="2"/>
  <c r="BI45" i="2"/>
  <c r="BJ45" i="2"/>
  <c r="BK45" i="2"/>
  <c r="BL45" i="2"/>
  <c r="BM45" i="2"/>
  <c r="BE46" i="2"/>
  <c r="BF46" i="2"/>
  <c r="BG46" i="2"/>
  <c r="BH46" i="2"/>
  <c r="BI46" i="2"/>
  <c r="BJ46" i="2"/>
  <c r="BK46" i="2"/>
  <c r="BL46" i="2"/>
  <c r="BM46" i="2"/>
  <c r="BE47" i="2"/>
  <c r="BF47" i="2"/>
  <c r="BG47" i="2"/>
  <c r="BH47" i="2"/>
  <c r="BI47" i="2"/>
  <c r="BJ47" i="2"/>
  <c r="BK47" i="2"/>
  <c r="BL47" i="2"/>
  <c r="BM47" i="2"/>
  <c r="BE48" i="2"/>
  <c r="BF48" i="2"/>
  <c r="BG48" i="2"/>
  <c r="BH48" i="2"/>
  <c r="BI48" i="2"/>
  <c r="BJ48" i="2"/>
  <c r="BK48" i="2"/>
  <c r="BL48" i="2"/>
  <c r="BM48" i="2"/>
  <c r="BE49" i="2"/>
  <c r="BF49" i="2"/>
  <c r="BG49" i="2"/>
  <c r="BH49" i="2"/>
  <c r="BI49" i="2"/>
  <c r="BJ49" i="2"/>
  <c r="BK49" i="2"/>
  <c r="BL49" i="2"/>
  <c r="BM49" i="2"/>
  <c r="BE50" i="2"/>
  <c r="BF50" i="2"/>
  <c r="BG50" i="2"/>
  <c r="BH50" i="2"/>
  <c r="BI50" i="2"/>
  <c r="BJ50" i="2"/>
  <c r="BK50" i="2"/>
  <c r="BL50" i="2"/>
  <c r="BM50" i="2"/>
  <c r="BE51" i="2"/>
  <c r="BF51" i="2"/>
  <c r="BG51" i="2"/>
  <c r="BH51" i="2"/>
  <c r="BI51" i="2"/>
  <c r="BJ51" i="2"/>
  <c r="BK51" i="2"/>
  <c r="BL51" i="2"/>
  <c r="BM51" i="2"/>
  <c r="BE52" i="2"/>
  <c r="BF52" i="2"/>
  <c r="BG52" i="2"/>
  <c r="BH52" i="2"/>
  <c r="BI52" i="2"/>
  <c r="BJ52" i="2"/>
  <c r="BK52" i="2"/>
  <c r="BL52" i="2"/>
  <c r="BM52" i="2"/>
  <c r="BE53" i="2"/>
  <c r="BF53" i="2"/>
  <c r="BG53" i="2"/>
  <c r="BH53" i="2"/>
  <c r="BI53" i="2"/>
  <c r="BJ53" i="2"/>
  <c r="BK53" i="2"/>
  <c r="BL53" i="2"/>
  <c r="BM53" i="2"/>
  <c r="BE54" i="2"/>
  <c r="BF54" i="2"/>
  <c r="BG54" i="2"/>
  <c r="BH54" i="2"/>
  <c r="BI54" i="2"/>
  <c r="BJ54" i="2"/>
  <c r="BK54" i="2"/>
  <c r="BL54" i="2"/>
  <c r="BM54" i="2"/>
  <c r="BE55" i="2"/>
  <c r="BF55" i="2"/>
  <c r="BG55" i="2"/>
  <c r="BH55" i="2"/>
  <c r="BI55" i="2"/>
  <c r="BJ55" i="2"/>
  <c r="BK55" i="2"/>
  <c r="BL55" i="2"/>
  <c r="BM55" i="2"/>
  <c r="BE56" i="2"/>
  <c r="BF56" i="2"/>
  <c r="BG56" i="2"/>
  <c r="BH56" i="2"/>
  <c r="BI56" i="2"/>
  <c r="BJ56" i="2"/>
  <c r="BK56" i="2"/>
  <c r="BL56" i="2"/>
  <c r="BM56" i="2"/>
  <c r="BE57" i="2"/>
  <c r="BF57" i="2"/>
  <c r="BG57" i="2"/>
  <c r="BH57" i="2"/>
  <c r="BI57" i="2"/>
  <c r="BJ57" i="2"/>
  <c r="BK57" i="2"/>
  <c r="BL57" i="2"/>
  <c r="BM57" i="2"/>
  <c r="BE58" i="2"/>
  <c r="BF58" i="2"/>
  <c r="BG58" i="2"/>
  <c r="BH58" i="2"/>
  <c r="BI58" i="2"/>
  <c r="BJ58" i="2"/>
  <c r="BK58" i="2"/>
  <c r="BL58" i="2"/>
  <c r="BM58" i="2"/>
  <c r="BE59" i="2"/>
  <c r="BF59" i="2"/>
  <c r="BG59" i="2"/>
  <c r="BH59" i="2"/>
  <c r="BI59" i="2"/>
  <c r="BJ59" i="2"/>
  <c r="BK59" i="2"/>
  <c r="BL59" i="2"/>
  <c r="BM59" i="2"/>
  <c r="BE60" i="2"/>
  <c r="BF60" i="2"/>
  <c r="BG60" i="2"/>
  <c r="BH60" i="2"/>
  <c r="BI60" i="2"/>
  <c r="BJ60" i="2"/>
  <c r="BK60" i="2"/>
  <c r="BL60" i="2"/>
  <c r="BM60" i="2"/>
  <c r="BE61" i="2"/>
  <c r="BF61" i="2"/>
  <c r="BG61" i="2"/>
  <c r="BH61" i="2"/>
  <c r="BI61" i="2"/>
  <c r="BJ61" i="2"/>
  <c r="BK61" i="2"/>
  <c r="BL61" i="2"/>
  <c r="BM61" i="2"/>
  <c r="BE62" i="2"/>
  <c r="BF62" i="2"/>
  <c r="BG62" i="2"/>
  <c r="BH62" i="2"/>
  <c r="BI62" i="2"/>
  <c r="BJ62" i="2"/>
  <c r="BK62" i="2"/>
  <c r="BL62" i="2"/>
  <c r="BM62" i="2"/>
  <c r="BE63" i="2"/>
  <c r="BF63" i="2"/>
  <c r="BG63" i="2"/>
  <c r="BH63" i="2"/>
  <c r="BI63" i="2"/>
  <c r="BJ63" i="2"/>
  <c r="BK63" i="2"/>
  <c r="BL63" i="2"/>
  <c r="BM63" i="2"/>
  <c r="BE64" i="2"/>
  <c r="BF64" i="2"/>
  <c r="BG64" i="2"/>
  <c r="BH64" i="2"/>
  <c r="BI64" i="2"/>
  <c r="BJ64" i="2"/>
  <c r="BK64" i="2"/>
  <c r="BL64" i="2"/>
  <c r="BM64" i="2"/>
  <c r="BE65" i="2"/>
  <c r="BF65" i="2"/>
  <c r="BG65" i="2"/>
  <c r="BH65" i="2"/>
  <c r="BI65" i="2"/>
  <c r="BJ65" i="2"/>
  <c r="BK65" i="2"/>
  <c r="BL65" i="2"/>
  <c r="BM65" i="2"/>
  <c r="BE66" i="2"/>
  <c r="BF66" i="2"/>
  <c r="BG66" i="2"/>
  <c r="BH66" i="2"/>
  <c r="BI66" i="2"/>
  <c r="BJ66" i="2"/>
  <c r="BK66" i="2"/>
  <c r="BL66" i="2"/>
  <c r="BM66" i="2"/>
  <c r="BE67" i="2"/>
  <c r="BF67" i="2"/>
  <c r="BG67" i="2"/>
  <c r="BH67" i="2"/>
  <c r="BI67" i="2"/>
  <c r="BJ67" i="2"/>
  <c r="BK67" i="2"/>
  <c r="BL67" i="2"/>
  <c r="BM67" i="2"/>
  <c r="BE68" i="2"/>
  <c r="BF68" i="2"/>
  <c r="BG68" i="2"/>
  <c r="BH68" i="2"/>
  <c r="BI68" i="2"/>
  <c r="BJ68" i="2"/>
  <c r="BK68" i="2"/>
  <c r="BL68" i="2"/>
  <c r="BM68" i="2"/>
  <c r="BE69" i="2"/>
  <c r="BF69" i="2"/>
  <c r="BG69" i="2"/>
  <c r="BH69" i="2"/>
  <c r="BI69" i="2"/>
  <c r="BJ69" i="2"/>
  <c r="BK69" i="2"/>
  <c r="BL69" i="2"/>
  <c r="BM69" i="2"/>
  <c r="BE70" i="2"/>
  <c r="BF70" i="2"/>
  <c r="BG70" i="2"/>
  <c r="BH70" i="2"/>
  <c r="BI70" i="2"/>
  <c r="BJ70" i="2"/>
  <c r="BK70" i="2"/>
  <c r="BL70" i="2"/>
  <c r="BM70" i="2"/>
  <c r="BE71" i="2"/>
  <c r="BF71" i="2"/>
  <c r="BG71" i="2"/>
  <c r="BH71" i="2"/>
  <c r="BI71" i="2"/>
  <c r="BJ71" i="2"/>
  <c r="BK71" i="2"/>
  <c r="BL71" i="2"/>
  <c r="BM71" i="2"/>
  <c r="BE72" i="2"/>
  <c r="BF72" i="2"/>
  <c r="BG72" i="2"/>
  <c r="BH72" i="2"/>
  <c r="BI72" i="2"/>
  <c r="BJ72" i="2"/>
  <c r="BK72" i="2"/>
  <c r="BL72" i="2"/>
  <c r="BM72" i="2"/>
  <c r="BE73" i="2"/>
  <c r="BF73" i="2"/>
  <c r="BG73" i="2"/>
  <c r="BH73" i="2"/>
  <c r="BI73" i="2"/>
  <c r="BJ73" i="2"/>
  <c r="BK73" i="2"/>
  <c r="BL73" i="2"/>
  <c r="BM73" i="2"/>
  <c r="BE74" i="2"/>
  <c r="BF74" i="2"/>
  <c r="BG74" i="2"/>
  <c r="BH74" i="2"/>
  <c r="BI74" i="2"/>
  <c r="BJ74" i="2"/>
  <c r="BK74" i="2"/>
  <c r="BL74" i="2"/>
  <c r="BM74" i="2"/>
  <c r="BE75" i="2"/>
  <c r="BF75" i="2"/>
  <c r="BG75" i="2"/>
  <c r="BH75" i="2"/>
  <c r="BI75" i="2"/>
  <c r="BJ75" i="2"/>
  <c r="BK75" i="2"/>
  <c r="BL75" i="2"/>
  <c r="BM75" i="2"/>
  <c r="BE76" i="2"/>
  <c r="BF76" i="2"/>
  <c r="BG76" i="2"/>
  <c r="BH76" i="2"/>
  <c r="BI76" i="2"/>
  <c r="BJ76" i="2"/>
  <c r="BK76" i="2"/>
  <c r="BL76" i="2"/>
  <c r="BM76" i="2"/>
  <c r="BE77" i="2"/>
  <c r="BF77" i="2"/>
  <c r="BG77" i="2"/>
  <c r="BH77" i="2"/>
  <c r="BI77" i="2"/>
  <c r="BJ77" i="2"/>
  <c r="BK77" i="2"/>
  <c r="BL77" i="2"/>
  <c r="BM77" i="2"/>
  <c r="BE78" i="2"/>
  <c r="BF78" i="2"/>
  <c r="BG78" i="2"/>
  <c r="BH78" i="2"/>
  <c r="BI78" i="2"/>
  <c r="BJ78" i="2"/>
  <c r="BK78" i="2"/>
  <c r="BL78" i="2"/>
  <c r="BM78" i="2"/>
  <c r="BE79" i="2"/>
  <c r="BF79" i="2"/>
  <c r="BG79" i="2"/>
  <c r="BH79" i="2"/>
  <c r="BI79" i="2"/>
  <c r="BJ79" i="2"/>
  <c r="BK79" i="2"/>
  <c r="BL79" i="2"/>
  <c r="BM79" i="2"/>
  <c r="BE80" i="2"/>
  <c r="BF80" i="2"/>
  <c r="BG80" i="2"/>
  <c r="BH80" i="2"/>
  <c r="BI80" i="2"/>
  <c r="BJ80" i="2"/>
  <c r="BK80" i="2"/>
  <c r="BL80" i="2"/>
  <c r="BM80" i="2"/>
  <c r="BE81" i="2"/>
  <c r="BF81" i="2"/>
  <c r="BG81" i="2"/>
  <c r="BH81" i="2"/>
  <c r="BI81" i="2"/>
  <c r="BJ81" i="2"/>
  <c r="BK81" i="2"/>
  <c r="BL81" i="2"/>
  <c r="BM81" i="2"/>
  <c r="BE82" i="2"/>
  <c r="BF82" i="2"/>
  <c r="BG82" i="2"/>
  <c r="BH82" i="2"/>
  <c r="BI82" i="2"/>
  <c r="BJ82" i="2"/>
  <c r="BK82" i="2"/>
  <c r="BL82" i="2"/>
  <c r="BM82" i="2"/>
  <c r="BE83" i="2"/>
  <c r="BF83" i="2"/>
  <c r="BG83" i="2"/>
  <c r="BH83" i="2"/>
  <c r="BI83" i="2"/>
  <c r="BJ83" i="2"/>
  <c r="BK83" i="2"/>
  <c r="BL83" i="2"/>
  <c r="BM83" i="2"/>
  <c r="BE84" i="2"/>
  <c r="BF84" i="2"/>
  <c r="BG84" i="2"/>
  <c r="BH84" i="2"/>
  <c r="BI84" i="2"/>
  <c r="BJ84" i="2"/>
  <c r="BK84" i="2"/>
  <c r="BL84" i="2"/>
  <c r="BM84" i="2"/>
  <c r="BE85" i="2"/>
  <c r="BF85" i="2"/>
  <c r="BG85" i="2"/>
  <c r="BH85" i="2"/>
  <c r="BI85" i="2"/>
  <c r="BJ85" i="2"/>
  <c r="BK85" i="2"/>
  <c r="BL85" i="2"/>
  <c r="BM85" i="2"/>
  <c r="BE86" i="2"/>
  <c r="BF86" i="2"/>
  <c r="BG86" i="2"/>
  <c r="BH86" i="2"/>
  <c r="BI86" i="2"/>
  <c r="BJ86" i="2"/>
  <c r="BK86" i="2"/>
  <c r="BL86" i="2"/>
  <c r="BM86" i="2"/>
  <c r="BE87" i="2"/>
  <c r="BF87" i="2"/>
  <c r="BG87" i="2"/>
  <c r="BH87" i="2"/>
  <c r="BI87" i="2"/>
  <c r="BJ87" i="2"/>
  <c r="BK87" i="2"/>
  <c r="BL87" i="2"/>
  <c r="BM87" i="2"/>
  <c r="BE88" i="2"/>
  <c r="BF88" i="2"/>
  <c r="BG88" i="2"/>
  <c r="BH88" i="2"/>
  <c r="BI88" i="2"/>
  <c r="BJ88" i="2"/>
  <c r="BK88" i="2"/>
  <c r="BL88" i="2"/>
  <c r="BM88" i="2"/>
  <c r="BE89" i="2"/>
  <c r="BF89" i="2"/>
  <c r="BG89" i="2"/>
  <c r="BH89" i="2"/>
  <c r="BI89" i="2"/>
  <c r="BJ89" i="2"/>
  <c r="BK89" i="2"/>
  <c r="BL89" i="2"/>
  <c r="BM89" i="2"/>
  <c r="BE90" i="2"/>
  <c r="BF90" i="2"/>
  <c r="BG90" i="2"/>
  <c r="BH90" i="2"/>
  <c r="BI90" i="2"/>
  <c r="BJ90" i="2"/>
  <c r="BK90" i="2"/>
  <c r="BL90" i="2"/>
  <c r="BM90" i="2"/>
  <c r="BE91" i="2"/>
  <c r="BF91" i="2"/>
  <c r="BG91" i="2"/>
  <c r="BH91" i="2"/>
  <c r="BI91" i="2"/>
  <c r="BJ91" i="2"/>
  <c r="BK91" i="2"/>
  <c r="BL91" i="2"/>
  <c r="BM91" i="2"/>
  <c r="BE92" i="2"/>
  <c r="BF92" i="2"/>
  <c r="BG92" i="2"/>
  <c r="BH92" i="2"/>
  <c r="BI92" i="2"/>
  <c r="BJ92" i="2"/>
  <c r="BK92" i="2"/>
  <c r="BL92" i="2"/>
  <c r="BM92" i="2"/>
  <c r="BE93" i="2"/>
  <c r="BF93" i="2"/>
  <c r="BG93" i="2"/>
  <c r="BH93" i="2"/>
  <c r="BI93" i="2"/>
  <c r="BJ93" i="2"/>
  <c r="BK93" i="2"/>
  <c r="BL93" i="2"/>
  <c r="BM93" i="2"/>
  <c r="BE94" i="2"/>
  <c r="BF94" i="2"/>
  <c r="BG94" i="2"/>
  <c r="BH94" i="2"/>
  <c r="BI94" i="2"/>
  <c r="BJ94" i="2"/>
  <c r="BK94" i="2"/>
  <c r="BL94" i="2"/>
  <c r="BM94" i="2"/>
  <c r="BE95" i="2"/>
  <c r="BF95" i="2"/>
  <c r="BG95" i="2"/>
  <c r="BH95" i="2"/>
  <c r="BI95" i="2"/>
  <c r="BJ95" i="2"/>
  <c r="BK95" i="2"/>
  <c r="BL95" i="2"/>
  <c r="BM95" i="2"/>
  <c r="BE96" i="2"/>
  <c r="BF96" i="2"/>
  <c r="BG96" i="2"/>
  <c r="BH96" i="2"/>
  <c r="BI96" i="2"/>
  <c r="BJ96" i="2"/>
  <c r="BK96" i="2"/>
  <c r="BL96" i="2"/>
  <c r="BM96" i="2"/>
  <c r="BE97" i="2"/>
  <c r="BF97" i="2"/>
  <c r="BG97" i="2"/>
  <c r="BH97" i="2"/>
  <c r="BI97" i="2"/>
  <c r="BJ97" i="2"/>
  <c r="BK97" i="2"/>
  <c r="BL97" i="2"/>
  <c r="BM97" i="2"/>
  <c r="BE98" i="2"/>
  <c r="BF98" i="2"/>
  <c r="BG98" i="2"/>
  <c r="BH98" i="2"/>
  <c r="BI98" i="2"/>
  <c r="BJ98" i="2"/>
  <c r="BK98" i="2"/>
  <c r="BL98" i="2"/>
  <c r="BM98" i="2"/>
  <c r="BE99" i="2"/>
  <c r="BF99" i="2"/>
  <c r="BG99" i="2"/>
  <c r="BH99" i="2"/>
  <c r="BI99" i="2"/>
  <c r="BJ99" i="2"/>
  <c r="BK99" i="2"/>
  <c r="BL99" i="2"/>
  <c r="BM99" i="2"/>
  <c r="BE100" i="2"/>
  <c r="BF100" i="2"/>
  <c r="BG100" i="2"/>
  <c r="BH100" i="2"/>
  <c r="BI100" i="2"/>
  <c r="BJ100" i="2"/>
  <c r="BK100" i="2"/>
  <c r="BL100" i="2"/>
  <c r="BM100" i="2"/>
  <c r="BE101" i="2"/>
  <c r="BF101" i="2"/>
  <c r="BG101" i="2"/>
  <c r="BH101" i="2"/>
  <c r="BI101" i="2"/>
  <c r="BJ101" i="2"/>
  <c r="BK101" i="2"/>
  <c r="BL101" i="2"/>
  <c r="BM101" i="2"/>
  <c r="BE102" i="2"/>
  <c r="BF102" i="2"/>
  <c r="BG102" i="2"/>
  <c r="BH102" i="2"/>
  <c r="BI102" i="2"/>
  <c r="BJ102" i="2"/>
  <c r="BK102" i="2"/>
  <c r="BL102" i="2"/>
  <c r="BM102" i="2"/>
  <c r="BE103" i="2"/>
  <c r="BF103" i="2"/>
  <c r="BG103" i="2"/>
  <c r="BH103" i="2"/>
  <c r="BI103" i="2"/>
  <c r="BJ103" i="2"/>
  <c r="BK103" i="2"/>
  <c r="BL103" i="2"/>
  <c r="BM103" i="2"/>
  <c r="BE104" i="2"/>
  <c r="BF104" i="2"/>
  <c r="BG104" i="2"/>
  <c r="BH104" i="2"/>
  <c r="BI104" i="2"/>
  <c r="BJ104" i="2"/>
  <c r="BK104" i="2"/>
  <c r="BL104" i="2"/>
  <c r="BM104" i="2"/>
  <c r="BE105" i="2"/>
  <c r="BF105" i="2"/>
  <c r="BG105" i="2"/>
  <c r="BH105" i="2"/>
  <c r="BI105" i="2"/>
  <c r="BJ105" i="2"/>
  <c r="BK105" i="2"/>
  <c r="BL105" i="2"/>
  <c r="BM105" i="2"/>
  <c r="BE106" i="2"/>
  <c r="BF106" i="2"/>
  <c r="BG106" i="2"/>
  <c r="BH106" i="2"/>
  <c r="BI106" i="2"/>
  <c r="BJ106" i="2"/>
  <c r="BK106" i="2"/>
  <c r="BL106" i="2"/>
  <c r="BM106" i="2"/>
  <c r="BE107" i="2"/>
  <c r="BF107" i="2"/>
  <c r="BG107" i="2"/>
  <c r="BH107" i="2"/>
  <c r="BI107" i="2"/>
  <c r="BJ107" i="2"/>
  <c r="BK107" i="2"/>
  <c r="BL107" i="2"/>
  <c r="BM107" i="2"/>
  <c r="BE108" i="2"/>
  <c r="BF108" i="2"/>
  <c r="BG108" i="2"/>
  <c r="BH108" i="2"/>
  <c r="BI108" i="2"/>
  <c r="BJ108" i="2"/>
  <c r="BK108" i="2"/>
  <c r="BL108" i="2"/>
  <c r="BM108" i="2"/>
  <c r="BE109" i="2"/>
  <c r="BF109" i="2"/>
  <c r="BG109" i="2"/>
  <c r="BH109" i="2"/>
  <c r="BI109" i="2"/>
  <c r="BJ109" i="2"/>
  <c r="BK109" i="2"/>
  <c r="BL109" i="2"/>
  <c r="BM109" i="2"/>
  <c r="BE110" i="2"/>
  <c r="BF110" i="2"/>
  <c r="BG110" i="2"/>
  <c r="BH110" i="2"/>
  <c r="BI110" i="2"/>
  <c r="BJ110" i="2"/>
  <c r="BK110" i="2"/>
  <c r="BL110" i="2"/>
  <c r="BM110" i="2"/>
  <c r="BE111" i="2"/>
  <c r="BF111" i="2"/>
  <c r="BG111" i="2"/>
  <c r="BH111" i="2"/>
  <c r="BI111" i="2"/>
  <c r="BJ111" i="2"/>
  <c r="BK111" i="2"/>
  <c r="BL111" i="2"/>
  <c r="BM111" i="2"/>
  <c r="BE112" i="2"/>
  <c r="BF112" i="2"/>
  <c r="BG112" i="2"/>
  <c r="BH112" i="2"/>
  <c r="BI112" i="2"/>
  <c r="BJ112" i="2"/>
  <c r="BK112" i="2"/>
  <c r="BL112" i="2"/>
  <c r="BM112" i="2"/>
  <c r="BE113" i="2"/>
  <c r="BF113" i="2"/>
  <c r="BG113" i="2"/>
  <c r="BH113" i="2"/>
  <c r="BI113" i="2"/>
  <c r="BJ113" i="2"/>
  <c r="BK113" i="2"/>
  <c r="BL113" i="2"/>
  <c r="BM113" i="2"/>
  <c r="BE114" i="2"/>
  <c r="BF114" i="2"/>
  <c r="BG114" i="2"/>
  <c r="BH114" i="2"/>
  <c r="BI114" i="2"/>
  <c r="BJ114" i="2"/>
  <c r="BK114" i="2"/>
  <c r="BL114" i="2"/>
  <c r="BM114" i="2"/>
  <c r="BE115" i="2"/>
  <c r="BF115" i="2"/>
  <c r="BG115" i="2"/>
  <c r="BH115" i="2"/>
  <c r="BI115" i="2"/>
  <c r="BJ115" i="2"/>
  <c r="BK115" i="2"/>
  <c r="BL115" i="2"/>
  <c r="BM115" i="2"/>
  <c r="BE116" i="2"/>
  <c r="BF116" i="2"/>
  <c r="BG116" i="2"/>
  <c r="BH116" i="2"/>
  <c r="BI116" i="2"/>
  <c r="BJ116" i="2"/>
  <c r="BK116" i="2"/>
  <c r="BL116" i="2"/>
  <c r="BM116" i="2"/>
  <c r="BE117" i="2"/>
  <c r="BF117" i="2"/>
  <c r="BG117" i="2"/>
  <c r="BH117" i="2"/>
  <c r="BI117" i="2"/>
  <c r="BJ117" i="2"/>
  <c r="BK117" i="2"/>
  <c r="BL117" i="2"/>
  <c r="BM117" i="2"/>
  <c r="BE118" i="2"/>
  <c r="BF118" i="2"/>
  <c r="BG118" i="2"/>
  <c r="BH118" i="2"/>
  <c r="BI118" i="2"/>
  <c r="BJ118" i="2"/>
  <c r="BK118" i="2"/>
  <c r="BL118" i="2"/>
  <c r="BM118" i="2"/>
  <c r="BE119" i="2"/>
  <c r="BF119" i="2"/>
  <c r="BG119" i="2"/>
  <c r="BH119" i="2"/>
  <c r="BI119" i="2"/>
  <c r="BJ119" i="2"/>
  <c r="BK119" i="2"/>
  <c r="BL119" i="2"/>
  <c r="BM119" i="2"/>
  <c r="BE120" i="2"/>
  <c r="BF120" i="2"/>
  <c r="BG120" i="2"/>
  <c r="BH120" i="2"/>
  <c r="BI120" i="2"/>
  <c r="BJ120" i="2"/>
  <c r="BK120" i="2"/>
  <c r="BL120" i="2"/>
  <c r="BM120" i="2"/>
  <c r="BE121" i="2"/>
  <c r="BF121" i="2"/>
  <c r="BG121" i="2"/>
  <c r="BH121" i="2"/>
  <c r="BI121" i="2"/>
  <c r="BJ121" i="2"/>
  <c r="BK121" i="2"/>
  <c r="BL121" i="2"/>
  <c r="BM121" i="2"/>
  <c r="BE122" i="2"/>
  <c r="BF122" i="2"/>
  <c r="BG122" i="2"/>
  <c r="BH122" i="2"/>
  <c r="BI122" i="2"/>
  <c r="BJ122" i="2"/>
  <c r="BK122" i="2"/>
  <c r="BL122" i="2"/>
  <c r="BM122" i="2"/>
  <c r="BE123" i="2"/>
  <c r="BF123" i="2"/>
  <c r="BG123" i="2"/>
  <c r="BH123" i="2"/>
  <c r="BI123" i="2"/>
  <c r="BJ123" i="2"/>
  <c r="BK123" i="2"/>
  <c r="BL123" i="2"/>
  <c r="BM123" i="2"/>
  <c r="BE124" i="2"/>
  <c r="BF124" i="2"/>
  <c r="BG124" i="2"/>
  <c r="BH124" i="2"/>
  <c r="BI124" i="2"/>
  <c r="BJ124" i="2"/>
  <c r="BK124" i="2"/>
  <c r="BL124" i="2"/>
  <c r="BM124" i="2"/>
  <c r="BE125" i="2"/>
  <c r="BF125" i="2"/>
  <c r="BG125" i="2"/>
  <c r="BH125" i="2"/>
  <c r="BI125" i="2"/>
  <c r="BJ125" i="2"/>
  <c r="BK125" i="2"/>
  <c r="BL125" i="2"/>
  <c r="BM125" i="2"/>
  <c r="BE126" i="2"/>
  <c r="BF126" i="2"/>
  <c r="BG126" i="2"/>
  <c r="BH126" i="2"/>
  <c r="BI126" i="2"/>
  <c r="BJ126" i="2"/>
  <c r="BK126" i="2"/>
  <c r="BL126" i="2"/>
  <c r="BM126" i="2"/>
  <c r="BE127" i="2"/>
  <c r="BF127" i="2"/>
  <c r="BG127" i="2"/>
  <c r="BH127" i="2"/>
  <c r="BI127" i="2"/>
  <c r="BJ127" i="2"/>
  <c r="BK127" i="2"/>
  <c r="BL127" i="2"/>
  <c r="BM127" i="2"/>
  <c r="BE128" i="2"/>
  <c r="BF128" i="2"/>
  <c r="BG128" i="2"/>
  <c r="BH128" i="2"/>
  <c r="BI128" i="2"/>
  <c r="BJ128" i="2"/>
  <c r="BK128" i="2"/>
  <c r="BL128" i="2"/>
  <c r="BM128" i="2"/>
  <c r="BE129" i="2"/>
  <c r="BF129" i="2"/>
  <c r="BG129" i="2"/>
  <c r="BH129" i="2"/>
  <c r="BI129" i="2"/>
  <c r="BJ129" i="2"/>
  <c r="BK129" i="2"/>
  <c r="BL129" i="2"/>
  <c r="BM129" i="2"/>
  <c r="BE130" i="2"/>
  <c r="BF130" i="2"/>
  <c r="BG130" i="2"/>
  <c r="BH130" i="2"/>
  <c r="BI130" i="2"/>
  <c r="BJ130" i="2"/>
  <c r="BK130" i="2"/>
  <c r="BL130" i="2"/>
  <c r="BM130" i="2"/>
  <c r="BE131" i="2"/>
  <c r="BF131" i="2"/>
  <c r="BG131" i="2"/>
  <c r="BH131" i="2"/>
  <c r="BI131" i="2"/>
  <c r="BJ131" i="2"/>
  <c r="BK131" i="2"/>
  <c r="BL131" i="2"/>
  <c r="BM131" i="2"/>
  <c r="BE132" i="2"/>
  <c r="BF132" i="2"/>
  <c r="BG132" i="2"/>
  <c r="BH132" i="2"/>
  <c r="BI132" i="2"/>
  <c r="BJ132" i="2"/>
  <c r="BK132" i="2"/>
  <c r="BL132" i="2"/>
  <c r="BM132" i="2"/>
  <c r="BE133" i="2"/>
  <c r="BF133" i="2"/>
  <c r="BG133" i="2"/>
  <c r="BH133" i="2"/>
  <c r="BI133" i="2"/>
  <c r="BJ133" i="2"/>
  <c r="BK133" i="2"/>
  <c r="BL133" i="2"/>
  <c r="BM133" i="2"/>
  <c r="BE134" i="2"/>
  <c r="BF134" i="2"/>
  <c r="BG134" i="2"/>
  <c r="BH134" i="2"/>
  <c r="BI134" i="2"/>
  <c r="BJ134" i="2"/>
  <c r="BK134" i="2"/>
  <c r="BL134" i="2"/>
  <c r="BM134" i="2"/>
  <c r="BE135" i="2"/>
  <c r="BF135" i="2"/>
  <c r="BG135" i="2"/>
  <c r="BH135" i="2"/>
  <c r="BI135" i="2"/>
  <c r="BJ135" i="2"/>
  <c r="BK135" i="2"/>
  <c r="BL135" i="2"/>
  <c r="BM135" i="2"/>
  <c r="BE136" i="2"/>
  <c r="BF136" i="2"/>
  <c r="BG136" i="2"/>
  <c r="BH136" i="2"/>
  <c r="BI136" i="2"/>
  <c r="BJ136" i="2"/>
  <c r="BK136" i="2"/>
  <c r="BL136" i="2"/>
  <c r="BM136" i="2"/>
  <c r="BE137" i="2"/>
  <c r="BF137" i="2"/>
  <c r="BG137" i="2"/>
  <c r="BH137" i="2"/>
  <c r="BI137" i="2"/>
  <c r="BJ137" i="2"/>
  <c r="BK137" i="2"/>
  <c r="BL137" i="2"/>
  <c r="BM137" i="2"/>
  <c r="BE138" i="2"/>
  <c r="BF138" i="2"/>
  <c r="BG138" i="2"/>
  <c r="BH138" i="2"/>
  <c r="BI138" i="2"/>
  <c r="BJ138" i="2"/>
  <c r="BK138" i="2"/>
  <c r="BL138" i="2"/>
  <c r="BM138" i="2"/>
  <c r="BE139" i="2"/>
  <c r="BF139" i="2"/>
  <c r="BG139" i="2"/>
  <c r="BH139" i="2"/>
  <c r="BI139" i="2"/>
  <c r="BJ139" i="2"/>
  <c r="BK139" i="2"/>
  <c r="BL139" i="2"/>
  <c r="BM139" i="2"/>
  <c r="BE140" i="2"/>
  <c r="BF140" i="2"/>
  <c r="BG140" i="2"/>
  <c r="BH140" i="2"/>
  <c r="BI140" i="2"/>
  <c r="BJ140" i="2"/>
  <c r="BK140" i="2"/>
  <c r="BL140" i="2"/>
  <c r="BM140" i="2"/>
  <c r="BE141" i="2"/>
  <c r="BF141" i="2"/>
  <c r="BG141" i="2"/>
  <c r="BH141" i="2"/>
  <c r="BI141" i="2"/>
  <c r="BJ141" i="2"/>
  <c r="BK141" i="2"/>
  <c r="BL141" i="2"/>
  <c r="BM141" i="2"/>
  <c r="BE142" i="2"/>
  <c r="BF142" i="2"/>
  <c r="BG142" i="2"/>
  <c r="BH142" i="2"/>
  <c r="BI142" i="2"/>
  <c r="BJ142" i="2"/>
  <c r="BK142" i="2"/>
  <c r="BL142" i="2"/>
  <c r="BM142" i="2"/>
  <c r="BE143" i="2"/>
  <c r="BF143" i="2"/>
  <c r="BG143" i="2"/>
  <c r="BH143" i="2"/>
  <c r="BI143" i="2"/>
  <c r="BJ143" i="2"/>
  <c r="BK143" i="2"/>
  <c r="BL143" i="2"/>
  <c r="BM143" i="2"/>
  <c r="BE144" i="2"/>
  <c r="BF144" i="2"/>
  <c r="BG144" i="2"/>
  <c r="BH144" i="2"/>
  <c r="BI144" i="2"/>
  <c r="BJ144" i="2"/>
  <c r="BK144" i="2"/>
  <c r="BL144" i="2"/>
  <c r="BM144" i="2"/>
  <c r="BE145" i="2"/>
  <c r="BF145" i="2"/>
  <c r="BG145" i="2"/>
  <c r="BH145" i="2"/>
  <c r="BI145" i="2"/>
  <c r="BJ145" i="2"/>
  <c r="BK145" i="2"/>
  <c r="BL145" i="2"/>
  <c r="BM145" i="2"/>
  <c r="BE146" i="2"/>
  <c r="BF146" i="2"/>
  <c r="BG146" i="2"/>
  <c r="BH146" i="2"/>
  <c r="BI146" i="2"/>
  <c r="BJ146" i="2"/>
  <c r="BK146" i="2"/>
  <c r="BL146" i="2"/>
  <c r="BM146" i="2"/>
  <c r="BE147" i="2"/>
  <c r="BF147" i="2"/>
  <c r="BG147" i="2"/>
  <c r="BH147" i="2"/>
  <c r="BI147" i="2"/>
  <c r="BJ147" i="2"/>
  <c r="BK147" i="2"/>
  <c r="BL147" i="2"/>
  <c r="BM147" i="2"/>
  <c r="BE148" i="2"/>
  <c r="BF148" i="2"/>
  <c r="BG148" i="2"/>
  <c r="BH148" i="2"/>
  <c r="BI148" i="2"/>
  <c r="BJ148" i="2"/>
  <c r="BK148" i="2"/>
  <c r="BL148" i="2"/>
  <c r="BM148" i="2"/>
  <c r="BE149" i="2"/>
  <c r="BF149" i="2"/>
  <c r="BG149" i="2"/>
  <c r="BH149" i="2"/>
  <c r="BI149" i="2"/>
  <c r="BJ149" i="2"/>
  <c r="BK149" i="2"/>
  <c r="BL149" i="2"/>
  <c r="BM149" i="2"/>
  <c r="BE150" i="2"/>
  <c r="BF150" i="2"/>
  <c r="BG150" i="2"/>
  <c r="BH150" i="2"/>
  <c r="BI150" i="2"/>
  <c r="BJ150" i="2"/>
  <c r="BK150" i="2"/>
  <c r="BL150" i="2"/>
  <c r="BM150" i="2"/>
  <c r="BE151" i="2"/>
  <c r="BF151" i="2"/>
  <c r="BG151" i="2"/>
  <c r="BH151" i="2"/>
  <c r="BI151" i="2"/>
  <c r="BJ151" i="2"/>
  <c r="BK151" i="2"/>
  <c r="BL151" i="2"/>
  <c r="BM151" i="2"/>
  <c r="BE152" i="2"/>
  <c r="BF152" i="2"/>
  <c r="BG152" i="2"/>
  <c r="BH152" i="2"/>
  <c r="BI152" i="2"/>
  <c r="BJ152" i="2"/>
  <c r="BK152" i="2"/>
  <c r="BL152" i="2"/>
  <c r="BM152" i="2"/>
  <c r="BE153" i="2"/>
  <c r="BF153" i="2"/>
  <c r="BG153" i="2"/>
  <c r="BH153" i="2"/>
  <c r="BI153" i="2"/>
  <c r="BJ153" i="2"/>
  <c r="BK153" i="2"/>
  <c r="BL153" i="2"/>
  <c r="BM153" i="2"/>
  <c r="BE154" i="2"/>
  <c r="BF154" i="2"/>
  <c r="BG154" i="2"/>
  <c r="BH154" i="2"/>
  <c r="BI154" i="2"/>
  <c r="BJ154" i="2"/>
  <c r="BK154" i="2"/>
  <c r="BL154" i="2"/>
  <c r="BM154" i="2"/>
  <c r="BE155" i="2"/>
  <c r="BF155" i="2"/>
  <c r="BG155" i="2"/>
  <c r="BH155" i="2"/>
  <c r="BI155" i="2"/>
  <c r="BJ155" i="2"/>
  <c r="BK155" i="2"/>
  <c r="BL155" i="2"/>
  <c r="BM155" i="2"/>
  <c r="BE156" i="2"/>
  <c r="BF156" i="2"/>
  <c r="BG156" i="2"/>
  <c r="BH156" i="2"/>
  <c r="BI156" i="2"/>
  <c r="BJ156" i="2"/>
  <c r="BK156" i="2"/>
  <c r="BL156" i="2"/>
  <c r="BM156" i="2"/>
  <c r="BE157" i="2"/>
  <c r="BF157" i="2"/>
  <c r="BG157" i="2"/>
  <c r="BH157" i="2"/>
  <c r="BI157" i="2"/>
  <c r="BJ157" i="2"/>
  <c r="BK157" i="2"/>
  <c r="BL157" i="2"/>
  <c r="BM157" i="2"/>
  <c r="BE158" i="2"/>
  <c r="BF158" i="2"/>
  <c r="BG158" i="2"/>
  <c r="BH158" i="2"/>
  <c r="BI158" i="2"/>
  <c r="BJ158" i="2"/>
  <c r="BK158" i="2"/>
  <c r="BL158" i="2"/>
  <c r="BM158" i="2"/>
  <c r="BE159" i="2"/>
  <c r="BF159" i="2"/>
  <c r="BG159" i="2"/>
  <c r="BH159" i="2"/>
  <c r="BI159" i="2"/>
  <c r="BJ159" i="2"/>
  <c r="BK159" i="2"/>
  <c r="BL159" i="2"/>
  <c r="BM159" i="2"/>
  <c r="BE160" i="2"/>
  <c r="BF160" i="2"/>
  <c r="BG160" i="2"/>
  <c r="BH160" i="2"/>
  <c r="BI160" i="2"/>
  <c r="BJ160" i="2"/>
  <c r="BK160" i="2"/>
  <c r="BL160" i="2"/>
  <c r="BM160" i="2"/>
  <c r="BE161" i="2"/>
  <c r="BF161" i="2"/>
  <c r="BG161" i="2"/>
  <c r="BH161" i="2"/>
  <c r="BI161" i="2"/>
  <c r="BJ161" i="2"/>
  <c r="BK161" i="2"/>
  <c r="BL161" i="2"/>
  <c r="BM161" i="2"/>
  <c r="BE162" i="2"/>
  <c r="BF162" i="2"/>
  <c r="BG162" i="2"/>
  <c r="BH162" i="2"/>
  <c r="BI162" i="2"/>
  <c r="BJ162" i="2"/>
  <c r="BK162" i="2"/>
  <c r="BL162" i="2"/>
  <c r="BM162" i="2"/>
  <c r="BE163" i="2"/>
  <c r="BF163" i="2"/>
  <c r="BG163" i="2"/>
  <c r="BH163" i="2"/>
  <c r="BI163" i="2"/>
  <c r="BJ163" i="2"/>
  <c r="BK163" i="2"/>
  <c r="BL163" i="2"/>
  <c r="BM163" i="2"/>
  <c r="BE164" i="2"/>
  <c r="BF164" i="2"/>
  <c r="BG164" i="2"/>
  <c r="BH164" i="2"/>
  <c r="BI164" i="2"/>
  <c r="BJ164" i="2"/>
  <c r="BK164" i="2"/>
  <c r="BL164" i="2"/>
  <c r="BM164" i="2"/>
  <c r="BE165" i="2"/>
  <c r="BF165" i="2"/>
  <c r="BG165" i="2"/>
  <c r="BH165" i="2"/>
  <c r="BI165" i="2"/>
  <c r="BJ165" i="2"/>
  <c r="BK165" i="2"/>
  <c r="BL165" i="2"/>
  <c r="BM165" i="2"/>
  <c r="BE166" i="2"/>
  <c r="BF166" i="2"/>
  <c r="BG166" i="2"/>
  <c r="BH166" i="2"/>
  <c r="BI166" i="2"/>
  <c r="BJ166" i="2"/>
  <c r="BK166" i="2"/>
  <c r="BL166" i="2"/>
  <c r="BM166" i="2"/>
  <c r="BE167" i="2"/>
  <c r="BF167" i="2"/>
  <c r="BG167" i="2"/>
  <c r="BH167" i="2"/>
  <c r="BI167" i="2"/>
  <c r="BJ167" i="2"/>
  <c r="BK167" i="2"/>
  <c r="BL167" i="2"/>
  <c r="BM167" i="2"/>
  <c r="BE168" i="2"/>
  <c r="BF168" i="2"/>
  <c r="BG168" i="2"/>
  <c r="BH168" i="2"/>
  <c r="BI168" i="2"/>
  <c r="BJ168" i="2"/>
  <c r="BK168" i="2"/>
  <c r="BL168" i="2"/>
  <c r="BM168" i="2"/>
  <c r="BE169" i="2"/>
  <c r="BF169" i="2"/>
  <c r="BG169" i="2"/>
  <c r="BH169" i="2"/>
  <c r="BI169" i="2"/>
  <c r="BJ169" i="2"/>
  <c r="BK169" i="2"/>
  <c r="BL169" i="2"/>
  <c r="BM169" i="2"/>
  <c r="BE170" i="2"/>
  <c r="BF170" i="2"/>
  <c r="BG170" i="2"/>
  <c r="BH170" i="2"/>
  <c r="BI170" i="2"/>
  <c r="BJ170" i="2"/>
  <c r="BK170" i="2"/>
  <c r="BL170" i="2"/>
  <c r="BM170" i="2"/>
  <c r="BE171" i="2"/>
  <c r="BF171" i="2"/>
  <c r="BG171" i="2"/>
  <c r="BH171" i="2"/>
  <c r="BI171" i="2"/>
  <c r="BJ171" i="2"/>
  <c r="BK171" i="2"/>
  <c r="BL171" i="2"/>
  <c r="BM171" i="2"/>
  <c r="BE172" i="2"/>
  <c r="BF172" i="2"/>
  <c r="BG172" i="2"/>
  <c r="BH172" i="2"/>
  <c r="BI172" i="2"/>
  <c r="BJ172" i="2"/>
  <c r="BK172" i="2"/>
  <c r="BL172" i="2"/>
  <c r="BM172" i="2"/>
  <c r="BE173" i="2"/>
  <c r="BF173" i="2"/>
  <c r="BG173" i="2"/>
  <c r="BH173" i="2"/>
  <c r="BI173" i="2"/>
  <c r="BJ173" i="2"/>
  <c r="BK173" i="2"/>
  <c r="BL173" i="2"/>
  <c r="BM173" i="2"/>
  <c r="BE174" i="2"/>
  <c r="BF174" i="2"/>
  <c r="BG174" i="2"/>
  <c r="BH174" i="2"/>
  <c r="BI174" i="2"/>
  <c r="BJ174" i="2"/>
  <c r="BK174" i="2"/>
  <c r="BL174" i="2"/>
  <c r="BM174" i="2"/>
  <c r="BE175" i="2"/>
  <c r="BF175" i="2"/>
  <c r="BG175" i="2"/>
  <c r="BH175" i="2"/>
  <c r="BI175" i="2"/>
  <c r="BJ175" i="2"/>
  <c r="BK175" i="2"/>
  <c r="BL175" i="2"/>
  <c r="BM175" i="2"/>
  <c r="BE176" i="2"/>
  <c r="BF176" i="2"/>
  <c r="BG176" i="2"/>
  <c r="BH176" i="2"/>
  <c r="BI176" i="2"/>
  <c r="BJ176" i="2"/>
  <c r="BK176" i="2"/>
  <c r="BL176" i="2"/>
  <c r="BM176" i="2"/>
  <c r="BE177" i="2"/>
  <c r="BF177" i="2"/>
  <c r="BG177" i="2"/>
  <c r="BH177" i="2"/>
  <c r="BI177" i="2"/>
  <c r="BJ177" i="2"/>
  <c r="BK177" i="2"/>
  <c r="BL177" i="2"/>
  <c r="BM177" i="2"/>
  <c r="BE178" i="2"/>
  <c r="BF178" i="2"/>
  <c r="BG178" i="2"/>
  <c r="BH178" i="2"/>
  <c r="BI178" i="2"/>
  <c r="BJ178" i="2"/>
  <c r="BK178" i="2"/>
  <c r="BL178" i="2"/>
  <c r="BM178" i="2"/>
  <c r="BE179" i="2"/>
  <c r="BF179" i="2"/>
  <c r="BG179" i="2"/>
  <c r="BH179" i="2"/>
  <c r="BI179" i="2"/>
  <c r="BJ179" i="2"/>
  <c r="BK179" i="2"/>
  <c r="BL179" i="2"/>
  <c r="BM179" i="2"/>
  <c r="BE180" i="2"/>
  <c r="BF180" i="2"/>
  <c r="BG180" i="2"/>
  <c r="BH180" i="2"/>
  <c r="BI180" i="2"/>
  <c r="BJ180" i="2"/>
  <c r="BK180" i="2"/>
  <c r="BL180" i="2"/>
  <c r="BM180" i="2"/>
  <c r="BE181" i="2"/>
  <c r="BF181" i="2"/>
  <c r="BG181" i="2"/>
  <c r="BH181" i="2"/>
  <c r="BI181" i="2"/>
  <c r="BJ181" i="2"/>
  <c r="BK181" i="2"/>
  <c r="BL181" i="2"/>
  <c r="BM181" i="2"/>
  <c r="BE182" i="2"/>
  <c r="BF182" i="2"/>
  <c r="BG182" i="2"/>
  <c r="BH182" i="2"/>
  <c r="BI182" i="2"/>
  <c r="BJ182" i="2"/>
  <c r="BK182" i="2"/>
  <c r="BL182" i="2"/>
  <c r="BM182" i="2"/>
  <c r="BE183" i="2"/>
  <c r="BF183" i="2"/>
  <c r="BG183" i="2"/>
  <c r="BH183" i="2"/>
  <c r="BI183" i="2"/>
  <c r="BJ183" i="2"/>
  <c r="BK183" i="2"/>
  <c r="BL183" i="2"/>
  <c r="BM183" i="2"/>
  <c r="BE184" i="2"/>
  <c r="BF184" i="2"/>
  <c r="BG184" i="2"/>
  <c r="BH184" i="2"/>
  <c r="BI184" i="2"/>
  <c r="BJ184" i="2"/>
  <c r="BK184" i="2"/>
  <c r="BL184" i="2"/>
  <c r="BM184" i="2"/>
  <c r="BE185" i="2"/>
  <c r="BF185" i="2"/>
  <c r="BG185" i="2"/>
  <c r="BH185" i="2"/>
  <c r="BI185" i="2"/>
  <c r="BJ185" i="2"/>
  <c r="BK185" i="2"/>
  <c r="BL185" i="2"/>
  <c r="BM185" i="2"/>
  <c r="BE186" i="2"/>
  <c r="BF186" i="2"/>
  <c r="BG186" i="2"/>
  <c r="BH186" i="2"/>
  <c r="BI186" i="2"/>
  <c r="BJ186" i="2"/>
  <c r="BK186" i="2"/>
  <c r="BL186" i="2"/>
  <c r="BM186" i="2"/>
  <c r="BE187" i="2"/>
  <c r="BF187" i="2"/>
  <c r="BG187" i="2"/>
  <c r="BH187" i="2"/>
  <c r="BI187" i="2"/>
  <c r="BJ187" i="2"/>
  <c r="BK187" i="2"/>
  <c r="BL187" i="2"/>
  <c r="BM187" i="2"/>
  <c r="BE188" i="2"/>
  <c r="BF188" i="2"/>
  <c r="BG188" i="2"/>
  <c r="BH188" i="2"/>
  <c r="BI188" i="2"/>
  <c r="BJ188" i="2"/>
  <c r="BK188" i="2"/>
  <c r="BL188" i="2"/>
  <c r="BM188" i="2"/>
  <c r="BE189" i="2"/>
  <c r="BF189" i="2"/>
  <c r="BG189" i="2"/>
  <c r="BH189" i="2"/>
  <c r="BI189" i="2"/>
  <c r="BJ189" i="2"/>
  <c r="BK189" i="2"/>
  <c r="BL189" i="2"/>
  <c r="BM189" i="2"/>
  <c r="BE190" i="2"/>
  <c r="BF190" i="2"/>
  <c r="BG190" i="2"/>
  <c r="BH190" i="2"/>
  <c r="BI190" i="2"/>
  <c r="BJ190" i="2"/>
  <c r="BK190" i="2"/>
  <c r="BL190" i="2"/>
  <c r="BM190" i="2"/>
  <c r="BE191" i="2"/>
  <c r="BF191" i="2"/>
  <c r="BG191" i="2"/>
  <c r="BH191" i="2"/>
  <c r="BI191" i="2"/>
  <c r="BJ191" i="2"/>
  <c r="BK191" i="2"/>
  <c r="BL191" i="2"/>
  <c r="BM191" i="2"/>
  <c r="BE192" i="2"/>
  <c r="BF192" i="2"/>
  <c r="BG192" i="2"/>
  <c r="BH192" i="2"/>
  <c r="BI192" i="2"/>
  <c r="BJ192" i="2"/>
  <c r="BK192" i="2"/>
  <c r="BL192" i="2"/>
  <c r="BM192" i="2"/>
  <c r="BE193" i="2"/>
  <c r="BF193" i="2"/>
  <c r="BG193" i="2"/>
  <c r="BH193" i="2"/>
  <c r="BI193" i="2"/>
  <c r="BJ193" i="2"/>
  <c r="BK193" i="2"/>
  <c r="BL193" i="2"/>
  <c r="BM193" i="2"/>
  <c r="BE194" i="2"/>
  <c r="BF194" i="2"/>
  <c r="BG194" i="2"/>
  <c r="BH194" i="2"/>
  <c r="BI194" i="2"/>
  <c r="BJ194" i="2"/>
  <c r="BK194" i="2"/>
  <c r="BL194" i="2"/>
  <c r="BM194" i="2"/>
  <c r="BE195" i="2"/>
  <c r="BF195" i="2"/>
  <c r="BG195" i="2"/>
  <c r="BH195" i="2"/>
  <c r="BI195" i="2"/>
  <c r="BJ195" i="2"/>
  <c r="BK195" i="2"/>
  <c r="BL195" i="2"/>
  <c r="BM195" i="2"/>
  <c r="BE196" i="2"/>
  <c r="BF196" i="2"/>
  <c r="BG196" i="2"/>
  <c r="BH196" i="2"/>
  <c r="BI196" i="2"/>
  <c r="BJ196" i="2"/>
  <c r="BK196" i="2"/>
  <c r="BL196" i="2"/>
  <c r="BM196" i="2"/>
  <c r="BE197" i="2"/>
  <c r="BF197" i="2"/>
  <c r="BG197" i="2"/>
  <c r="BH197" i="2"/>
  <c r="BI197" i="2"/>
  <c r="BJ197" i="2"/>
  <c r="BK197" i="2"/>
  <c r="BL197" i="2"/>
  <c r="BM197" i="2"/>
  <c r="BE198" i="2"/>
  <c r="BF198" i="2"/>
  <c r="BG198" i="2"/>
  <c r="BH198" i="2"/>
  <c r="BI198" i="2"/>
  <c r="BJ198" i="2"/>
  <c r="BK198" i="2"/>
  <c r="BL198" i="2"/>
  <c r="BM198" i="2"/>
  <c r="BE199" i="2"/>
  <c r="BF199" i="2"/>
  <c r="BG199" i="2"/>
  <c r="BH199" i="2"/>
  <c r="BI199" i="2"/>
  <c r="BJ199" i="2"/>
  <c r="BK199" i="2"/>
  <c r="BL199" i="2"/>
  <c r="BM199" i="2"/>
  <c r="BE200" i="2"/>
  <c r="BF200" i="2"/>
  <c r="BG200" i="2"/>
  <c r="BH200" i="2"/>
  <c r="BI200" i="2"/>
  <c r="BJ200" i="2"/>
  <c r="BK200" i="2"/>
  <c r="BL200" i="2"/>
  <c r="BM200" i="2"/>
  <c r="BE201" i="2"/>
  <c r="BF201" i="2"/>
  <c r="BG201" i="2"/>
  <c r="BH201" i="2"/>
  <c r="BI201" i="2"/>
  <c r="BJ201" i="2"/>
  <c r="BK201" i="2"/>
  <c r="BL201" i="2"/>
  <c r="BM201" i="2"/>
  <c r="BE202" i="2"/>
  <c r="BF202" i="2"/>
  <c r="BG202" i="2"/>
  <c r="BH202" i="2"/>
  <c r="BI202" i="2"/>
  <c r="BJ202" i="2"/>
  <c r="BK202" i="2"/>
  <c r="BL202" i="2"/>
  <c r="BM202" i="2"/>
  <c r="BE203" i="2"/>
  <c r="BF203" i="2"/>
  <c r="BG203" i="2"/>
  <c r="BH203" i="2"/>
  <c r="BI203" i="2"/>
  <c r="BJ203" i="2"/>
  <c r="BK203" i="2"/>
  <c r="BL203" i="2"/>
  <c r="BM203" i="2"/>
  <c r="BE204" i="2"/>
  <c r="BF204" i="2"/>
  <c r="BG204" i="2"/>
  <c r="BH204" i="2"/>
  <c r="BI204" i="2"/>
  <c r="BJ204" i="2"/>
  <c r="BK204" i="2"/>
  <c r="BL204" i="2"/>
  <c r="BM204" i="2"/>
  <c r="BE205" i="2"/>
  <c r="BF205" i="2"/>
  <c r="BG205" i="2"/>
  <c r="BH205" i="2"/>
  <c r="BI205" i="2"/>
  <c r="BJ205" i="2"/>
  <c r="BK205" i="2"/>
  <c r="BL205" i="2"/>
  <c r="BM205" i="2"/>
  <c r="BF2" i="2"/>
  <c r="BG2" i="2"/>
  <c r="BH2" i="2"/>
  <c r="BI2" i="2"/>
  <c r="BJ2" i="2"/>
  <c r="BK2" i="2"/>
  <c r="BL2" i="2"/>
  <c r="BM2" i="2"/>
  <c r="BE2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" i="2"/>
  <c r="AV205" i="2"/>
  <c r="AV3" i="2"/>
  <c r="AW3" i="2"/>
  <c r="AX3" i="2"/>
  <c r="AY3" i="2"/>
  <c r="AZ3" i="2"/>
  <c r="BA3" i="2"/>
  <c r="BB3" i="2"/>
  <c r="BC3" i="2"/>
  <c r="BD3" i="2"/>
  <c r="AV4" i="2"/>
  <c r="AW4" i="2"/>
  <c r="AX4" i="2"/>
  <c r="AY4" i="2"/>
  <c r="AZ4" i="2"/>
  <c r="BA4" i="2"/>
  <c r="BB4" i="2"/>
  <c r="BC4" i="2"/>
  <c r="BD4" i="2"/>
  <c r="AV5" i="2"/>
  <c r="AW5" i="2"/>
  <c r="AX5" i="2"/>
  <c r="AY5" i="2"/>
  <c r="AZ5" i="2"/>
  <c r="BA5" i="2"/>
  <c r="BB5" i="2"/>
  <c r="BC5" i="2"/>
  <c r="BD5" i="2"/>
  <c r="AV6" i="2"/>
  <c r="AW6" i="2"/>
  <c r="AX6" i="2"/>
  <c r="AY6" i="2"/>
  <c r="AZ6" i="2"/>
  <c r="BA6" i="2"/>
  <c r="BB6" i="2"/>
  <c r="BC6" i="2"/>
  <c r="BD6" i="2"/>
  <c r="AV7" i="2"/>
  <c r="AW7" i="2"/>
  <c r="AX7" i="2"/>
  <c r="AY7" i="2"/>
  <c r="AZ7" i="2"/>
  <c r="BA7" i="2"/>
  <c r="BB7" i="2"/>
  <c r="BC7" i="2"/>
  <c r="BD7" i="2"/>
  <c r="AV8" i="2"/>
  <c r="AW8" i="2"/>
  <c r="AX8" i="2"/>
  <c r="AY8" i="2"/>
  <c r="AZ8" i="2"/>
  <c r="BA8" i="2"/>
  <c r="BB8" i="2"/>
  <c r="BC8" i="2"/>
  <c r="BD8" i="2"/>
  <c r="AV9" i="2"/>
  <c r="AW9" i="2"/>
  <c r="AX9" i="2"/>
  <c r="AY9" i="2"/>
  <c r="AZ9" i="2"/>
  <c r="BA9" i="2"/>
  <c r="BB9" i="2"/>
  <c r="BC9" i="2"/>
  <c r="BD9" i="2"/>
  <c r="AV10" i="2"/>
  <c r="AW10" i="2"/>
  <c r="AX10" i="2"/>
  <c r="AY10" i="2"/>
  <c r="AZ10" i="2"/>
  <c r="BA10" i="2"/>
  <c r="BB10" i="2"/>
  <c r="BC10" i="2"/>
  <c r="BD10" i="2"/>
  <c r="AV11" i="2"/>
  <c r="AW11" i="2"/>
  <c r="AX11" i="2"/>
  <c r="AY11" i="2"/>
  <c r="AZ11" i="2"/>
  <c r="BA11" i="2"/>
  <c r="BB11" i="2"/>
  <c r="BC11" i="2"/>
  <c r="BD11" i="2"/>
  <c r="AV12" i="2"/>
  <c r="AW12" i="2"/>
  <c r="AX12" i="2"/>
  <c r="AY12" i="2"/>
  <c r="AZ12" i="2"/>
  <c r="BA12" i="2"/>
  <c r="BB12" i="2"/>
  <c r="BC12" i="2"/>
  <c r="BD12" i="2"/>
  <c r="AV13" i="2"/>
  <c r="AW13" i="2"/>
  <c r="AX13" i="2"/>
  <c r="AY13" i="2"/>
  <c r="AZ13" i="2"/>
  <c r="BA13" i="2"/>
  <c r="BB13" i="2"/>
  <c r="BC13" i="2"/>
  <c r="BD13" i="2"/>
  <c r="AV14" i="2"/>
  <c r="AW14" i="2"/>
  <c r="AX14" i="2"/>
  <c r="AY14" i="2"/>
  <c r="AZ14" i="2"/>
  <c r="BA14" i="2"/>
  <c r="BB14" i="2"/>
  <c r="BC14" i="2"/>
  <c r="BD14" i="2"/>
  <c r="AV15" i="2"/>
  <c r="AW15" i="2"/>
  <c r="AX15" i="2"/>
  <c r="AY15" i="2"/>
  <c r="AZ15" i="2"/>
  <c r="BA15" i="2"/>
  <c r="BB15" i="2"/>
  <c r="BC15" i="2"/>
  <c r="BD15" i="2"/>
  <c r="AV16" i="2"/>
  <c r="AW16" i="2"/>
  <c r="AX16" i="2"/>
  <c r="AY16" i="2"/>
  <c r="AZ16" i="2"/>
  <c r="BA16" i="2"/>
  <c r="BB16" i="2"/>
  <c r="BC16" i="2"/>
  <c r="BD16" i="2"/>
  <c r="AV17" i="2"/>
  <c r="AW17" i="2"/>
  <c r="AX17" i="2"/>
  <c r="AY17" i="2"/>
  <c r="AZ17" i="2"/>
  <c r="BA17" i="2"/>
  <c r="BB17" i="2"/>
  <c r="BC17" i="2"/>
  <c r="BD17" i="2"/>
  <c r="AV18" i="2"/>
  <c r="AW18" i="2"/>
  <c r="AX18" i="2"/>
  <c r="AY18" i="2"/>
  <c r="AZ18" i="2"/>
  <c r="BA18" i="2"/>
  <c r="BB18" i="2"/>
  <c r="BC18" i="2"/>
  <c r="BD18" i="2"/>
  <c r="AV19" i="2"/>
  <c r="AW19" i="2"/>
  <c r="AX19" i="2"/>
  <c r="AY19" i="2"/>
  <c r="AZ19" i="2"/>
  <c r="BA19" i="2"/>
  <c r="BB19" i="2"/>
  <c r="BC19" i="2"/>
  <c r="BD19" i="2"/>
  <c r="AV20" i="2"/>
  <c r="AW20" i="2"/>
  <c r="AX20" i="2"/>
  <c r="AY20" i="2"/>
  <c r="AZ20" i="2"/>
  <c r="BA20" i="2"/>
  <c r="BB20" i="2"/>
  <c r="BC20" i="2"/>
  <c r="BD20" i="2"/>
  <c r="AV21" i="2"/>
  <c r="AW21" i="2"/>
  <c r="AX21" i="2"/>
  <c r="AY21" i="2"/>
  <c r="AZ21" i="2"/>
  <c r="BA21" i="2"/>
  <c r="BB21" i="2"/>
  <c r="BC21" i="2"/>
  <c r="BD21" i="2"/>
  <c r="AV22" i="2"/>
  <c r="AW22" i="2"/>
  <c r="AX22" i="2"/>
  <c r="AY22" i="2"/>
  <c r="AZ22" i="2"/>
  <c r="BA22" i="2"/>
  <c r="BB22" i="2"/>
  <c r="BC22" i="2"/>
  <c r="BD22" i="2"/>
  <c r="AV23" i="2"/>
  <c r="AW23" i="2"/>
  <c r="AX23" i="2"/>
  <c r="AY23" i="2"/>
  <c r="AZ23" i="2"/>
  <c r="BA23" i="2"/>
  <c r="BB23" i="2"/>
  <c r="BC23" i="2"/>
  <c r="BD23" i="2"/>
  <c r="AV24" i="2"/>
  <c r="AW24" i="2"/>
  <c r="AX24" i="2"/>
  <c r="AY24" i="2"/>
  <c r="AZ24" i="2"/>
  <c r="BA24" i="2"/>
  <c r="BB24" i="2"/>
  <c r="BC24" i="2"/>
  <c r="BD24" i="2"/>
  <c r="AV25" i="2"/>
  <c r="AW25" i="2"/>
  <c r="AX25" i="2"/>
  <c r="AY25" i="2"/>
  <c r="AZ25" i="2"/>
  <c r="BA25" i="2"/>
  <c r="BB25" i="2"/>
  <c r="BC25" i="2"/>
  <c r="BD25" i="2"/>
  <c r="AV26" i="2"/>
  <c r="AW26" i="2"/>
  <c r="AX26" i="2"/>
  <c r="AY26" i="2"/>
  <c r="AZ26" i="2"/>
  <c r="BA26" i="2"/>
  <c r="BB26" i="2"/>
  <c r="BC26" i="2"/>
  <c r="BD26" i="2"/>
  <c r="AV27" i="2"/>
  <c r="AW27" i="2"/>
  <c r="AX27" i="2"/>
  <c r="AY27" i="2"/>
  <c r="AZ27" i="2"/>
  <c r="BA27" i="2"/>
  <c r="BB27" i="2"/>
  <c r="BC27" i="2"/>
  <c r="BD27" i="2"/>
  <c r="AV28" i="2"/>
  <c r="AW28" i="2"/>
  <c r="AX28" i="2"/>
  <c r="AY28" i="2"/>
  <c r="AZ28" i="2"/>
  <c r="BA28" i="2"/>
  <c r="BB28" i="2"/>
  <c r="BC28" i="2"/>
  <c r="BD28" i="2"/>
  <c r="AV29" i="2"/>
  <c r="AW29" i="2"/>
  <c r="AX29" i="2"/>
  <c r="AY29" i="2"/>
  <c r="AZ29" i="2"/>
  <c r="BA29" i="2"/>
  <c r="BB29" i="2"/>
  <c r="BC29" i="2"/>
  <c r="BD29" i="2"/>
  <c r="AV30" i="2"/>
  <c r="AW30" i="2"/>
  <c r="AX30" i="2"/>
  <c r="AY30" i="2"/>
  <c r="AZ30" i="2"/>
  <c r="BA30" i="2"/>
  <c r="BB30" i="2"/>
  <c r="BC30" i="2"/>
  <c r="BD30" i="2"/>
  <c r="AV31" i="2"/>
  <c r="AW31" i="2"/>
  <c r="AX31" i="2"/>
  <c r="AY31" i="2"/>
  <c r="AZ31" i="2"/>
  <c r="BA31" i="2"/>
  <c r="BB31" i="2"/>
  <c r="BC31" i="2"/>
  <c r="BD31" i="2"/>
  <c r="AV32" i="2"/>
  <c r="AW32" i="2"/>
  <c r="AX32" i="2"/>
  <c r="AY32" i="2"/>
  <c r="AZ32" i="2"/>
  <c r="BA32" i="2"/>
  <c r="BB32" i="2"/>
  <c r="BC32" i="2"/>
  <c r="BD32" i="2"/>
  <c r="AV33" i="2"/>
  <c r="AW33" i="2"/>
  <c r="AX33" i="2"/>
  <c r="AY33" i="2"/>
  <c r="AZ33" i="2"/>
  <c r="BA33" i="2"/>
  <c r="BB33" i="2"/>
  <c r="BC33" i="2"/>
  <c r="BD33" i="2"/>
  <c r="AV34" i="2"/>
  <c r="AW34" i="2"/>
  <c r="AX34" i="2"/>
  <c r="AY34" i="2"/>
  <c r="AZ34" i="2"/>
  <c r="BA34" i="2"/>
  <c r="BB34" i="2"/>
  <c r="BC34" i="2"/>
  <c r="BD34" i="2"/>
  <c r="AV35" i="2"/>
  <c r="AW35" i="2"/>
  <c r="AX35" i="2"/>
  <c r="AY35" i="2"/>
  <c r="AZ35" i="2"/>
  <c r="BA35" i="2"/>
  <c r="BB35" i="2"/>
  <c r="BC35" i="2"/>
  <c r="BD35" i="2"/>
  <c r="AV36" i="2"/>
  <c r="AW36" i="2"/>
  <c r="AX36" i="2"/>
  <c r="AY36" i="2"/>
  <c r="AZ36" i="2"/>
  <c r="BA36" i="2"/>
  <c r="BB36" i="2"/>
  <c r="BC36" i="2"/>
  <c r="BD36" i="2"/>
  <c r="AV37" i="2"/>
  <c r="AW37" i="2"/>
  <c r="AX37" i="2"/>
  <c r="AY37" i="2"/>
  <c r="AZ37" i="2"/>
  <c r="BA37" i="2"/>
  <c r="BB37" i="2"/>
  <c r="BC37" i="2"/>
  <c r="BD37" i="2"/>
  <c r="AV38" i="2"/>
  <c r="AW38" i="2"/>
  <c r="AX38" i="2"/>
  <c r="AY38" i="2"/>
  <c r="AZ38" i="2"/>
  <c r="BA38" i="2"/>
  <c r="BB38" i="2"/>
  <c r="BC38" i="2"/>
  <c r="BD38" i="2"/>
  <c r="AV39" i="2"/>
  <c r="AW39" i="2"/>
  <c r="AX39" i="2"/>
  <c r="AY39" i="2"/>
  <c r="AZ39" i="2"/>
  <c r="BA39" i="2"/>
  <c r="BB39" i="2"/>
  <c r="BC39" i="2"/>
  <c r="BD39" i="2"/>
  <c r="AV40" i="2"/>
  <c r="AW40" i="2"/>
  <c r="AX40" i="2"/>
  <c r="AY40" i="2"/>
  <c r="AZ40" i="2"/>
  <c r="BA40" i="2"/>
  <c r="BB40" i="2"/>
  <c r="BC40" i="2"/>
  <c r="BD40" i="2"/>
  <c r="AV41" i="2"/>
  <c r="AW41" i="2"/>
  <c r="AX41" i="2"/>
  <c r="AY41" i="2"/>
  <c r="AZ41" i="2"/>
  <c r="BA41" i="2"/>
  <c r="BB41" i="2"/>
  <c r="BC41" i="2"/>
  <c r="BD41" i="2"/>
  <c r="AV42" i="2"/>
  <c r="AW42" i="2"/>
  <c r="AX42" i="2"/>
  <c r="AY42" i="2"/>
  <c r="AZ42" i="2"/>
  <c r="BA42" i="2"/>
  <c r="BB42" i="2"/>
  <c r="BC42" i="2"/>
  <c r="BD42" i="2"/>
  <c r="AV43" i="2"/>
  <c r="AW43" i="2"/>
  <c r="AX43" i="2"/>
  <c r="AY43" i="2"/>
  <c r="AZ43" i="2"/>
  <c r="BA43" i="2"/>
  <c r="BB43" i="2"/>
  <c r="BC43" i="2"/>
  <c r="BD43" i="2"/>
  <c r="AV44" i="2"/>
  <c r="AW44" i="2"/>
  <c r="AX44" i="2"/>
  <c r="AY44" i="2"/>
  <c r="AZ44" i="2"/>
  <c r="BA44" i="2"/>
  <c r="BB44" i="2"/>
  <c r="BC44" i="2"/>
  <c r="BD44" i="2"/>
  <c r="AV45" i="2"/>
  <c r="AW45" i="2"/>
  <c r="AX45" i="2"/>
  <c r="AY45" i="2"/>
  <c r="AZ45" i="2"/>
  <c r="BA45" i="2"/>
  <c r="BB45" i="2"/>
  <c r="BC45" i="2"/>
  <c r="BD45" i="2"/>
  <c r="AV46" i="2"/>
  <c r="AW46" i="2"/>
  <c r="AX46" i="2"/>
  <c r="AY46" i="2"/>
  <c r="AZ46" i="2"/>
  <c r="BA46" i="2"/>
  <c r="BB46" i="2"/>
  <c r="BC46" i="2"/>
  <c r="BD46" i="2"/>
  <c r="AV47" i="2"/>
  <c r="AW47" i="2"/>
  <c r="AX47" i="2"/>
  <c r="AY47" i="2"/>
  <c r="AZ47" i="2"/>
  <c r="BA47" i="2"/>
  <c r="BB47" i="2"/>
  <c r="BC47" i="2"/>
  <c r="BD47" i="2"/>
  <c r="AV48" i="2"/>
  <c r="AW48" i="2"/>
  <c r="AX48" i="2"/>
  <c r="AY48" i="2"/>
  <c r="AZ48" i="2"/>
  <c r="BA48" i="2"/>
  <c r="BB48" i="2"/>
  <c r="BC48" i="2"/>
  <c r="BD48" i="2"/>
  <c r="AV49" i="2"/>
  <c r="AW49" i="2"/>
  <c r="AX49" i="2"/>
  <c r="AY49" i="2"/>
  <c r="AZ49" i="2"/>
  <c r="BA49" i="2"/>
  <c r="BB49" i="2"/>
  <c r="BC49" i="2"/>
  <c r="BD49" i="2"/>
  <c r="AV50" i="2"/>
  <c r="AW50" i="2"/>
  <c r="AX50" i="2"/>
  <c r="AY50" i="2"/>
  <c r="AZ50" i="2"/>
  <c r="BA50" i="2"/>
  <c r="BB50" i="2"/>
  <c r="BC50" i="2"/>
  <c r="BD50" i="2"/>
  <c r="AV51" i="2"/>
  <c r="AW51" i="2"/>
  <c r="AX51" i="2"/>
  <c r="AY51" i="2"/>
  <c r="AZ51" i="2"/>
  <c r="BA51" i="2"/>
  <c r="BB51" i="2"/>
  <c r="BC51" i="2"/>
  <c r="BD51" i="2"/>
  <c r="AV52" i="2"/>
  <c r="AW52" i="2"/>
  <c r="AX52" i="2"/>
  <c r="AY52" i="2"/>
  <c r="AZ52" i="2"/>
  <c r="BA52" i="2"/>
  <c r="BB52" i="2"/>
  <c r="BC52" i="2"/>
  <c r="BD52" i="2"/>
  <c r="AV53" i="2"/>
  <c r="AW53" i="2"/>
  <c r="AX53" i="2"/>
  <c r="AY53" i="2"/>
  <c r="AZ53" i="2"/>
  <c r="BA53" i="2"/>
  <c r="BB53" i="2"/>
  <c r="BC53" i="2"/>
  <c r="BD53" i="2"/>
  <c r="AV54" i="2"/>
  <c r="AW54" i="2"/>
  <c r="AX54" i="2"/>
  <c r="AY54" i="2"/>
  <c r="AZ54" i="2"/>
  <c r="BA54" i="2"/>
  <c r="BB54" i="2"/>
  <c r="BC54" i="2"/>
  <c r="BD54" i="2"/>
  <c r="AV55" i="2"/>
  <c r="AW55" i="2"/>
  <c r="AX55" i="2"/>
  <c r="AY55" i="2"/>
  <c r="AZ55" i="2"/>
  <c r="BA55" i="2"/>
  <c r="BB55" i="2"/>
  <c r="BC55" i="2"/>
  <c r="BD55" i="2"/>
  <c r="AV56" i="2"/>
  <c r="AW56" i="2"/>
  <c r="AX56" i="2"/>
  <c r="AY56" i="2"/>
  <c r="AZ56" i="2"/>
  <c r="BA56" i="2"/>
  <c r="BB56" i="2"/>
  <c r="BC56" i="2"/>
  <c r="BD56" i="2"/>
  <c r="AV57" i="2"/>
  <c r="AW57" i="2"/>
  <c r="AX57" i="2"/>
  <c r="AY57" i="2"/>
  <c r="AZ57" i="2"/>
  <c r="BA57" i="2"/>
  <c r="BB57" i="2"/>
  <c r="BC57" i="2"/>
  <c r="BD57" i="2"/>
  <c r="AV58" i="2"/>
  <c r="AW58" i="2"/>
  <c r="AX58" i="2"/>
  <c r="AY58" i="2"/>
  <c r="AZ58" i="2"/>
  <c r="BA58" i="2"/>
  <c r="BB58" i="2"/>
  <c r="BC58" i="2"/>
  <c r="BD58" i="2"/>
  <c r="AV59" i="2"/>
  <c r="AW59" i="2"/>
  <c r="AX59" i="2"/>
  <c r="AY59" i="2"/>
  <c r="AZ59" i="2"/>
  <c r="BA59" i="2"/>
  <c r="BB59" i="2"/>
  <c r="BC59" i="2"/>
  <c r="BD59" i="2"/>
  <c r="AV60" i="2"/>
  <c r="AW60" i="2"/>
  <c r="AX60" i="2"/>
  <c r="AY60" i="2"/>
  <c r="AZ60" i="2"/>
  <c r="BA60" i="2"/>
  <c r="BB60" i="2"/>
  <c r="BC60" i="2"/>
  <c r="BD60" i="2"/>
  <c r="AV61" i="2"/>
  <c r="AW61" i="2"/>
  <c r="AX61" i="2"/>
  <c r="AY61" i="2"/>
  <c r="AZ61" i="2"/>
  <c r="BA61" i="2"/>
  <c r="BB61" i="2"/>
  <c r="BC61" i="2"/>
  <c r="BD61" i="2"/>
  <c r="AV62" i="2"/>
  <c r="AW62" i="2"/>
  <c r="AX62" i="2"/>
  <c r="AY62" i="2"/>
  <c r="AZ62" i="2"/>
  <c r="BA62" i="2"/>
  <c r="BB62" i="2"/>
  <c r="BC62" i="2"/>
  <c r="BD62" i="2"/>
  <c r="AV63" i="2"/>
  <c r="AW63" i="2"/>
  <c r="AX63" i="2"/>
  <c r="AY63" i="2"/>
  <c r="AZ63" i="2"/>
  <c r="BA63" i="2"/>
  <c r="BB63" i="2"/>
  <c r="BC63" i="2"/>
  <c r="BD63" i="2"/>
  <c r="AV64" i="2"/>
  <c r="AW64" i="2"/>
  <c r="AX64" i="2"/>
  <c r="AY64" i="2"/>
  <c r="AZ64" i="2"/>
  <c r="BA64" i="2"/>
  <c r="BB64" i="2"/>
  <c r="BC64" i="2"/>
  <c r="BD64" i="2"/>
  <c r="AV65" i="2"/>
  <c r="AW65" i="2"/>
  <c r="AX65" i="2"/>
  <c r="AY65" i="2"/>
  <c r="AZ65" i="2"/>
  <c r="BA65" i="2"/>
  <c r="BB65" i="2"/>
  <c r="BC65" i="2"/>
  <c r="BD65" i="2"/>
  <c r="AV66" i="2"/>
  <c r="AW66" i="2"/>
  <c r="AX66" i="2"/>
  <c r="AY66" i="2"/>
  <c r="AZ66" i="2"/>
  <c r="BA66" i="2"/>
  <c r="BB66" i="2"/>
  <c r="BC66" i="2"/>
  <c r="BD66" i="2"/>
  <c r="AV67" i="2"/>
  <c r="AW67" i="2"/>
  <c r="AX67" i="2"/>
  <c r="AY67" i="2"/>
  <c r="AZ67" i="2"/>
  <c r="BA67" i="2"/>
  <c r="BB67" i="2"/>
  <c r="BC67" i="2"/>
  <c r="BD67" i="2"/>
  <c r="AV68" i="2"/>
  <c r="AW68" i="2"/>
  <c r="AX68" i="2"/>
  <c r="AY68" i="2"/>
  <c r="AZ68" i="2"/>
  <c r="BA68" i="2"/>
  <c r="BB68" i="2"/>
  <c r="BC68" i="2"/>
  <c r="BD68" i="2"/>
  <c r="AV69" i="2"/>
  <c r="AW69" i="2"/>
  <c r="AX69" i="2"/>
  <c r="AY69" i="2"/>
  <c r="AZ69" i="2"/>
  <c r="BA69" i="2"/>
  <c r="BB69" i="2"/>
  <c r="BC69" i="2"/>
  <c r="BD69" i="2"/>
  <c r="AV70" i="2"/>
  <c r="AW70" i="2"/>
  <c r="AX70" i="2"/>
  <c r="AY70" i="2"/>
  <c r="AZ70" i="2"/>
  <c r="BA70" i="2"/>
  <c r="BB70" i="2"/>
  <c r="BC70" i="2"/>
  <c r="BD70" i="2"/>
  <c r="AV71" i="2"/>
  <c r="AW71" i="2"/>
  <c r="AX71" i="2"/>
  <c r="AY71" i="2"/>
  <c r="AZ71" i="2"/>
  <c r="BA71" i="2"/>
  <c r="BB71" i="2"/>
  <c r="BC71" i="2"/>
  <c r="BD71" i="2"/>
  <c r="AV72" i="2"/>
  <c r="AW72" i="2"/>
  <c r="AX72" i="2"/>
  <c r="AY72" i="2"/>
  <c r="AZ72" i="2"/>
  <c r="BA72" i="2"/>
  <c r="BB72" i="2"/>
  <c r="BC72" i="2"/>
  <c r="BD72" i="2"/>
  <c r="AV73" i="2"/>
  <c r="AW73" i="2"/>
  <c r="AX73" i="2"/>
  <c r="AY73" i="2"/>
  <c r="AZ73" i="2"/>
  <c r="BA73" i="2"/>
  <c r="BB73" i="2"/>
  <c r="BC73" i="2"/>
  <c r="BD73" i="2"/>
  <c r="AV74" i="2"/>
  <c r="AW74" i="2"/>
  <c r="AX74" i="2"/>
  <c r="AY74" i="2"/>
  <c r="AZ74" i="2"/>
  <c r="BA74" i="2"/>
  <c r="BB74" i="2"/>
  <c r="BC74" i="2"/>
  <c r="BD74" i="2"/>
  <c r="AV75" i="2"/>
  <c r="AW75" i="2"/>
  <c r="AX75" i="2"/>
  <c r="AY75" i="2"/>
  <c r="AZ75" i="2"/>
  <c r="BA75" i="2"/>
  <c r="BB75" i="2"/>
  <c r="BC75" i="2"/>
  <c r="BD75" i="2"/>
  <c r="AV76" i="2"/>
  <c r="AW76" i="2"/>
  <c r="AX76" i="2"/>
  <c r="AY76" i="2"/>
  <c r="AZ76" i="2"/>
  <c r="BA76" i="2"/>
  <c r="BB76" i="2"/>
  <c r="BC76" i="2"/>
  <c r="BD76" i="2"/>
  <c r="AV77" i="2"/>
  <c r="AW77" i="2"/>
  <c r="AX77" i="2"/>
  <c r="AY77" i="2"/>
  <c r="AZ77" i="2"/>
  <c r="BA77" i="2"/>
  <c r="BB77" i="2"/>
  <c r="BC77" i="2"/>
  <c r="BD77" i="2"/>
  <c r="AV78" i="2"/>
  <c r="AW78" i="2"/>
  <c r="AX78" i="2"/>
  <c r="AY78" i="2"/>
  <c r="AZ78" i="2"/>
  <c r="BA78" i="2"/>
  <c r="BB78" i="2"/>
  <c r="BC78" i="2"/>
  <c r="BD78" i="2"/>
  <c r="AV79" i="2"/>
  <c r="AW79" i="2"/>
  <c r="AX79" i="2"/>
  <c r="AY79" i="2"/>
  <c r="AZ79" i="2"/>
  <c r="BA79" i="2"/>
  <c r="BB79" i="2"/>
  <c r="BC79" i="2"/>
  <c r="BD79" i="2"/>
  <c r="AV80" i="2"/>
  <c r="AW80" i="2"/>
  <c r="AX80" i="2"/>
  <c r="AY80" i="2"/>
  <c r="AZ80" i="2"/>
  <c r="BA80" i="2"/>
  <c r="BB80" i="2"/>
  <c r="BC80" i="2"/>
  <c r="BD80" i="2"/>
  <c r="AV81" i="2"/>
  <c r="AW81" i="2"/>
  <c r="AX81" i="2"/>
  <c r="AY81" i="2"/>
  <c r="AZ81" i="2"/>
  <c r="BA81" i="2"/>
  <c r="BB81" i="2"/>
  <c r="BC81" i="2"/>
  <c r="BD81" i="2"/>
  <c r="AV82" i="2"/>
  <c r="AW82" i="2"/>
  <c r="AX82" i="2"/>
  <c r="AY82" i="2"/>
  <c r="AZ82" i="2"/>
  <c r="BA82" i="2"/>
  <c r="BB82" i="2"/>
  <c r="BC82" i="2"/>
  <c r="BD82" i="2"/>
  <c r="AV83" i="2"/>
  <c r="AW83" i="2"/>
  <c r="AX83" i="2"/>
  <c r="AY83" i="2"/>
  <c r="AZ83" i="2"/>
  <c r="BA83" i="2"/>
  <c r="BB83" i="2"/>
  <c r="BC83" i="2"/>
  <c r="BD83" i="2"/>
  <c r="AV84" i="2"/>
  <c r="AW84" i="2"/>
  <c r="AX84" i="2"/>
  <c r="AY84" i="2"/>
  <c r="AZ84" i="2"/>
  <c r="BA84" i="2"/>
  <c r="BB84" i="2"/>
  <c r="BC84" i="2"/>
  <c r="BD84" i="2"/>
  <c r="AV85" i="2"/>
  <c r="AW85" i="2"/>
  <c r="AX85" i="2"/>
  <c r="AY85" i="2"/>
  <c r="AZ85" i="2"/>
  <c r="BA85" i="2"/>
  <c r="BB85" i="2"/>
  <c r="BC85" i="2"/>
  <c r="BD85" i="2"/>
  <c r="AV86" i="2"/>
  <c r="AW86" i="2"/>
  <c r="AX86" i="2"/>
  <c r="AY86" i="2"/>
  <c r="AZ86" i="2"/>
  <c r="BA86" i="2"/>
  <c r="BB86" i="2"/>
  <c r="BC86" i="2"/>
  <c r="BD86" i="2"/>
  <c r="AV87" i="2"/>
  <c r="AW87" i="2"/>
  <c r="AX87" i="2"/>
  <c r="AY87" i="2"/>
  <c r="AZ87" i="2"/>
  <c r="BA87" i="2"/>
  <c r="BB87" i="2"/>
  <c r="BC87" i="2"/>
  <c r="BD87" i="2"/>
  <c r="AV88" i="2"/>
  <c r="AW88" i="2"/>
  <c r="AX88" i="2"/>
  <c r="AY88" i="2"/>
  <c r="AZ88" i="2"/>
  <c r="BA88" i="2"/>
  <c r="BB88" i="2"/>
  <c r="BC88" i="2"/>
  <c r="BD88" i="2"/>
  <c r="AV89" i="2"/>
  <c r="AW89" i="2"/>
  <c r="AX89" i="2"/>
  <c r="AY89" i="2"/>
  <c r="AZ89" i="2"/>
  <c r="BA89" i="2"/>
  <c r="BB89" i="2"/>
  <c r="BC89" i="2"/>
  <c r="BD89" i="2"/>
  <c r="AV90" i="2"/>
  <c r="AW90" i="2"/>
  <c r="AX90" i="2"/>
  <c r="AY90" i="2"/>
  <c r="AZ90" i="2"/>
  <c r="BA90" i="2"/>
  <c r="BB90" i="2"/>
  <c r="BC90" i="2"/>
  <c r="BD90" i="2"/>
  <c r="AV91" i="2"/>
  <c r="AW91" i="2"/>
  <c r="AX91" i="2"/>
  <c r="AY91" i="2"/>
  <c r="AZ91" i="2"/>
  <c r="BA91" i="2"/>
  <c r="BB91" i="2"/>
  <c r="BC91" i="2"/>
  <c r="BD91" i="2"/>
  <c r="AV92" i="2"/>
  <c r="AW92" i="2"/>
  <c r="AX92" i="2"/>
  <c r="AY92" i="2"/>
  <c r="AZ92" i="2"/>
  <c r="BA92" i="2"/>
  <c r="BB92" i="2"/>
  <c r="BC92" i="2"/>
  <c r="BD92" i="2"/>
  <c r="AV93" i="2"/>
  <c r="AW93" i="2"/>
  <c r="AX93" i="2"/>
  <c r="AY93" i="2"/>
  <c r="AZ93" i="2"/>
  <c r="BA93" i="2"/>
  <c r="BB93" i="2"/>
  <c r="BC93" i="2"/>
  <c r="BD93" i="2"/>
  <c r="AV94" i="2"/>
  <c r="AW94" i="2"/>
  <c r="AX94" i="2"/>
  <c r="AY94" i="2"/>
  <c r="AZ94" i="2"/>
  <c r="BA94" i="2"/>
  <c r="BB94" i="2"/>
  <c r="BC94" i="2"/>
  <c r="BD94" i="2"/>
  <c r="AV95" i="2"/>
  <c r="AW95" i="2"/>
  <c r="AX95" i="2"/>
  <c r="AY95" i="2"/>
  <c r="AZ95" i="2"/>
  <c r="BA95" i="2"/>
  <c r="BB95" i="2"/>
  <c r="BC95" i="2"/>
  <c r="BD95" i="2"/>
  <c r="AV96" i="2"/>
  <c r="AW96" i="2"/>
  <c r="AX96" i="2"/>
  <c r="AY96" i="2"/>
  <c r="AZ96" i="2"/>
  <c r="BA96" i="2"/>
  <c r="BB96" i="2"/>
  <c r="BC96" i="2"/>
  <c r="BD96" i="2"/>
  <c r="AV97" i="2"/>
  <c r="AW97" i="2"/>
  <c r="AX97" i="2"/>
  <c r="AY97" i="2"/>
  <c r="AZ97" i="2"/>
  <c r="BA97" i="2"/>
  <c r="BB97" i="2"/>
  <c r="BC97" i="2"/>
  <c r="BD97" i="2"/>
  <c r="AV98" i="2"/>
  <c r="AW98" i="2"/>
  <c r="AX98" i="2"/>
  <c r="AY98" i="2"/>
  <c r="AZ98" i="2"/>
  <c r="BA98" i="2"/>
  <c r="BB98" i="2"/>
  <c r="BC98" i="2"/>
  <c r="BD98" i="2"/>
  <c r="AV99" i="2"/>
  <c r="AW99" i="2"/>
  <c r="AX99" i="2"/>
  <c r="AY99" i="2"/>
  <c r="AZ99" i="2"/>
  <c r="BA99" i="2"/>
  <c r="BB99" i="2"/>
  <c r="BC99" i="2"/>
  <c r="BD99" i="2"/>
  <c r="AV100" i="2"/>
  <c r="AW100" i="2"/>
  <c r="AX100" i="2"/>
  <c r="AY100" i="2"/>
  <c r="AZ100" i="2"/>
  <c r="BA100" i="2"/>
  <c r="BB100" i="2"/>
  <c r="BC100" i="2"/>
  <c r="BD100" i="2"/>
  <c r="AV101" i="2"/>
  <c r="AW101" i="2"/>
  <c r="AX101" i="2"/>
  <c r="AY101" i="2"/>
  <c r="AZ101" i="2"/>
  <c r="BA101" i="2"/>
  <c r="BB101" i="2"/>
  <c r="BC101" i="2"/>
  <c r="BD101" i="2"/>
  <c r="AV102" i="2"/>
  <c r="AW102" i="2"/>
  <c r="AX102" i="2"/>
  <c r="AY102" i="2"/>
  <c r="AZ102" i="2"/>
  <c r="BA102" i="2"/>
  <c r="BB102" i="2"/>
  <c r="BC102" i="2"/>
  <c r="BD102" i="2"/>
  <c r="AV103" i="2"/>
  <c r="AW103" i="2"/>
  <c r="AX103" i="2"/>
  <c r="AY103" i="2"/>
  <c r="AZ103" i="2"/>
  <c r="BA103" i="2"/>
  <c r="BB103" i="2"/>
  <c r="BC103" i="2"/>
  <c r="BD103" i="2"/>
  <c r="AV104" i="2"/>
  <c r="AW104" i="2"/>
  <c r="AX104" i="2"/>
  <c r="AY104" i="2"/>
  <c r="AZ104" i="2"/>
  <c r="BA104" i="2"/>
  <c r="BB104" i="2"/>
  <c r="BC104" i="2"/>
  <c r="BD104" i="2"/>
  <c r="AV105" i="2"/>
  <c r="AW105" i="2"/>
  <c r="AX105" i="2"/>
  <c r="AY105" i="2"/>
  <c r="AZ105" i="2"/>
  <c r="BA105" i="2"/>
  <c r="BB105" i="2"/>
  <c r="BC105" i="2"/>
  <c r="BD105" i="2"/>
  <c r="AV106" i="2"/>
  <c r="AW106" i="2"/>
  <c r="AX106" i="2"/>
  <c r="AY106" i="2"/>
  <c r="AZ106" i="2"/>
  <c r="BA106" i="2"/>
  <c r="BB106" i="2"/>
  <c r="BC106" i="2"/>
  <c r="BD106" i="2"/>
  <c r="AV107" i="2"/>
  <c r="AW107" i="2"/>
  <c r="AX107" i="2"/>
  <c r="AY107" i="2"/>
  <c r="AZ107" i="2"/>
  <c r="BA107" i="2"/>
  <c r="BB107" i="2"/>
  <c r="BC107" i="2"/>
  <c r="BD107" i="2"/>
  <c r="AV108" i="2"/>
  <c r="AW108" i="2"/>
  <c r="AX108" i="2"/>
  <c r="AY108" i="2"/>
  <c r="AZ108" i="2"/>
  <c r="BA108" i="2"/>
  <c r="BB108" i="2"/>
  <c r="BC108" i="2"/>
  <c r="BD108" i="2"/>
  <c r="AV109" i="2"/>
  <c r="AW109" i="2"/>
  <c r="AX109" i="2"/>
  <c r="AY109" i="2"/>
  <c r="AZ109" i="2"/>
  <c r="BA109" i="2"/>
  <c r="BB109" i="2"/>
  <c r="BC109" i="2"/>
  <c r="BD109" i="2"/>
  <c r="AV110" i="2"/>
  <c r="AW110" i="2"/>
  <c r="AX110" i="2"/>
  <c r="AY110" i="2"/>
  <c r="AZ110" i="2"/>
  <c r="BA110" i="2"/>
  <c r="BB110" i="2"/>
  <c r="BC110" i="2"/>
  <c r="BD110" i="2"/>
  <c r="AV111" i="2"/>
  <c r="AW111" i="2"/>
  <c r="AX111" i="2"/>
  <c r="AY111" i="2"/>
  <c r="AZ111" i="2"/>
  <c r="BA111" i="2"/>
  <c r="BB111" i="2"/>
  <c r="BC111" i="2"/>
  <c r="BD111" i="2"/>
  <c r="AV112" i="2"/>
  <c r="AW112" i="2"/>
  <c r="AX112" i="2"/>
  <c r="AY112" i="2"/>
  <c r="AZ112" i="2"/>
  <c r="BA112" i="2"/>
  <c r="BB112" i="2"/>
  <c r="BC112" i="2"/>
  <c r="BD112" i="2"/>
  <c r="AV113" i="2"/>
  <c r="AW113" i="2"/>
  <c r="AX113" i="2"/>
  <c r="AY113" i="2"/>
  <c r="AZ113" i="2"/>
  <c r="BA113" i="2"/>
  <c r="BB113" i="2"/>
  <c r="BC113" i="2"/>
  <c r="BD113" i="2"/>
  <c r="AV114" i="2"/>
  <c r="AW114" i="2"/>
  <c r="AX114" i="2"/>
  <c r="AY114" i="2"/>
  <c r="AZ114" i="2"/>
  <c r="BA114" i="2"/>
  <c r="BB114" i="2"/>
  <c r="BC114" i="2"/>
  <c r="BD114" i="2"/>
  <c r="AV115" i="2"/>
  <c r="AW115" i="2"/>
  <c r="AX115" i="2"/>
  <c r="AY115" i="2"/>
  <c r="AZ115" i="2"/>
  <c r="BA115" i="2"/>
  <c r="BB115" i="2"/>
  <c r="BC115" i="2"/>
  <c r="BD115" i="2"/>
  <c r="AV116" i="2"/>
  <c r="AW116" i="2"/>
  <c r="AX116" i="2"/>
  <c r="AY116" i="2"/>
  <c r="AZ116" i="2"/>
  <c r="BA116" i="2"/>
  <c r="BB116" i="2"/>
  <c r="BC116" i="2"/>
  <c r="BD116" i="2"/>
  <c r="AV117" i="2"/>
  <c r="AW117" i="2"/>
  <c r="AX117" i="2"/>
  <c r="AY117" i="2"/>
  <c r="AZ117" i="2"/>
  <c r="BA117" i="2"/>
  <c r="BB117" i="2"/>
  <c r="BC117" i="2"/>
  <c r="BD117" i="2"/>
  <c r="AV118" i="2"/>
  <c r="AW118" i="2"/>
  <c r="AX118" i="2"/>
  <c r="AY118" i="2"/>
  <c r="AZ118" i="2"/>
  <c r="BA118" i="2"/>
  <c r="BB118" i="2"/>
  <c r="BC118" i="2"/>
  <c r="BD118" i="2"/>
  <c r="AV119" i="2"/>
  <c r="AW119" i="2"/>
  <c r="AX119" i="2"/>
  <c r="AY119" i="2"/>
  <c r="AZ119" i="2"/>
  <c r="BA119" i="2"/>
  <c r="BB119" i="2"/>
  <c r="BC119" i="2"/>
  <c r="BD119" i="2"/>
  <c r="AV120" i="2"/>
  <c r="AW120" i="2"/>
  <c r="AX120" i="2"/>
  <c r="AY120" i="2"/>
  <c r="AZ120" i="2"/>
  <c r="BA120" i="2"/>
  <c r="BB120" i="2"/>
  <c r="BC120" i="2"/>
  <c r="BD120" i="2"/>
  <c r="AV121" i="2"/>
  <c r="AW121" i="2"/>
  <c r="AX121" i="2"/>
  <c r="AY121" i="2"/>
  <c r="AZ121" i="2"/>
  <c r="BA121" i="2"/>
  <c r="BB121" i="2"/>
  <c r="BC121" i="2"/>
  <c r="BD121" i="2"/>
  <c r="AV122" i="2"/>
  <c r="AW122" i="2"/>
  <c r="AX122" i="2"/>
  <c r="AY122" i="2"/>
  <c r="AZ122" i="2"/>
  <c r="BA122" i="2"/>
  <c r="BB122" i="2"/>
  <c r="BC122" i="2"/>
  <c r="BD122" i="2"/>
  <c r="AV123" i="2"/>
  <c r="AW123" i="2"/>
  <c r="AX123" i="2"/>
  <c r="AY123" i="2"/>
  <c r="AZ123" i="2"/>
  <c r="BA123" i="2"/>
  <c r="BB123" i="2"/>
  <c r="BC123" i="2"/>
  <c r="BD123" i="2"/>
  <c r="AV124" i="2"/>
  <c r="AW124" i="2"/>
  <c r="AX124" i="2"/>
  <c r="AY124" i="2"/>
  <c r="AZ124" i="2"/>
  <c r="BA124" i="2"/>
  <c r="BB124" i="2"/>
  <c r="BC124" i="2"/>
  <c r="BD124" i="2"/>
  <c r="AV125" i="2"/>
  <c r="AW125" i="2"/>
  <c r="AX125" i="2"/>
  <c r="AY125" i="2"/>
  <c r="AZ125" i="2"/>
  <c r="BA125" i="2"/>
  <c r="BB125" i="2"/>
  <c r="BC125" i="2"/>
  <c r="BD125" i="2"/>
  <c r="AV126" i="2"/>
  <c r="AW126" i="2"/>
  <c r="AX126" i="2"/>
  <c r="AY126" i="2"/>
  <c r="AZ126" i="2"/>
  <c r="BA126" i="2"/>
  <c r="BB126" i="2"/>
  <c r="BC126" i="2"/>
  <c r="BD126" i="2"/>
  <c r="AV127" i="2"/>
  <c r="AW127" i="2"/>
  <c r="AX127" i="2"/>
  <c r="AY127" i="2"/>
  <c r="AZ127" i="2"/>
  <c r="BA127" i="2"/>
  <c r="BB127" i="2"/>
  <c r="BC127" i="2"/>
  <c r="BD127" i="2"/>
  <c r="AV128" i="2"/>
  <c r="AW128" i="2"/>
  <c r="AX128" i="2"/>
  <c r="AY128" i="2"/>
  <c r="AZ128" i="2"/>
  <c r="BA128" i="2"/>
  <c r="BB128" i="2"/>
  <c r="BC128" i="2"/>
  <c r="BD128" i="2"/>
  <c r="AV129" i="2"/>
  <c r="AW129" i="2"/>
  <c r="AX129" i="2"/>
  <c r="AY129" i="2"/>
  <c r="AZ129" i="2"/>
  <c r="BA129" i="2"/>
  <c r="BB129" i="2"/>
  <c r="BC129" i="2"/>
  <c r="BD129" i="2"/>
  <c r="AV130" i="2"/>
  <c r="AW130" i="2"/>
  <c r="AX130" i="2"/>
  <c r="AY130" i="2"/>
  <c r="AZ130" i="2"/>
  <c r="BA130" i="2"/>
  <c r="BB130" i="2"/>
  <c r="BC130" i="2"/>
  <c r="BD130" i="2"/>
  <c r="AV131" i="2"/>
  <c r="AW131" i="2"/>
  <c r="AX131" i="2"/>
  <c r="AY131" i="2"/>
  <c r="AZ131" i="2"/>
  <c r="BA131" i="2"/>
  <c r="BB131" i="2"/>
  <c r="BC131" i="2"/>
  <c r="BD131" i="2"/>
  <c r="AV132" i="2"/>
  <c r="AW132" i="2"/>
  <c r="AX132" i="2"/>
  <c r="AY132" i="2"/>
  <c r="AZ132" i="2"/>
  <c r="BA132" i="2"/>
  <c r="BB132" i="2"/>
  <c r="BC132" i="2"/>
  <c r="BD132" i="2"/>
  <c r="AV133" i="2"/>
  <c r="AW133" i="2"/>
  <c r="AX133" i="2"/>
  <c r="AY133" i="2"/>
  <c r="AZ133" i="2"/>
  <c r="BA133" i="2"/>
  <c r="BB133" i="2"/>
  <c r="BC133" i="2"/>
  <c r="BD133" i="2"/>
  <c r="AV134" i="2"/>
  <c r="AW134" i="2"/>
  <c r="AX134" i="2"/>
  <c r="AY134" i="2"/>
  <c r="AZ134" i="2"/>
  <c r="BA134" i="2"/>
  <c r="BB134" i="2"/>
  <c r="BC134" i="2"/>
  <c r="BD134" i="2"/>
  <c r="AV135" i="2"/>
  <c r="AW135" i="2"/>
  <c r="AX135" i="2"/>
  <c r="AY135" i="2"/>
  <c r="AZ135" i="2"/>
  <c r="BA135" i="2"/>
  <c r="BB135" i="2"/>
  <c r="BC135" i="2"/>
  <c r="BD135" i="2"/>
  <c r="AV136" i="2"/>
  <c r="AW136" i="2"/>
  <c r="AX136" i="2"/>
  <c r="AY136" i="2"/>
  <c r="AZ136" i="2"/>
  <c r="BA136" i="2"/>
  <c r="BB136" i="2"/>
  <c r="BC136" i="2"/>
  <c r="BD136" i="2"/>
  <c r="AV137" i="2"/>
  <c r="AW137" i="2"/>
  <c r="AX137" i="2"/>
  <c r="AY137" i="2"/>
  <c r="AZ137" i="2"/>
  <c r="BA137" i="2"/>
  <c r="BB137" i="2"/>
  <c r="BC137" i="2"/>
  <c r="BD137" i="2"/>
  <c r="AV138" i="2"/>
  <c r="AW138" i="2"/>
  <c r="AX138" i="2"/>
  <c r="AY138" i="2"/>
  <c r="AZ138" i="2"/>
  <c r="BA138" i="2"/>
  <c r="BB138" i="2"/>
  <c r="BC138" i="2"/>
  <c r="BD138" i="2"/>
  <c r="AV139" i="2"/>
  <c r="AW139" i="2"/>
  <c r="AX139" i="2"/>
  <c r="AY139" i="2"/>
  <c r="AZ139" i="2"/>
  <c r="BA139" i="2"/>
  <c r="BB139" i="2"/>
  <c r="BC139" i="2"/>
  <c r="BD139" i="2"/>
  <c r="AV140" i="2"/>
  <c r="AW140" i="2"/>
  <c r="AX140" i="2"/>
  <c r="AY140" i="2"/>
  <c r="AZ140" i="2"/>
  <c r="BA140" i="2"/>
  <c r="BB140" i="2"/>
  <c r="BC140" i="2"/>
  <c r="BD140" i="2"/>
  <c r="AV141" i="2"/>
  <c r="AW141" i="2"/>
  <c r="AX141" i="2"/>
  <c r="AY141" i="2"/>
  <c r="AZ141" i="2"/>
  <c r="BA141" i="2"/>
  <c r="BB141" i="2"/>
  <c r="BC141" i="2"/>
  <c r="BD141" i="2"/>
  <c r="AV142" i="2"/>
  <c r="AW142" i="2"/>
  <c r="AX142" i="2"/>
  <c r="AY142" i="2"/>
  <c r="AZ142" i="2"/>
  <c r="BA142" i="2"/>
  <c r="BB142" i="2"/>
  <c r="BC142" i="2"/>
  <c r="BD142" i="2"/>
  <c r="AV143" i="2"/>
  <c r="AW143" i="2"/>
  <c r="AX143" i="2"/>
  <c r="AY143" i="2"/>
  <c r="AZ143" i="2"/>
  <c r="BA143" i="2"/>
  <c r="BB143" i="2"/>
  <c r="BC143" i="2"/>
  <c r="BD143" i="2"/>
  <c r="AV144" i="2"/>
  <c r="AW144" i="2"/>
  <c r="AX144" i="2"/>
  <c r="AY144" i="2"/>
  <c r="AZ144" i="2"/>
  <c r="BA144" i="2"/>
  <c r="BB144" i="2"/>
  <c r="BC144" i="2"/>
  <c r="BD144" i="2"/>
  <c r="AV145" i="2"/>
  <c r="AW145" i="2"/>
  <c r="AX145" i="2"/>
  <c r="AY145" i="2"/>
  <c r="AZ145" i="2"/>
  <c r="BA145" i="2"/>
  <c r="BB145" i="2"/>
  <c r="BC145" i="2"/>
  <c r="BD145" i="2"/>
  <c r="AV146" i="2"/>
  <c r="AW146" i="2"/>
  <c r="AX146" i="2"/>
  <c r="AY146" i="2"/>
  <c r="AZ146" i="2"/>
  <c r="BA146" i="2"/>
  <c r="BB146" i="2"/>
  <c r="BC146" i="2"/>
  <c r="BD146" i="2"/>
  <c r="AV147" i="2"/>
  <c r="AW147" i="2"/>
  <c r="AX147" i="2"/>
  <c r="AY147" i="2"/>
  <c r="AZ147" i="2"/>
  <c r="BA147" i="2"/>
  <c r="BB147" i="2"/>
  <c r="BC147" i="2"/>
  <c r="BD147" i="2"/>
  <c r="AV148" i="2"/>
  <c r="AW148" i="2"/>
  <c r="AX148" i="2"/>
  <c r="AY148" i="2"/>
  <c r="AZ148" i="2"/>
  <c r="BA148" i="2"/>
  <c r="BB148" i="2"/>
  <c r="BC148" i="2"/>
  <c r="BD148" i="2"/>
  <c r="AV149" i="2"/>
  <c r="AW149" i="2"/>
  <c r="AX149" i="2"/>
  <c r="AY149" i="2"/>
  <c r="AZ149" i="2"/>
  <c r="BA149" i="2"/>
  <c r="BB149" i="2"/>
  <c r="BC149" i="2"/>
  <c r="BD149" i="2"/>
  <c r="AV150" i="2"/>
  <c r="AW150" i="2"/>
  <c r="AX150" i="2"/>
  <c r="AY150" i="2"/>
  <c r="AZ150" i="2"/>
  <c r="BA150" i="2"/>
  <c r="BB150" i="2"/>
  <c r="BC150" i="2"/>
  <c r="BD150" i="2"/>
  <c r="AV151" i="2"/>
  <c r="AW151" i="2"/>
  <c r="AX151" i="2"/>
  <c r="AY151" i="2"/>
  <c r="AZ151" i="2"/>
  <c r="BA151" i="2"/>
  <c r="BB151" i="2"/>
  <c r="BC151" i="2"/>
  <c r="BD151" i="2"/>
  <c r="AV152" i="2"/>
  <c r="AW152" i="2"/>
  <c r="AX152" i="2"/>
  <c r="AY152" i="2"/>
  <c r="AZ152" i="2"/>
  <c r="BA152" i="2"/>
  <c r="BB152" i="2"/>
  <c r="BC152" i="2"/>
  <c r="BD152" i="2"/>
  <c r="AV153" i="2"/>
  <c r="AW153" i="2"/>
  <c r="AX153" i="2"/>
  <c r="AY153" i="2"/>
  <c r="AZ153" i="2"/>
  <c r="BA153" i="2"/>
  <c r="BB153" i="2"/>
  <c r="BC153" i="2"/>
  <c r="BD153" i="2"/>
  <c r="AV154" i="2"/>
  <c r="AW154" i="2"/>
  <c r="AX154" i="2"/>
  <c r="AY154" i="2"/>
  <c r="AZ154" i="2"/>
  <c r="BA154" i="2"/>
  <c r="BB154" i="2"/>
  <c r="BC154" i="2"/>
  <c r="BD154" i="2"/>
  <c r="AV155" i="2"/>
  <c r="AW155" i="2"/>
  <c r="AX155" i="2"/>
  <c r="AY155" i="2"/>
  <c r="AZ155" i="2"/>
  <c r="BA155" i="2"/>
  <c r="BB155" i="2"/>
  <c r="BC155" i="2"/>
  <c r="BD155" i="2"/>
  <c r="AV156" i="2"/>
  <c r="AW156" i="2"/>
  <c r="AX156" i="2"/>
  <c r="AY156" i="2"/>
  <c r="AZ156" i="2"/>
  <c r="BA156" i="2"/>
  <c r="BB156" i="2"/>
  <c r="BC156" i="2"/>
  <c r="BD156" i="2"/>
  <c r="AV157" i="2"/>
  <c r="AW157" i="2"/>
  <c r="AX157" i="2"/>
  <c r="AY157" i="2"/>
  <c r="AZ157" i="2"/>
  <c r="BA157" i="2"/>
  <c r="BB157" i="2"/>
  <c r="BC157" i="2"/>
  <c r="BD157" i="2"/>
  <c r="AV158" i="2"/>
  <c r="AW158" i="2"/>
  <c r="AX158" i="2"/>
  <c r="AY158" i="2"/>
  <c r="AZ158" i="2"/>
  <c r="BA158" i="2"/>
  <c r="BB158" i="2"/>
  <c r="BC158" i="2"/>
  <c r="BD158" i="2"/>
  <c r="AV159" i="2"/>
  <c r="AW159" i="2"/>
  <c r="AX159" i="2"/>
  <c r="AY159" i="2"/>
  <c r="AZ159" i="2"/>
  <c r="BA159" i="2"/>
  <c r="BB159" i="2"/>
  <c r="BC159" i="2"/>
  <c r="BD159" i="2"/>
  <c r="AV160" i="2"/>
  <c r="AW160" i="2"/>
  <c r="AX160" i="2"/>
  <c r="AY160" i="2"/>
  <c r="AZ160" i="2"/>
  <c r="BA160" i="2"/>
  <c r="BB160" i="2"/>
  <c r="BC160" i="2"/>
  <c r="BD160" i="2"/>
  <c r="AV161" i="2"/>
  <c r="AW161" i="2"/>
  <c r="AX161" i="2"/>
  <c r="AY161" i="2"/>
  <c r="AZ161" i="2"/>
  <c r="BA161" i="2"/>
  <c r="BB161" i="2"/>
  <c r="BC161" i="2"/>
  <c r="BD161" i="2"/>
  <c r="AV162" i="2"/>
  <c r="AW162" i="2"/>
  <c r="AX162" i="2"/>
  <c r="AY162" i="2"/>
  <c r="AZ162" i="2"/>
  <c r="BA162" i="2"/>
  <c r="BB162" i="2"/>
  <c r="BC162" i="2"/>
  <c r="BD162" i="2"/>
  <c r="AV163" i="2"/>
  <c r="AW163" i="2"/>
  <c r="AX163" i="2"/>
  <c r="AY163" i="2"/>
  <c r="AZ163" i="2"/>
  <c r="BA163" i="2"/>
  <c r="BB163" i="2"/>
  <c r="BC163" i="2"/>
  <c r="BD163" i="2"/>
  <c r="AV164" i="2"/>
  <c r="AW164" i="2"/>
  <c r="AX164" i="2"/>
  <c r="AY164" i="2"/>
  <c r="AZ164" i="2"/>
  <c r="BA164" i="2"/>
  <c r="BB164" i="2"/>
  <c r="BC164" i="2"/>
  <c r="BD164" i="2"/>
  <c r="AV165" i="2"/>
  <c r="AW165" i="2"/>
  <c r="AX165" i="2"/>
  <c r="AY165" i="2"/>
  <c r="AZ165" i="2"/>
  <c r="BA165" i="2"/>
  <c r="BB165" i="2"/>
  <c r="BC165" i="2"/>
  <c r="BD165" i="2"/>
  <c r="AV166" i="2"/>
  <c r="AW166" i="2"/>
  <c r="AX166" i="2"/>
  <c r="AY166" i="2"/>
  <c r="AZ166" i="2"/>
  <c r="BA166" i="2"/>
  <c r="BB166" i="2"/>
  <c r="BC166" i="2"/>
  <c r="BD166" i="2"/>
  <c r="AV167" i="2"/>
  <c r="AW167" i="2"/>
  <c r="AX167" i="2"/>
  <c r="AY167" i="2"/>
  <c r="AZ167" i="2"/>
  <c r="BA167" i="2"/>
  <c r="BB167" i="2"/>
  <c r="BC167" i="2"/>
  <c r="BD167" i="2"/>
  <c r="AV168" i="2"/>
  <c r="AW168" i="2"/>
  <c r="AX168" i="2"/>
  <c r="AY168" i="2"/>
  <c r="AZ168" i="2"/>
  <c r="BA168" i="2"/>
  <c r="BB168" i="2"/>
  <c r="BC168" i="2"/>
  <c r="BD168" i="2"/>
  <c r="AV169" i="2"/>
  <c r="AW169" i="2"/>
  <c r="AX169" i="2"/>
  <c r="AY169" i="2"/>
  <c r="AZ169" i="2"/>
  <c r="BA169" i="2"/>
  <c r="BB169" i="2"/>
  <c r="BC169" i="2"/>
  <c r="BD169" i="2"/>
  <c r="AV170" i="2"/>
  <c r="AW170" i="2"/>
  <c r="AX170" i="2"/>
  <c r="AY170" i="2"/>
  <c r="AZ170" i="2"/>
  <c r="BA170" i="2"/>
  <c r="BB170" i="2"/>
  <c r="BC170" i="2"/>
  <c r="BD170" i="2"/>
  <c r="AV171" i="2"/>
  <c r="AW171" i="2"/>
  <c r="AX171" i="2"/>
  <c r="AY171" i="2"/>
  <c r="AZ171" i="2"/>
  <c r="BA171" i="2"/>
  <c r="BB171" i="2"/>
  <c r="BC171" i="2"/>
  <c r="BD171" i="2"/>
  <c r="AV172" i="2"/>
  <c r="AW172" i="2"/>
  <c r="AX172" i="2"/>
  <c r="AY172" i="2"/>
  <c r="AZ172" i="2"/>
  <c r="BA172" i="2"/>
  <c r="BB172" i="2"/>
  <c r="BC172" i="2"/>
  <c r="BD172" i="2"/>
  <c r="AV173" i="2"/>
  <c r="AW173" i="2"/>
  <c r="AX173" i="2"/>
  <c r="AY173" i="2"/>
  <c r="AZ173" i="2"/>
  <c r="BA173" i="2"/>
  <c r="BB173" i="2"/>
  <c r="BC173" i="2"/>
  <c r="BD173" i="2"/>
  <c r="AV174" i="2"/>
  <c r="AW174" i="2"/>
  <c r="AX174" i="2"/>
  <c r="AY174" i="2"/>
  <c r="AZ174" i="2"/>
  <c r="BA174" i="2"/>
  <c r="BB174" i="2"/>
  <c r="BC174" i="2"/>
  <c r="BD174" i="2"/>
  <c r="AV175" i="2"/>
  <c r="AW175" i="2"/>
  <c r="AX175" i="2"/>
  <c r="AY175" i="2"/>
  <c r="AZ175" i="2"/>
  <c r="BA175" i="2"/>
  <c r="BB175" i="2"/>
  <c r="BC175" i="2"/>
  <c r="BD175" i="2"/>
  <c r="AV176" i="2"/>
  <c r="AW176" i="2"/>
  <c r="AX176" i="2"/>
  <c r="AY176" i="2"/>
  <c r="AZ176" i="2"/>
  <c r="BA176" i="2"/>
  <c r="BB176" i="2"/>
  <c r="BC176" i="2"/>
  <c r="BD176" i="2"/>
  <c r="AV177" i="2"/>
  <c r="AW177" i="2"/>
  <c r="AX177" i="2"/>
  <c r="AY177" i="2"/>
  <c r="AZ177" i="2"/>
  <c r="BA177" i="2"/>
  <c r="BB177" i="2"/>
  <c r="BC177" i="2"/>
  <c r="BD177" i="2"/>
  <c r="AV178" i="2"/>
  <c r="AW178" i="2"/>
  <c r="AX178" i="2"/>
  <c r="AY178" i="2"/>
  <c r="AZ178" i="2"/>
  <c r="BA178" i="2"/>
  <c r="BB178" i="2"/>
  <c r="BC178" i="2"/>
  <c r="BD178" i="2"/>
  <c r="AV179" i="2"/>
  <c r="AW179" i="2"/>
  <c r="AX179" i="2"/>
  <c r="AY179" i="2"/>
  <c r="AZ179" i="2"/>
  <c r="BA179" i="2"/>
  <c r="BB179" i="2"/>
  <c r="BC179" i="2"/>
  <c r="BD179" i="2"/>
  <c r="AV180" i="2"/>
  <c r="AW180" i="2"/>
  <c r="AX180" i="2"/>
  <c r="AY180" i="2"/>
  <c r="AZ180" i="2"/>
  <c r="BA180" i="2"/>
  <c r="BB180" i="2"/>
  <c r="BC180" i="2"/>
  <c r="BD180" i="2"/>
  <c r="AV181" i="2"/>
  <c r="AW181" i="2"/>
  <c r="AX181" i="2"/>
  <c r="AY181" i="2"/>
  <c r="AZ181" i="2"/>
  <c r="BA181" i="2"/>
  <c r="BB181" i="2"/>
  <c r="BC181" i="2"/>
  <c r="BD181" i="2"/>
  <c r="AV182" i="2"/>
  <c r="AW182" i="2"/>
  <c r="AX182" i="2"/>
  <c r="AY182" i="2"/>
  <c r="AZ182" i="2"/>
  <c r="BA182" i="2"/>
  <c r="BB182" i="2"/>
  <c r="BC182" i="2"/>
  <c r="BD182" i="2"/>
  <c r="AV183" i="2"/>
  <c r="AW183" i="2"/>
  <c r="AX183" i="2"/>
  <c r="AY183" i="2"/>
  <c r="AZ183" i="2"/>
  <c r="BA183" i="2"/>
  <c r="BB183" i="2"/>
  <c r="BC183" i="2"/>
  <c r="BD183" i="2"/>
  <c r="AV184" i="2"/>
  <c r="AW184" i="2"/>
  <c r="AX184" i="2"/>
  <c r="AY184" i="2"/>
  <c r="AZ184" i="2"/>
  <c r="BA184" i="2"/>
  <c r="BB184" i="2"/>
  <c r="BC184" i="2"/>
  <c r="BD184" i="2"/>
  <c r="AV185" i="2"/>
  <c r="AW185" i="2"/>
  <c r="AX185" i="2"/>
  <c r="AY185" i="2"/>
  <c r="AZ185" i="2"/>
  <c r="BA185" i="2"/>
  <c r="BB185" i="2"/>
  <c r="BC185" i="2"/>
  <c r="BD185" i="2"/>
  <c r="AV186" i="2"/>
  <c r="AW186" i="2"/>
  <c r="AX186" i="2"/>
  <c r="AY186" i="2"/>
  <c r="AZ186" i="2"/>
  <c r="BA186" i="2"/>
  <c r="BB186" i="2"/>
  <c r="BC186" i="2"/>
  <c r="BD186" i="2"/>
  <c r="AV187" i="2"/>
  <c r="AW187" i="2"/>
  <c r="AX187" i="2"/>
  <c r="AY187" i="2"/>
  <c r="AZ187" i="2"/>
  <c r="BA187" i="2"/>
  <c r="BB187" i="2"/>
  <c r="BC187" i="2"/>
  <c r="BD187" i="2"/>
  <c r="AV188" i="2"/>
  <c r="AW188" i="2"/>
  <c r="AX188" i="2"/>
  <c r="AY188" i="2"/>
  <c r="AZ188" i="2"/>
  <c r="BA188" i="2"/>
  <c r="BB188" i="2"/>
  <c r="BC188" i="2"/>
  <c r="BD188" i="2"/>
  <c r="AV189" i="2"/>
  <c r="AW189" i="2"/>
  <c r="AX189" i="2"/>
  <c r="AY189" i="2"/>
  <c r="AZ189" i="2"/>
  <c r="BA189" i="2"/>
  <c r="BB189" i="2"/>
  <c r="BC189" i="2"/>
  <c r="BD189" i="2"/>
  <c r="AV190" i="2"/>
  <c r="AW190" i="2"/>
  <c r="AX190" i="2"/>
  <c r="AY190" i="2"/>
  <c r="AZ190" i="2"/>
  <c r="BA190" i="2"/>
  <c r="BB190" i="2"/>
  <c r="BC190" i="2"/>
  <c r="BD190" i="2"/>
  <c r="AV191" i="2"/>
  <c r="AW191" i="2"/>
  <c r="AX191" i="2"/>
  <c r="AY191" i="2"/>
  <c r="AZ191" i="2"/>
  <c r="BA191" i="2"/>
  <c r="BB191" i="2"/>
  <c r="BC191" i="2"/>
  <c r="BD191" i="2"/>
  <c r="AV192" i="2"/>
  <c r="AW192" i="2"/>
  <c r="AX192" i="2"/>
  <c r="AY192" i="2"/>
  <c r="AZ192" i="2"/>
  <c r="BA192" i="2"/>
  <c r="BB192" i="2"/>
  <c r="BC192" i="2"/>
  <c r="BD192" i="2"/>
  <c r="AV193" i="2"/>
  <c r="AW193" i="2"/>
  <c r="AX193" i="2"/>
  <c r="AY193" i="2"/>
  <c r="AZ193" i="2"/>
  <c r="BA193" i="2"/>
  <c r="BB193" i="2"/>
  <c r="BC193" i="2"/>
  <c r="BD193" i="2"/>
  <c r="AV194" i="2"/>
  <c r="AW194" i="2"/>
  <c r="AX194" i="2"/>
  <c r="AY194" i="2"/>
  <c r="AZ194" i="2"/>
  <c r="BA194" i="2"/>
  <c r="BB194" i="2"/>
  <c r="BC194" i="2"/>
  <c r="BD194" i="2"/>
  <c r="AV195" i="2"/>
  <c r="AW195" i="2"/>
  <c r="AX195" i="2"/>
  <c r="AY195" i="2"/>
  <c r="AZ195" i="2"/>
  <c r="BA195" i="2"/>
  <c r="BB195" i="2"/>
  <c r="BC195" i="2"/>
  <c r="BD195" i="2"/>
  <c r="AV196" i="2"/>
  <c r="AW196" i="2"/>
  <c r="AX196" i="2"/>
  <c r="AY196" i="2"/>
  <c r="AZ196" i="2"/>
  <c r="BA196" i="2"/>
  <c r="BB196" i="2"/>
  <c r="BC196" i="2"/>
  <c r="BD196" i="2"/>
  <c r="AV197" i="2"/>
  <c r="AW197" i="2"/>
  <c r="AX197" i="2"/>
  <c r="AY197" i="2"/>
  <c r="AZ197" i="2"/>
  <c r="BA197" i="2"/>
  <c r="BB197" i="2"/>
  <c r="BC197" i="2"/>
  <c r="BD197" i="2"/>
  <c r="AV198" i="2"/>
  <c r="AW198" i="2"/>
  <c r="AX198" i="2"/>
  <c r="AY198" i="2"/>
  <c r="AZ198" i="2"/>
  <c r="BA198" i="2"/>
  <c r="BB198" i="2"/>
  <c r="BC198" i="2"/>
  <c r="BD198" i="2"/>
  <c r="AV199" i="2"/>
  <c r="AW199" i="2"/>
  <c r="AX199" i="2"/>
  <c r="AY199" i="2"/>
  <c r="AZ199" i="2"/>
  <c r="BA199" i="2"/>
  <c r="BB199" i="2"/>
  <c r="BC199" i="2"/>
  <c r="BD199" i="2"/>
  <c r="AV200" i="2"/>
  <c r="AW200" i="2"/>
  <c r="AX200" i="2"/>
  <c r="AY200" i="2"/>
  <c r="AZ200" i="2"/>
  <c r="BA200" i="2"/>
  <c r="BB200" i="2"/>
  <c r="BC200" i="2"/>
  <c r="BD200" i="2"/>
  <c r="AV201" i="2"/>
  <c r="AW201" i="2"/>
  <c r="AX201" i="2"/>
  <c r="AY201" i="2"/>
  <c r="AZ201" i="2"/>
  <c r="BA201" i="2"/>
  <c r="BB201" i="2"/>
  <c r="BC201" i="2"/>
  <c r="BD201" i="2"/>
  <c r="AV202" i="2"/>
  <c r="AW202" i="2"/>
  <c r="AX202" i="2"/>
  <c r="AY202" i="2"/>
  <c r="AZ202" i="2"/>
  <c r="BA202" i="2"/>
  <c r="BB202" i="2"/>
  <c r="BC202" i="2"/>
  <c r="BD202" i="2"/>
  <c r="AV203" i="2"/>
  <c r="AW203" i="2"/>
  <c r="AX203" i="2"/>
  <c r="AY203" i="2"/>
  <c r="AZ203" i="2"/>
  <c r="BA203" i="2"/>
  <c r="BB203" i="2"/>
  <c r="BC203" i="2"/>
  <c r="BD203" i="2"/>
  <c r="AV204" i="2"/>
  <c r="AW204" i="2"/>
  <c r="AX204" i="2"/>
  <c r="AY204" i="2"/>
  <c r="AZ204" i="2"/>
  <c r="BA204" i="2"/>
  <c r="BB204" i="2"/>
  <c r="BC204" i="2"/>
  <c r="BD204" i="2"/>
  <c r="AW205" i="2"/>
  <c r="AX205" i="2"/>
  <c r="AY205" i="2"/>
  <c r="AZ205" i="2"/>
  <c r="BA205" i="2"/>
  <c r="BB205" i="2"/>
  <c r="BC205" i="2"/>
  <c r="BD205" i="2"/>
  <c r="AW2" i="2"/>
  <c r="AX2" i="2"/>
  <c r="AY2" i="2"/>
  <c r="AZ2" i="2"/>
  <c r="BA2" i="2"/>
  <c r="BB2" i="2"/>
  <c r="BC2" i="2"/>
  <c r="BD2" i="2"/>
  <c r="AV2" i="2"/>
  <c r="AT205" i="2"/>
  <c r="AK205" i="2"/>
  <c r="AI205" i="2"/>
  <c r="AA205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B205" i="2"/>
  <c r="AC205" i="2"/>
  <c r="AD205" i="2"/>
  <c r="AE205" i="2"/>
  <c r="AF205" i="2"/>
  <c r="AG205" i="2"/>
  <c r="AH205" i="2"/>
  <c r="AJ205" i="2"/>
  <c r="AL205" i="2"/>
  <c r="AM205" i="2"/>
  <c r="AN205" i="2"/>
  <c r="AO205" i="2"/>
  <c r="AP205" i="2"/>
  <c r="AQ205" i="2"/>
  <c r="AR205" i="2"/>
  <c r="AS205" i="2"/>
  <c r="AF2" i="2"/>
  <c r="AT2" i="2"/>
  <c r="AL2" i="2"/>
  <c r="AM2" i="2"/>
  <c r="AN2" i="2"/>
  <c r="AO2" i="2"/>
  <c r="AP2" i="2"/>
  <c r="AQ2" i="2"/>
  <c r="AR2" i="2"/>
  <c r="AS2" i="2"/>
  <c r="AK2" i="2"/>
  <c r="AB2" i="2"/>
  <c r="AC2" i="2"/>
  <c r="AD2" i="2"/>
  <c r="AE2" i="2"/>
  <c r="AG2" i="2"/>
  <c r="AH2" i="2"/>
  <c r="AI2" i="2"/>
  <c r="AJ2" i="2"/>
  <c r="AA2" i="2"/>
</calcChain>
</file>

<file path=xl/sharedStrings.xml><?xml version="1.0" encoding="utf-8"?>
<sst xmlns="http://schemas.openxmlformats.org/spreadsheetml/2006/main" count="1932" uniqueCount="870">
  <si>
    <t>No</t>
  </si>
  <si>
    <t>NAME</t>
  </si>
  <si>
    <t>Molecular formula</t>
  </si>
  <si>
    <r>
      <t>ASPEN ID</t>
    </r>
    <r>
      <rPr>
        <b/>
        <sz val="16"/>
        <color theme="1"/>
        <rFont val="宋体"/>
        <family val="1"/>
        <charset val="134"/>
      </rPr>
      <t>（</t>
    </r>
    <r>
      <rPr>
        <b/>
        <sz val="16"/>
        <color theme="1"/>
        <rFont val="Times New Roman"/>
        <family val="1"/>
      </rPr>
      <t>NRTL)</t>
    </r>
    <phoneticPr fontId="6" type="noConversion"/>
  </si>
  <si>
    <t>DIBUTYL SEBACATE</t>
    <phoneticPr fontId="1" type="noConversion"/>
  </si>
  <si>
    <t>C18H34O4</t>
  </si>
  <si>
    <t>DIBUT-01</t>
  </si>
  <si>
    <t>Dihexyl sebacate</t>
  </si>
  <si>
    <t>C22H42O4</t>
  </si>
  <si>
    <t>DI-N--01</t>
  </si>
  <si>
    <t>Di-n-octyl sebacate</t>
  </si>
  <si>
    <t>C26H50O4</t>
  </si>
  <si>
    <t>DIOCT-01</t>
  </si>
  <si>
    <t>Didecyl sebacate</t>
  </si>
  <si>
    <t>C30H58O4</t>
  </si>
  <si>
    <t>DIDEC-01</t>
  </si>
  <si>
    <t>Didodecyl sebacate</t>
  </si>
  <si>
    <t>C34H66O4</t>
  </si>
  <si>
    <t>DI-N--02</t>
  </si>
  <si>
    <t>Ditetradecyl sebacate</t>
  </si>
  <si>
    <t>C38H74O4</t>
  </si>
  <si>
    <t>DITET-01</t>
  </si>
  <si>
    <t>Di-n-hexadecyl sebacate</t>
  </si>
  <si>
    <t>C42H82O4</t>
  </si>
  <si>
    <t>DI-N--03</t>
  </si>
  <si>
    <t>Di-n-octadecyl sebacate</t>
  </si>
  <si>
    <t>C46H90O4</t>
  </si>
  <si>
    <t>DI-N--04</t>
  </si>
  <si>
    <t>TRIBUTYRIN</t>
  </si>
  <si>
    <t>C15H26O6</t>
  </si>
  <si>
    <t>GLYCE-01</t>
  </si>
  <si>
    <t>TRICAPROIN</t>
  </si>
  <si>
    <t>C21H38O6</t>
  </si>
  <si>
    <t>GLYCE-02</t>
  </si>
  <si>
    <t>Tricaprylin</t>
  </si>
  <si>
    <t>C27H50O6</t>
  </si>
  <si>
    <t>TRICA-01</t>
  </si>
  <si>
    <t>Tricaprin</t>
  </si>
  <si>
    <t>C33H62O6</t>
  </si>
  <si>
    <t>TRICA-02</t>
  </si>
  <si>
    <t>TRILAURIN</t>
  </si>
  <si>
    <t>C39H74O6</t>
  </si>
  <si>
    <t>TRILA-01</t>
  </si>
  <si>
    <t>TRIPALMITIN</t>
  </si>
  <si>
    <t>C51H98O6</t>
  </si>
  <si>
    <t>TRIPA-01</t>
  </si>
  <si>
    <t>TRISTEARIN</t>
  </si>
  <si>
    <t>C57H110O6</t>
  </si>
  <si>
    <t>GLYCE-03</t>
  </si>
  <si>
    <t>HEPTANOIC ACID</t>
  </si>
  <si>
    <t>C7H14O2</t>
  </si>
  <si>
    <t>N-HEP-01</t>
  </si>
  <si>
    <t>NONANOIC ACID</t>
  </si>
  <si>
    <t>C9H18O2</t>
  </si>
  <si>
    <t>N-NON-01</t>
  </si>
  <si>
    <t>UNDECANOIC ACID</t>
  </si>
  <si>
    <t>C11H22O2</t>
  </si>
  <si>
    <t>N-UND-01</t>
  </si>
  <si>
    <t>TRIDECANOIC ACID</t>
  </si>
  <si>
    <t>C13H26O2</t>
  </si>
  <si>
    <t>N-TRI-01</t>
  </si>
  <si>
    <t>PENTADECANOIC ACID</t>
  </si>
  <si>
    <t>C15H30O2</t>
  </si>
  <si>
    <t>PENTA-01</t>
  </si>
  <si>
    <t>octanoic acid</t>
  </si>
  <si>
    <t>C8H16O2</t>
  </si>
  <si>
    <t>N-OCT-01</t>
  </si>
  <si>
    <t>Decanoic acid</t>
  </si>
  <si>
    <t>C10H20O2</t>
  </si>
  <si>
    <t>N-DEC-01</t>
  </si>
  <si>
    <t>dodecanoic acid</t>
  </si>
  <si>
    <t>C12H24O2</t>
  </si>
  <si>
    <t>N-DOD-01</t>
  </si>
  <si>
    <t>Tetradecanoic acid</t>
  </si>
  <si>
    <t>C14H28O2</t>
  </si>
  <si>
    <t>N-TET-01</t>
  </si>
  <si>
    <t>palmitic acid</t>
  </si>
  <si>
    <t>C16H32O2</t>
  </si>
  <si>
    <t>N-HEX-01</t>
  </si>
  <si>
    <t>stearic acid</t>
  </si>
  <si>
    <t>C18H36O2</t>
  </si>
  <si>
    <t>STEAR-01</t>
  </si>
  <si>
    <t>Arachidic acid</t>
  </si>
  <si>
    <t>C20H40O2</t>
  </si>
  <si>
    <t>N-EIC-01</t>
  </si>
  <si>
    <t>NONADECANE</t>
  </si>
  <si>
    <t>C19H40</t>
  </si>
  <si>
    <t>N-NON-02</t>
  </si>
  <si>
    <t>EICOSANE</t>
  </si>
  <si>
    <t>C20H42</t>
  </si>
  <si>
    <t>N-EIC-02</t>
  </si>
  <si>
    <t>HEPTADECANE</t>
  </si>
  <si>
    <t>C17H36</t>
  </si>
  <si>
    <t>N-HEP-02</t>
  </si>
  <si>
    <t>OCTADECANE</t>
  </si>
  <si>
    <t xml:space="preserve">C18H38 </t>
  </si>
  <si>
    <t>N-OCT-02</t>
  </si>
  <si>
    <t>2,3-di(octadec-9-enoyloxy)propyl octadec-9-enoate</t>
  </si>
  <si>
    <t>C57H104O6</t>
  </si>
  <si>
    <t>TRIOL-01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</si>
  <si>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</si>
  <si>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</si>
  <si>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</si>
  <si>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</si>
  <si>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</si>
  <si>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</si>
  <si>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</si>
  <si>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octadecan-1-ol</t>
  </si>
  <si>
    <t>C18H38O</t>
  </si>
  <si>
    <t>1-OCT-01</t>
  </si>
  <si>
    <t>nonadecan-1-ol</t>
  </si>
  <si>
    <t>C19H40O</t>
  </si>
  <si>
    <t>1-NON-01</t>
  </si>
  <si>
    <t>icosan-1-ol</t>
  </si>
  <si>
    <t>C20H42O</t>
  </si>
  <si>
    <t>1-EIC-01</t>
  </si>
  <si>
    <t>docosan-1-ol</t>
  </si>
  <si>
    <t>C22H46O</t>
  </si>
  <si>
    <t>BEHEN-01</t>
  </si>
  <si>
    <t>DECANE</t>
  </si>
  <si>
    <t>C10H22</t>
  </si>
  <si>
    <t>N-DEC-02</t>
  </si>
  <si>
    <t>toluene</t>
  </si>
  <si>
    <t>C7H8</t>
  </si>
  <si>
    <t>TOLUE-01</t>
  </si>
  <si>
    <t>1-Hexanol</t>
  </si>
  <si>
    <t>C6H14O</t>
  </si>
  <si>
    <t>1-HEX-01</t>
  </si>
  <si>
    <t>1-Heptanol</t>
  </si>
  <si>
    <t>C7H16O</t>
  </si>
  <si>
    <t>1-HEP-01</t>
  </si>
  <si>
    <t>1-Octanol</t>
  </si>
  <si>
    <t>C8H18O</t>
  </si>
  <si>
    <t>1-OCT-02</t>
  </si>
  <si>
    <t>1-Decanol</t>
  </si>
  <si>
    <t>C10H22O</t>
  </si>
  <si>
    <t>1-DEC-01</t>
  </si>
  <si>
    <t>1-Dodecanol</t>
  </si>
  <si>
    <t>C12H26O</t>
  </si>
  <si>
    <t>DODEC-01</t>
  </si>
  <si>
    <t>1-Tridecanol</t>
  </si>
  <si>
    <t>C13H28O</t>
  </si>
  <si>
    <t>1-TRI-01</t>
  </si>
  <si>
    <t>1-PENTADECANOL</t>
  </si>
  <si>
    <t>C15H32O</t>
  </si>
  <si>
    <t>1-PEN-01</t>
  </si>
  <si>
    <t>1-Heptadecanol</t>
  </si>
  <si>
    <t>C17H36O</t>
  </si>
  <si>
    <t>HEPTA-01</t>
  </si>
  <si>
    <t>1-Propanol</t>
  </si>
  <si>
    <t>C3H8O</t>
  </si>
  <si>
    <t>1-PRO-01</t>
  </si>
  <si>
    <t>1-Pentanol</t>
  </si>
  <si>
    <t>C5H12O</t>
  </si>
  <si>
    <t>1-PEN-02</t>
  </si>
  <si>
    <t>Methyl octanoate</t>
  </si>
  <si>
    <t>METHY-01</t>
  </si>
  <si>
    <t>methyl nonanoate</t>
  </si>
  <si>
    <t>METHY-02</t>
  </si>
  <si>
    <t>methyl decanoate</t>
  </si>
  <si>
    <t>METHY-03</t>
  </si>
  <si>
    <t>methyl undecanoate</t>
  </si>
  <si>
    <t>METHY-04</t>
  </si>
  <si>
    <t>methyl dodecanoate</t>
  </si>
  <si>
    <t>METHY-05</t>
  </si>
  <si>
    <t>methyl tridecanoate</t>
  </si>
  <si>
    <t>METHY-06</t>
  </si>
  <si>
    <t>methyl tetradecanoate</t>
  </si>
  <si>
    <t>METHY-07</t>
  </si>
  <si>
    <t>methyl pentadecanoate</t>
  </si>
  <si>
    <t>METHY-08</t>
  </si>
  <si>
    <t>methyl hexadecanoate</t>
  </si>
  <si>
    <t>C17H34O2</t>
  </si>
  <si>
    <t>METHY-09</t>
  </si>
  <si>
    <t>methyl heptadecanoate</t>
  </si>
  <si>
    <t>METHY-10</t>
  </si>
  <si>
    <t>methyl octadecanoate</t>
  </si>
  <si>
    <t>C19H38O2</t>
  </si>
  <si>
    <t>METHY-11</t>
  </si>
  <si>
    <t>methyl nonadecanoate</t>
  </si>
  <si>
    <t>METHY-12</t>
  </si>
  <si>
    <t>methyl icosanoate</t>
  </si>
  <si>
    <t>C21H42O2</t>
  </si>
  <si>
    <t>METHY-13</t>
  </si>
  <si>
    <t>ethyl undecanoate</t>
  </si>
  <si>
    <t>ETHYL-01</t>
  </si>
  <si>
    <t>ethyl tridecanoate</t>
  </si>
  <si>
    <t>ETHYL-02</t>
  </si>
  <si>
    <t>cyclopropane</t>
  </si>
  <si>
    <t>C3H6</t>
  </si>
  <si>
    <t>CYCLO-01</t>
  </si>
  <si>
    <t>Propane</t>
  </si>
  <si>
    <t>C3H8</t>
  </si>
  <si>
    <t>PROPA-01</t>
  </si>
  <si>
    <t>Benzene</t>
  </si>
  <si>
    <t>C6H6</t>
  </si>
  <si>
    <t>BENZE-01</t>
  </si>
  <si>
    <t>ethanol</t>
  </si>
  <si>
    <t>C2H6O</t>
  </si>
  <si>
    <t>ETHAN-01</t>
  </si>
  <si>
    <t>Acetic acid</t>
  </si>
  <si>
    <t>C2H4O2</t>
  </si>
  <si>
    <t>ACETI-01</t>
  </si>
  <si>
    <t>Docosanoic acid (Behenic)</t>
  </si>
  <si>
    <t>C22H44O2</t>
  </si>
  <si>
    <t>N-DOC-01</t>
  </si>
  <si>
    <t>Tetracosanoic acid (Lignoceric)</t>
  </si>
  <si>
    <t>C24H48O2</t>
  </si>
  <si>
    <t>TETRA-01</t>
  </si>
  <si>
    <t>p-Xylene</t>
  </si>
  <si>
    <t>C8H10</t>
  </si>
  <si>
    <t>P-XYL-01</t>
  </si>
  <si>
    <t>o-Xylene</t>
  </si>
  <si>
    <t>O-XYL-01</t>
  </si>
  <si>
    <t>1,2,4-Trimethylbenzene</t>
  </si>
  <si>
    <t>C9H12</t>
  </si>
  <si>
    <t>1:2:4-01</t>
  </si>
  <si>
    <t>1-Butanol</t>
  </si>
  <si>
    <t>C4H10O</t>
  </si>
  <si>
    <t>1-BUT-01</t>
  </si>
  <si>
    <t>1-OCT-03</t>
  </si>
  <si>
    <t>1-DEC-02</t>
  </si>
  <si>
    <t>1-Hexadecanol (Cetyl)</t>
  </si>
  <si>
    <t>C16H34O</t>
  </si>
  <si>
    <t>1-HEX-02</t>
  </si>
  <si>
    <t>1-Octadecanol (Stearyl)</t>
  </si>
  <si>
    <t>1-OCT-04</t>
  </si>
  <si>
    <t>ACETI-02</t>
  </si>
  <si>
    <t>Propionic acid</t>
  </si>
  <si>
    <t>C3H6O2</t>
  </si>
  <si>
    <t>PROPI-01</t>
  </si>
  <si>
    <t>Butyric acid</t>
  </si>
  <si>
    <t>C4H8O2</t>
  </si>
  <si>
    <t>N-BUT-01</t>
  </si>
  <si>
    <t>Valeric acid</t>
  </si>
  <si>
    <t>C5H10O2</t>
  </si>
  <si>
    <t>N-VAL-01</t>
  </si>
  <si>
    <t>Caproic acid</t>
  </si>
  <si>
    <t>C6H12O2</t>
  </si>
  <si>
    <t>N-HEX-03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</si>
  <si>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</si>
  <si>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</si>
  <si>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</si>
  <si>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</si>
  <si>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</si>
  <si>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</si>
  <si>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</si>
  <si>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Cyclopentane</t>
  </si>
  <si>
    <t>C5H10</t>
  </si>
  <si>
    <t>CYCLO-03</t>
  </si>
  <si>
    <t>Cycloheptane</t>
  </si>
  <si>
    <t>C7H14</t>
  </si>
  <si>
    <t>CYCLO-04</t>
  </si>
  <si>
    <t>Cyclooctane</t>
  </si>
  <si>
    <t>C8H16</t>
  </si>
  <si>
    <t>CYCLO-05</t>
  </si>
  <si>
    <t>Palmitoleic acid</t>
  </si>
  <si>
    <t>C16H30O2</t>
  </si>
  <si>
    <t>CIS-9-01</t>
  </si>
  <si>
    <t>Oleic acid</t>
  </si>
  <si>
    <t>OLEIC-02</t>
  </si>
  <si>
    <t>Linoleic acid</t>
  </si>
  <si>
    <t>C18H32O2</t>
  </si>
  <si>
    <t>LINOL-01</t>
  </si>
  <si>
    <t>α-Linolenic acid</t>
  </si>
  <si>
    <t>C18H30O2</t>
  </si>
  <si>
    <t>LINOL-02</t>
  </si>
  <si>
    <t>Arachidonic acid</t>
  </si>
  <si>
    <t>C20H32O2</t>
  </si>
  <si>
    <t>ARACH-01</t>
  </si>
  <si>
    <t>heptadecanoic acid</t>
    <phoneticPr fontId="1" type="noConversion"/>
  </si>
  <si>
    <t>C17H34O2</t>
    <phoneticPr fontId="1" type="noConversion"/>
  </si>
  <si>
    <t>N-HEP-03</t>
  </si>
  <si>
    <t>nonadecanoic acid  </t>
  </si>
  <si>
    <t xml:space="preserve">C19H38O2 </t>
    <phoneticPr fontId="1" type="noConversion"/>
  </si>
  <si>
    <t>NONAD-01</t>
  </si>
  <si>
    <t>henicosanoic acid</t>
    <phoneticPr fontId="1" type="noConversion"/>
  </si>
  <si>
    <t xml:space="preserve">C21H42O2 </t>
    <phoneticPr fontId="1" type="noConversion"/>
  </si>
  <si>
    <t>HENEI-01</t>
  </si>
  <si>
    <t>Tricosanoic acid</t>
    <phoneticPr fontId="1" type="noConversion"/>
  </si>
  <si>
    <t>C23H46O2</t>
    <phoneticPr fontId="1" type="noConversion"/>
  </si>
  <si>
    <t>TRICO-01</t>
  </si>
  <si>
    <t>Pentacosanoic acid</t>
    <phoneticPr fontId="1" type="noConversion"/>
  </si>
  <si>
    <t>C25H50O2</t>
    <phoneticPr fontId="1" type="noConversion"/>
  </si>
  <si>
    <t>METHY-14</t>
  </si>
  <si>
    <t>Hexacosanoic acid</t>
    <phoneticPr fontId="1" type="noConversion"/>
  </si>
  <si>
    <t xml:space="preserve">C26H52O2 </t>
    <phoneticPr fontId="1" type="noConversion"/>
  </si>
  <si>
    <t>CERAT-01</t>
  </si>
  <si>
    <t>heptacosanoic acid</t>
    <phoneticPr fontId="1" type="noConversion"/>
  </si>
  <si>
    <t>C27H54O2</t>
    <phoneticPr fontId="1" type="noConversion"/>
  </si>
  <si>
    <t>METHY-15</t>
  </si>
  <si>
    <t xml:space="preserve">octacosanoic acid  </t>
    <phoneticPr fontId="1" type="noConversion"/>
  </si>
  <si>
    <t xml:space="preserve">C28H56O2  </t>
    <phoneticPr fontId="1" type="noConversion"/>
  </si>
  <si>
    <t>OCTAC-01</t>
  </si>
  <si>
    <t>nonacosanoic acid</t>
    <phoneticPr fontId="1" type="noConversion"/>
  </si>
  <si>
    <t xml:space="preserve">C29H58O2 </t>
    <phoneticPr fontId="1" type="noConversion"/>
  </si>
  <si>
    <t>NONAC-01</t>
  </si>
  <si>
    <t xml:space="preserve">triacontanoic acid  </t>
    <phoneticPr fontId="1" type="noConversion"/>
  </si>
  <si>
    <t>C30H60O2</t>
    <phoneticPr fontId="1" type="noConversion"/>
  </si>
  <si>
    <t>MELIS-01</t>
  </si>
  <si>
    <t>nonan-1-ol</t>
    <phoneticPr fontId="1" type="noConversion"/>
  </si>
  <si>
    <t xml:space="preserve">C9H20O </t>
    <phoneticPr fontId="1" type="noConversion"/>
  </si>
  <si>
    <t>1-NON-02</t>
  </si>
  <si>
    <t>undecan-1-ol  </t>
    <phoneticPr fontId="1" type="noConversion"/>
  </si>
  <si>
    <t xml:space="preserve">C11H24O </t>
    <phoneticPr fontId="1" type="noConversion"/>
  </si>
  <si>
    <t>1-UND-01</t>
  </si>
  <si>
    <t>tetradecan-1-ol</t>
    <phoneticPr fontId="1" type="noConversion"/>
  </si>
  <si>
    <t xml:space="preserve">C14H30O </t>
    <phoneticPr fontId="1" type="noConversion"/>
  </si>
  <si>
    <t>1-TET-01</t>
  </si>
  <si>
    <t xml:space="preserve">tricosan-1-ol  </t>
    <phoneticPr fontId="1" type="noConversion"/>
  </si>
  <si>
    <t xml:space="preserve">C23H48O </t>
    <phoneticPr fontId="1" type="noConversion"/>
  </si>
  <si>
    <t>1-TRI-02</t>
  </si>
  <si>
    <t xml:space="preserve">tetracosan-1-ol  </t>
    <phoneticPr fontId="1" type="noConversion"/>
  </si>
  <si>
    <t>C24H50O</t>
    <phoneticPr fontId="1" type="noConversion"/>
  </si>
  <si>
    <t>TETRA-02</t>
  </si>
  <si>
    <t xml:space="preserve">pentacosan-1-ol </t>
    <phoneticPr fontId="1" type="noConversion"/>
  </si>
  <si>
    <t>C25H52O</t>
    <phoneticPr fontId="1" type="noConversion"/>
  </si>
  <si>
    <t>1-PEN-03</t>
  </si>
  <si>
    <t xml:space="preserve">hexacosan-1-ol  </t>
    <phoneticPr fontId="1" type="noConversion"/>
  </si>
  <si>
    <t xml:space="preserve">C26H54O </t>
    <phoneticPr fontId="1" type="noConversion"/>
  </si>
  <si>
    <t>CERYL-01</t>
  </si>
  <si>
    <t xml:space="preserve">heptacosan-1-ol  </t>
    <phoneticPr fontId="1" type="noConversion"/>
  </si>
  <si>
    <t xml:space="preserve">C27H56O </t>
    <phoneticPr fontId="1" type="noConversion"/>
  </si>
  <si>
    <t>10-HE-01</t>
  </si>
  <si>
    <t xml:space="preserve">octacosan-1-ol </t>
    <phoneticPr fontId="1" type="noConversion"/>
  </si>
  <si>
    <t xml:space="preserve">C28H58O </t>
    <phoneticPr fontId="1" type="noConversion"/>
  </si>
  <si>
    <t>1-OCT-05</t>
    <phoneticPr fontId="1" type="noConversion"/>
  </si>
  <si>
    <t>butyl (Z)-hexadec-9-enoate</t>
    <phoneticPr fontId="1" type="noConversion"/>
  </si>
  <si>
    <t xml:space="preserve">C20H38O2 </t>
    <phoneticPr fontId="1" type="noConversion"/>
  </si>
  <si>
    <t>ETHYL-03</t>
  </si>
  <si>
    <t xml:space="preserve">propyl (Z)-octadec-9-enoate  </t>
    <phoneticPr fontId="1" type="noConversion"/>
  </si>
  <si>
    <t xml:space="preserve">C21H40O2 </t>
    <phoneticPr fontId="1" type="noConversion"/>
  </si>
  <si>
    <t>PROPY-01</t>
  </si>
  <si>
    <t xml:space="preserve">methyl (9Z,12Z)-octadeca-9,12-dienoate  </t>
    <phoneticPr fontId="1" type="noConversion"/>
  </si>
  <si>
    <t xml:space="preserve">C19H34O2 </t>
    <phoneticPr fontId="1" type="noConversion"/>
  </si>
  <si>
    <t>METHY-16</t>
  </si>
  <si>
    <t xml:space="preserve">ethyl (9Z,12Z,15Z)-octadeca-9,12,15-trienoate  </t>
    <phoneticPr fontId="1" type="noConversion"/>
  </si>
  <si>
    <t>C20H34O2</t>
    <phoneticPr fontId="1" type="noConversion"/>
  </si>
  <si>
    <t>ETHYL-04</t>
  </si>
  <si>
    <t xml:space="preserve">hexyl (Z)-octadec-9-enoate </t>
    <phoneticPr fontId="1" type="noConversion"/>
  </si>
  <si>
    <t>C24H46O2</t>
    <phoneticPr fontId="1" type="noConversion"/>
  </si>
  <si>
    <t>HEXYL-01</t>
  </si>
  <si>
    <t>methyl (Z)-octadec-9-enoate</t>
    <phoneticPr fontId="1" type="noConversion"/>
  </si>
  <si>
    <t xml:space="preserve">C19H36O2 </t>
    <phoneticPr fontId="1" type="noConversion"/>
  </si>
  <si>
    <t>METHY-17</t>
  </si>
  <si>
    <t xml:space="preserve">(13Z,16Z,19Z)-docosa-13,16,19-trienoic acid  </t>
    <phoneticPr fontId="1" type="noConversion"/>
  </si>
  <si>
    <t xml:space="preserve">C22H38O2  </t>
    <phoneticPr fontId="1" type="noConversion"/>
  </si>
  <si>
    <t>C22H3-01</t>
  </si>
  <si>
    <t xml:space="preserve">propyl (9Z,12Z,15Z)-octadeca-9,12,15-trienoate  </t>
    <phoneticPr fontId="1" type="noConversion"/>
  </si>
  <si>
    <t xml:space="preserve">C21H36O2 </t>
    <phoneticPr fontId="1" type="noConversion"/>
  </si>
  <si>
    <t>C21H3-01</t>
  </si>
  <si>
    <t xml:space="preserve">propyl (5Z,8Z,11Z,14Z)-icosa-5,8,11,14-tetraenoate </t>
    <phoneticPr fontId="1" type="noConversion"/>
  </si>
  <si>
    <t xml:space="preserve">C23H38O2 </t>
    <phoneticPr fontId="1" type="noConversion"/>
  </si>
  <si>
    <t>C23H3-01</t>
  </si>
  <si>
    <t xml:space="preserve">heptyl (Z)-octadec-9-enoate </t>
    <phoneticPr fontId="1" type="noConversion"/>
  </si>
  <si>
    <t xml:space="preserve">C25H48O2 </t>
    <phoneticPr fontId="1" type="noConversion"/>
  </si>
  <si>
    <t>HEPTY-01</t>
  </si>
  <si>
    <t>pentyl (Z)-hexadec-9-enoate</t>
    <phoneticPr fontId="1" type="noConversion"/>
  </si>
  <si>
    <t>C21H40O2</t>
    <phoneticPr fontId="1" type="noConversion"/>
  </si>
  <si>
    <t>PROPY-02</t>
  </si>
  <si>
    <t xml:space="preserve">pentyl (9Z,12Z)-octadeca-9,12-dienoate </t>
    <phoneticPr fontId="1" type="noConversion"/>
  </si>
  <si>
    <t xml:space="preserve">C23H42O2  </t>
    <phoneticPr fontId="1" type="noConversion"/>
  </si>
  <si>
    <t>METHY-18</t>
  </si>
  <si>
    <t>decyl (Z)-octadec-9-enoate</t>
    <phoneticPr fontId="1" type="noConversion"/>
  </si>
  <si>
    <t xml:space="preserve">C28H54O2 </t>
    <phoneticPr fontId="1" type="noConversion"/>
  </si>
  <si>
    <t>DECYL-01</t>
  </si>
  <si>
    <t>octyl (Z)-hexadec-9-enoate</t>
    <phoneticPr fontId="1" type="noConversion"/>
  </si>
  <si>
    <t xml:space="preserve">C24H46O2 </t>
    <phoneticPr fontId="1" type="noConversion"/>
  </si>
  <si>
    <t>HEXYL-02</t>
  </si>
  <si>
    <t xml:space="preserve">(12Z,23Z)-hexacosa-12,23-dienoic acid  </t>
    <phoneticPr fontId="1" type="noConversion"/>
  </si>
  <si>
    <t xml:space="preserve">C26H48O2  </t>
    <phoneticPr fontId="1" type="noConversion"/>
  </si>
  <si>
    <t>C26H4-01</t>
  </si>
  <si>
    <t>diethyl oxalate</t>
    <phoneticPr fontId="1" type="noConversion"/>
  </si>
  <si>
    <t xml:space="preserve">C6H10O4 </t>
    <phoneticPr fontId="1" type="noConversion"/>
  </si>
  <si>
    <t>DIETH-01</t>
  </si>
  <si>
    <t xml:space="preserve">dimethyl propanedioate  </t>
    <phoneticPr fontId="1" type="noConversion"/>
  </si>
  <si>
    <t xml:space="preserve">C5H8O4  </t>
    <phoneticPr fontId="1" type="noConversion"/>
  </si>
  <si>
    <t>DIMET-01</t>
  </si>
  <si>
    <t xml:space="preserve">dipropyl pentanedioate </t>
    <phoneticPr fontId="1" type="noConversion"/>
  </si>
  <si>
    <t xml:space="preserve">C11H20O4 </t>
    <phoneticPr fontId="1" type="noConversion"/>
  </si>
  <si>
    <t>DIPRO-01</t>
  </si>
  <si>
    <t xml:space="preserve">diethyl hexanedioate  </t>
    <phoneticPr fontId="1" type="noConversion"/>
  </si>
  <si>
    <t xml:space="preserve">C10H18O4  </t>
    <phoneticPr fontId="1" type="noConversion"/>
  </si>
  <si>
    <t>DIETH-02</t>
  </si>
  <si>
    <t>dimethyl heptanedioate</t>
    <phoneticPr fontId="1" type="noConversion"/>
  </si>
  <si>
    <t xml:space="preserve">C9H16O4  </t>
    <phoneticPr fontId="1" type="noConversion"/>
  </si>
  <si>
    <t>DIMET-02</t>
  </si>
  <si>
    <t xml:space="preserve">dimethyl nonanedioate  </t>
    <phoneticPr fontId="1" type="noConversion"/>
  </si>
  <si>
    <t>DIMET-03</t>
  </si>
  <si>
    <t xml:space="preserve">dimethyl dodecanedioate </t>
    <phoneticPr fontId="1" type="noConversion"/>
  </si>
  <si>
    <t xml:space="preserve">C14H26O4  </t>
    <phoneticPr fontId="1" type="noConversion"/>
  </si>
  <si>
    <t>DIMET-04</t>
  </si>
  <si>
    <t xml:space="preserve">dihexyl propanedioate  </t>
    <phoneticPr fontId="1" type="noConversion"/>
  </si>
  <si>
    <t xml:space="preserve">C15H28O4  </t>
    <phoneticPr fontId="1" type="noConversion"/>
  </si>
  <si>
    <t>DIAMY-01</t>
  </si>
  <si>
    <t xml:space="preserve">dipropyl oxalate  </t>
    <phoneticPr fontId="1" type="noConversion"/>
  </si>
  <si>
    <t xml:space="preserve">C8H14O4  </t>
    <phoneticPr fontId="1" type="noConversion"/>
  </si>
  <si>
    <t>DIETH-04</t>
  </si>
  <si>
    <t xml:space="preserve">diethyl propanedioate  </t>
    <phoneticPr fontId="1" type="noConversion"/>
  </si>
  <si>
    <t xml:space="preserve">C7H12O4 </t>
    <phoneticPr fontId="1" type="noConversion"/>
  </si>
  <si>
    <t>DIETH-05</t>
  </si>
  <si>
    <t>diethyl pentanedioate</t>
    <phoneticPr fontId="1" type="noConversion"/>
  </si>
  <si>
    <t xml:space="preserve">C9H16O4 </t>
    <phoneticPr fontId="1" type="noConversion"/>
  </si>
  <si>
    <t>DIETH-06</t>
  </si>
  <si>
    <t xml:space="preserve">dipropyl hexanedioate  </t>
    <phoneticPr fontId="1" type="noConversion"/>
  </si>
  <si>
    <t xml:space="preserve">C12H22O4 </t>
    <phoneticPr fontId="1" type="noConversion"/>
  </si>
  <si>
    <t>DIPRO-02</t>
  </si>
  <si>
    <t xml:space="preserve">diethyl heptanedioate  </t>
    <phoneticPr fontId="1" type="noConversion"/>
  </si>
  <si>
    <t>DIETH-07</t>
  </si>
  <si>
    <t xml:space="preserve">dipropyl octanedioate  </t>
    <phoneticPr fontId="1" type="noConversion"/>
  </si>
  <si>
    <t>DIPRO-03</t>
  </si>
  <si>
    <t>diethyl nonanedioate</t>
    <phoneticPr fontId="1" type="noConversion"/>
  </si>
  <si>
    <t xml:space="preserve">C13H24O4 </t>
    <phoneticPr fontId="1" type="noConversion"/>
  </si>
  <si>
    <t>DIETH-08</t>
  </si>
  <si>
    <t xml:space="preserve">diethyl dodecanedioate  </t>
    <phoneticPr fontId="1" type="noConversion"/>
  </si>
  <si>
    <t xml:space="preserve">C16H30O4 </t>
    <phoneticPr fontId="1" type="noConversion"/>
  </si>
  <si>
    <t>DIBUT-02</t>
  </si>
  <si>
    <t xml:space="preserve">dibutyl nonanedioate  </t>
    <phoneticPr fontId="1" type="noConversion"/>
  </si>
  <si>
    <t>C17H32O4</t>
    <phoneticPr fontId="1" type="noConversion"/>
  </si>
  <si>
    <t>DIPEN-01</t>
  </si>
  <si>
    <t xml:space="preserve">undecane  </t>
    <phoneticPr fontId="1" type="noConversion"/>
  </si>
  <si>
    <t xml:space="preserve">C11H24  </t>
    <phoneticPr fontId="1" type="noConversion"/>
  </si>
  <si>
    <t>N-UND-02</t>
  </si>
  <si>
    <t xml:space="preserve">dodecane  </t>
    <phoneticPr fontId="1" type="noConversion"/>
  </si>
  <si>
    <t>C12H26</t>
    <phoneticPr fontId="1" type="noConversion"/>
  </si>
  <si>
    <t>N-DOD-03</t>
  </si>
  <si>
    <t xml:space="preserve">tridecane  </t>
    <phoneticPr fontId="1" type="noConversion"/>
  </si>
  <si>
    <t>C13H28</t>
    <phoneticPr fontId="1" type="noConversion"/>
  </si>
  <si>
    <t>N-TRI-02</t>
  </si>
  <si>
    <t>tetradecane</t>
    <phoneticPr fontId="1" type="noConversion"/>
  </si>
  <si>
    <t>C14H30</t>
    <phoneticPr fontId="1" type="noConversion"/>
  </si>
  <si>
    <t>N-TET-02</t>
  </si>
  <si>
    <t xml:space="preserve">pentadecane   </t>
    <phoneticPr fontId="1" type="noConversion"/>
  </si>
  <si>
    <t xml:space="preserve">C15H32 </t>
    <phoneticPr fontId="1" type="noConversion"/>
  </si>
  <si>
    <t>N-PEN-01</t>
  </si>
  <si>
    <t xml:space="preserve">hexadecane  </t>
    <phoneticPr fontId="1" type="noConversion"/>
  </si>
  <si>
    <t xml:space="preserve">C16H34 </t>
    <phoneticPr fontId="1" type="noConversion"/>
  </si>
  <si>
    <t>N-HEX-04</t>
  </si>
  <si>
    <t xml:space="preserve">henicosane  </t>
    <phoneticPr fontId="1" type="noConversion"/>
  </si>
  <si>
    <t xml:space="preserve">C21H44 </t>
    <phoneticPr fontId="1" type="noConversion"/>
  </si>
  <si>
    <t>N-HEN-01</t>
  </si>
  <si>
    <t xml:space="preserve">docosane </t>
    <phoneticPr fontId="1" type="noConversion"/>
  </si>
  <si>
    <t xml:space="preserve">C22H46 </t>
    <phoneticPr fontId="1" type="noConversion"/>
  </si>
  <si>
    <t>N-DOC-02</t>
  </si>
  <si>
    <t>tricosane</t>
    <phoneticPr fontId="1" type="noConversion"/>
  </si>
  <si>
    <t xml:space="preserve">C23H48  </t>
    <phoneticPr fontId="1" type="noConversion"/>
  </si>
  <si>
    <t>N-TRI-03</t>
  </si>
  <si>
    <t>tetracosane</t>
    <phoneticPr fontId="1" type="noConversion"/>
  </si>
  <si>
    <t xml:space="preserve">C24H50  </t>
    <phoneticPr fontId="1" type="noConversion"/>
  </si>
  <si>
    <t>N-TET-03</t>
  </si>
  <si>
    <t>cyclohexane</t>
    <phoneticPr fontId="1" type="noConversion"/>
  </si>
  <si>
    <t xml:space="preserve">C6H12  </t>
    <phoneticPr fontId="1" type="noConversion"/>
  </si>
  <si>
    <t>CYCLO-06</t>
  </si>
  <si>
    <t xml:space="preserve">cyclononane </t>
    <phoneticPr fontId="1" type="noConversion"/>
  </si>
  <si>
    <t>C9H18</t>
    <phoneticPr fontId="1" type="noConversion"/>
  </si>
  <si>
    <t>CYCLO-07</t>
  </si>
  <si>
    <t xml:space="preserve">cyclodecane  </t>
    <phoneticPr fontId="1" type="noConversion"/>
  </si>
  <si>
    <t xml:space="preserve">C10H20 </t>
    <phoneticPr fontId="1" type="noConversion"/>
  </si>
  <si>
    <t>CYCLO-08</t>
  </si>
  <si>
    <t xml:space="preserve">cycloundecane  </t>
    <phoneticPr fontId="1" type="noConversion"/>
  </si>
  <si>
    <t xml:space="preserve">C11H22  </t>
    <phoneticPr fontId="1" type="noConversion"/>
  </si>
  <si>
    <t>CYCLO-09</t>
  </si>
  <si>
    <t xml:space="preserve">cyclododecane  </t>
    <phoneticPr fontId="1" type="noConversion"/>
  </si>
  <si>
    <t xml:space="preserve">C12H24 </t>
    <phoneticPr fontId="1" type="noConversion"/>
  </si>
  <si>
    <t>CYCLO-10</t>
  </si>
  <si>
    <t>butylbenzene</t>
    <phoneticPr fontId="1" type="noConversion"/>
  </si>
  <si>
    <t xml:space="preserve">C10H14 </t>
    <phoneticPr fontId="1" type="noConversion"/>
  </si>
  <si>
    <t>N-BUT-02</t>
  </si>
  <si>
    <t xml:space="preserve">pentylbenzene  </t>
    <phoneticPr fontId="1" type="noConversion"/>
  </si>
  <si>
    <t xml:space="preserve">C11H16 </t>
    <phoneticPr fontId="1" type="noConversion"/>
  </si>
  <si>
    <t>N-PEN-02</t>
  </si>
  <si>
    <t xml:space="preserve">hexylbenzene  </t>
    <phoneticPr fontId="1" type="noConversion"/>
  </si>
  <si>
    <t xml:space="preserve">C12H18 </t>
    <phoneticPr fontId="1" type="noConversion"/>
  </si>
  <si>
    <t>N-HEX-05</t>
  </si>
  <si>
    <t xml:space="preserve">heptylbenzene  </t>
    <phoneticPr fontId="1" type="noConversion"/>
  </si>
  <si>
    <t xml:space="preserve">C13H20 </t>
    <phoneticPr fontId="1" type="noConversion"/>
  </si>
  <si>
    <t>N-HEP-04</t>
  </si>
  <si>
    <t xml:space="preserve">octylbenzene  </t>
    <phoneticPr fontId="1" type="noConversion"/>
  </si>
  <si>
    <t xml:space="preserve">C14H22 </t>
    <phoneticPr fontId="1" type="noConversion"/>
  </si>
  <si>
    <t>N-OCT-04</t>
  </si>
  <si>
    <t xml:space="preserve">2,3-dihydroxypropyl octadecanoate  </t>
    <phoneticPr fontId="1" type="noConversion"/>
  </si>
  <si>
    <t xml:space="preserve">C21H42O4 </t>
    <phoneticPr fontId="1" type="noConversion"/>
  </si>
  <si>
    <t>1-MON-01</t>
  </si>
  <si>
    <t xml:space="preserve">2,3-dihydroxypropyl (Z)-octadec-9-enoate  </t>
    <phoneticPr fontId="1" type="noConversion"/>
  </si>
  <si>
    <t xml:space="preserve">C21H40O4 </t>
    <phoneticPr fontId="1" type="noConversion"/>
  </si>
  <si>
    <t>MONOO-01</t>
  </si>
  <si>
    <t xml:space="preserve">2,3-dihydroxypropyl hexadecanoate  </t>
    <phoneticPr fontId="1" type="noConversion"/>
  </si>
  <si>
    <t xml:space="preserve">C19H38O4  </t>
    <phoneticPr fontId="1" type="noConversion"/>
  </si>
  <si>
    <t>1-MON-02</t>
  </si>
  <si>
    <t xml:space="preserve">[3-hydroxy-2-[(9Z,12Z)-octadeca-9,12-dienoyl]oxypropyl] octadecanoate  </t>
    <phoneticPr fontId="1" type="noConversion"/>
  </si>
  <si>
    <t xml:space="preserve">C39H72O5  </t>
    <phoneticPr fontId="1" type="noConversion"/>
  </si>
  <si>
    <t>DIOLE-01</t>
  </si>
  <si>
    <t>2,3-dihydroxypropyl heptadecanoate</t>
    <phoneticPr fontId="1" type="noConversion"/>
  </si>
  <si>
    <t>C20H40O4</t>
    <phoneticPr fontId="1" type="noConversion"/>
  </si>
  <si>
    <t>C20H4-01</t>
  </si>
  <si>
    <t xml:space="preserve">hentriacontanoic acid  </t>
    <phoneticPr fontId="1" type="noConversion"/>
  </si>
  <si>
    <t xml:space="preserve">C31H62O2 </t>
    <phoneticPr fontId="1" type="noConversion"/>
  </si>
  <si>
    <t>METHY-19</t>
  </si>
  <si>
    <t xml:space="preserve">dotriacontanoic acid  </t>
    <phoneticPr fontId="1" type="noConversion"/>
  </si>
  <si>
    <t xml:space="preserve">C32H64O2 </t>
    <phoneticPr fontId="1" type="noConversion"/>
  </si>
  <si>
    <t>LACCE-01</t>
  </si>
  <si>
    <t xml:space="preserve">tritriacontanoic acid  </t>
    <phoneticPr fontId="1" type="noConversion"/>
  </si>
  <si>
    <t>C33H66O2</t>
    <phoneticPr fontId="1" type="noConversion"/>
  </si>
  <si>
    <t>METHY-20</t>
  </si>
  <si>
    <t xml:space="preserve">tetratriacontanoic acid  </t>
    <phoneticPr fontId="1" type="noConversion"/>
  </si>
  <si>
    <t xml:space="preserve">C34H68O2 </t>
    <phoneticPr fontId="1" type="noConversion"/>
  </si>
  <si>
    <t>TETRA-03</t>
  </si>
  <si>
    <t xml:space="preserve">nonacosan-1-ol  </t>
    <phoneticPr fontId="1" type="noConversion"/>
  </si>
  <si>
    <t xml:space="preserve">C29H60O </t>
    <phoneticPr fontId="1" type="noConversion"/>
  </si>
  <si>
    <t>1-NON-03</t>
  </si>
  <si>
    <t>hentriacontan-1-ol</t>
    <phoneticPr fontId="1" type="noConversion"/>
  </si>
  <si>
    <t>C31H64O</t>
    <phoneticPr fontId="1" type="noConversion"/>
  </si>
  <si>
    <t>16-HE-01</t>
  </si>
  <si>
    <t xml:space="preserve">dotriacontan-1-ol  </t>
    <phoneticPr fontId="1" type="noConversion"/>
  </si>
  <si>
    <t>C32H66O</t>
    <phoneticPr fontId="1" type="noConversion"/>
  </si>
  <si>
    <t>1-DOT-01</t>
  </si>
  <si>
    <t xml:space="preserve">nonyl (Z)-octadec-9-enoate </t>
    <phoneticPr fontId="1" type="noConversion"/>
  </si>
  <si>
    <t xml:space="preserve">C27H52O2  </t>
    <phoneticPr fontId="1" type="noConversion"/>
  </si>
  <si>
    <t>NONYL-01</t>
  </si>
  <si>
    <t xml:space="preserve">dodecyl (Z)-octadec-9-enoate </t>
    <phoneticPr fontId="1" type="noConversion"/>
  </si>
  <si>
    <t xml:space="preserve">C30H58O2 </t>
    <phoneticPr fontId="1" type="noConversion"/>
  </si>
  <si>
    <t>DODEC-02</t>
  </si>
  <si>
    <t xml:space="preserve">dodecyl (Z)-hexadec-9-enoate  </t>
    <phoneticPr fontId="1" type="noConversion"/>
  </si>
  <si>
    <t xml:space="preserve">C28H54O2  </t>
    <phoneticPr fontId="1" type="noConversion"/>
  </si>
  <si>
    <t>DECYL-02</t>
  </si>
  <si>
    <t xml:space="preserve">dodecyl (9Z,12Z)-octadeca-9,12-dienoate  </t>
    <phoneticPr fontId="1" type="noConversion"/>
  </si>
  <si>
    <t xml:space="preserve">C30H56O2  </t>
    <phoneticPr fontId="1" type="noConversion"/>
  </si>
  <si>
    <t>C30H5-01</t>
  </si>
  <si>
    <t xml:space="preserve">dodecyl (9Z,12Z,15Z)-octadeca-9,12,15-trienoate  </t>
    <phoneticPr fontId="1" type="noConversion"/>
  </si>
  <si>
    <t xml:space="preserve">C30H54O2 </t>
    <phoneticPr fontId="1" type="noConversion"/>
  </si>
  <si>
    <t>HYDRO-01</t>
  </si>
  <si>
    <t xml:space="preserve">dimethyl tetradecanedioate  </t>
    <phoneticPr fontId="1" type="noConversion"/>
  </si>
  <si>
    <t>THAPS-01</t>
  </si>
  <si>
    <t xml:space="preserve">dimethyl pentadecanedioate  </t>
    <phoneticPr fontId="1" type="noConversion"/>
  </si>
  <si>
    <t xml:space="preserve">C17H32O4 </t>
    <phoneticPr fontId="1" type="noConversion"/>
  </si>
  <si>
    <t>DIPEN-02</t>
  </si>
  <si>
    <t xml:space="preserve">dimethyl hexadecanedioate  </t>
    <phoneticPr fontId="1" type="noConversion"/>
  </si>
  <si>
    <t>C18H34O4</t>
    <phoneticPr fontId="1" type="noConversion"/>
  </si>
  <si>
    <t>DIHEX-01</t>
  </si>
  <si>
    <t xml:space="preserve">dimethyl octadecanedioate  </t>
    <phoneticPr fontId="1" type="noConversion"/>
  </si>
  <si>
    <t xml:space="preserve">C20H38O4  </t>
    <phoneticPr fontId="1" type="noConversion"/>
  </si>
  <si>
    <t>HEXAN-01</t>
  </si>
  <si>
    <t xml:space="preserve">diethyl tetradecanedioate  </t>
    <phoneticPr fontId="1" type="noConversion"/>
  </si>
  <si>
    <t xml:space="preserve">C18H34O4 </t>
    <phoneticPr fontId="1" type="noConversion"/>
  </si>
  <si>
    <t>DIBUT-03</t>
  </si>
  <si>
    <t xml:space="preserve">diethyl hexadecanedioate  </t>
    <phoneticPr fontId="1" type="noConversion"/>
  </si>
  <si>
    <t xml:space="preserve">C20H38O4 </t>
    <phoneticPr fontId="1" type="noConversion"/>
  </si>
  <si>
    <t>DECAN-01</t>
  </si>
  <si>
    <t xml:space="preserve">diethyl heptadecanedioate  </t>
    <phoneticPr fontId="1" type="noConversion"/>
  </si>
  <si>
    <t>C21H40O4</t>
    <phoneticPr fontId="1" type="noConversion"/>
  </si>
  <si>
    <t>PROPY-03</t>
  </si>
  <si>
    <t xml:space="preserve">diethyl octadecanedioate  </t>
    <phoneticPr fontId="1" type="noConversion"/>
  </si>
  <si>
    <t xml:space="preserve">C22H42O4 </t>
    <phoneticPr fontId="1" type="noConversion"/>
  </si>
  <si>
    <t>DI-N--05</t>
  </si>
  <si>
    <t xml:space="preserve">pentacosane  </t>
    <phoneticPr fontId="1" type="noConversion"/>
  </si>
  <si>
    <t xml:space="preserve">C25H52  </t>
    <phoneticPr fontId="1" type="noConversion"/>
  </si>
  <si>
    <t>N-PEN-03</t>
  </si>
  <si>
    <t xml:space="preserve">hexacosane  </t>
    <phoneticPr fontId="1" type="noConversion"/>
  </si>
  <si>
    <t xml:space="preserve">C26H54 </t>
    <phoneticPr fontId="1" type="noConversion"/>
  </si>
  <si>
    <t>N-HEX-06</t>
  </si>
  <si>
    <t xml:space="preserve">heptacosane  </t>
    <phoneticPr fontId="1" type="noConversion"/>
  </si>
  <si>
    <t xml:space="preserve">C27H56 </t>
    <phoneticPr fontId="1" type="noConversion"/>
  </si>
  <si>
    <t>N-HEP-05</t>
  </si>
  <si>
    <t xml:space="preserve">octacosane  </t>
    <phoneticPr fontId="1" type="noConversion"/>
  </si>
  <si>
    <t xml:space="preserve">C28H58 </t>
    <phoneticPr fontId="1" type="noConversion"/>
  </si>
  <si>
    <t>N-OCT-05</t>
  </si>
  <si>
    <t xml:space="preserve">nonacosane  </t>
    <phoneticPr fontId="1" type="noConversion"/>
  </si>
  <si>
    <t xml:space="preserve">C29H60  </t>
    <phoneticPr fontId="1" type="noConversion"/>
  </si>
  <si>
    <t>N-NON-03</t>
  </si>
  <si>
    <t>triacontane</t>
    <phoneticPr fontId="1" type="noConversion"/>
  </si>
  <si>
    <t xml:space="preserve">C30H62 </t>
    <phoneticPr fontId="1" type="noConversion"/>
  </si>
  <si>
    <t>N-TRI-04</t>
  </si>
  <si>
    <t>cyclotridecane  </t>
  </si>
  <si>
    <t xml:space="preserve">C13H26  </t>
    <phoneticPr fontId="1" type="noConversion"/>
  </si>
  <si>
    <t>CYCLO-11</t>
  </si>
  <si>
    <t>cyclotetradecane</t>
    <phoneticPr fontId="1" type="noConversion"/>
  </si>
  <si>
    <t xml:space="preserve">C14H28 </t>
    <phoneticPr fontId="1" type="noConversion"/>
  </si>
  <si>
    <t>CYCLO-12</t>
  </si>
  <si>
    <t xml:space="preserve">cyclopentadecane  </t>
    <phoneticPr fontId="1" type="noConversion"/>
  </si>
  <si>
    <t xml:space="preserve">C15H30 </t>
    <phoneticPr fontId="1" type="noConversion"/>
  </si>
  <si>
    <t>CYCLO-13</t>
  </si>
  <si>
    <t>cyclohexadecane  </t>
  </si>
  <si>
    <t xml:space="preserve">C16H32 </t>
    <phoneticPr fontId="1" type="noConversion"/>
  </si>
  <si>
    <t>CYCLO-14</t>
  </si>
  <si>
    <t xml:space="preserve">[2-hydroxy-3-[(Z)-octadec-9-enoyl]oxypropyl] (Z)-octadec-9-enoate  </t>
    <phoneticPr fontId="1" type="noConversion"/>
  </si>
  <si>
    <t>C39H72O5</t>
    <phoneticPr fontId="1" type="noConversion"/>
  </si>
  <si>
    <t>DIOLE-02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</si>
  <si>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</si>
  <si>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</si>
  <si>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</si>
  <si>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</si>
  <si>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</si>
  <si>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</si>
  <si>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</si>
  <si>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</si>
  <si>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</si>
  <si>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  <phoneticPr fontId="6" type="noConversion"/>
  </si>
  <si>
    <t>组分 ID</t>
  </si>
  <si>
    <t>R2</t>
    <phoneticPr fontId="1" type="noConversion"/>
  </si>
  <si>
    <t>slope1</t>
    <phoneticPr fontId="1" type="noConversion"/>
  </si>
  <si>
    <t>slope2</t>
  </si>
  <si>
    <t>slope3</t>
  </si>
  <si>
    <t>slope4</t>
  </si>
  <si>
    <t>slope5</t>
  </si>
  <si>
    <t>slope6</t>
  </si>
  <si>
    <t>slope7</t>
  </si>
  <si>
    <t>slope8</t>
  </si>
  <si>
    <t>slope9</t>
  </si>
  <si>
    <t>H vap1</t>
    <phoneticPr fontId="1" type="noConversion"/>
  </si>
  <si>
    <t>H vap2</t>
  </si>
  <si>
    <t>H vap3</t>
  </si>
  <si>
    <t>H vap4</t>
  </si>
  <si>
    <t>H vap5</t>
  </si>
  <si>
    <t>H vap6</t>
  </si>
  <si>
    <t>H vap7</t>
  </si>
  <si>
    <t>H vap8</t>
  </si>
  <si>
    <t>H vap9</t>
  </si>
  <si>
    <t>H vap1 in theory</t>
    <phoneticPr fontId="1" type="noConversion"/>
  </si>
  <si>
    <t>H vap2 in theory</t>
  </si>
  <si>
    <t>H vap3 in theory</t>
  </si>
  <si>
    <t>H vap4 in theory</t>
  </si>
  <si>
    <t>H vap5 in theory</t>
  </si>
  <si>
    <t>H vap6 in theory</t>
  </si>
  <si>
    <t>H vap7 in theory</t>
  </si>
  <si>
    <t>H vap8 in theory</t>
  </si>
  <si>
    <t>H vap9 in theory</t>
  </si>
  <si>
    <t>R2 separate</t>
    <phoneticPr fontId="1" type="noConversion"/>
  </si>
  <si>
    <t>ASPEN ID</t>
  </si>
  <si>
    <t>MW</t>
    <phoneticPr fontId="1" type="noConversion"/>
  </si>
  <si>
    <t>ASPEN Boiling T</t>
    <phoneticPr fontId="1" type="noConversion"/>
  </si>
  <si>
    <t>ASPEN  Critical T</t>
  </si>
  <si>
    <t>ASPEN  Normal T</t>
  </si>
  <si>
    <t>ASPEN Half Critical T</t>
  </si>
  <si>
    <t>Ncs</t>
    <phoneticPr fontId="1" type="noConversion"/>
  </si>
  <si>
    <t>Nc</t>
    <phoneticPr fontId="1" type="noConversion"/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</si>
  <si>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</si>
  <si>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</si>
  <si>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</si>
  <si>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</si>
  <si>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</si>
  <si>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</si>
  <si>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</si>
  <si>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</si>
  <si>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</si>
  <si>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</si>
  <si>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</si>
  <si>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</si>
  <si>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</si>
  <si>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</si>
  <si>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</si>
  <si>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</si>
  <si>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</si>
  <si>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</si>
  <si>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</si>
  <si>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</si>
  <si>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t>TEMPERETURE10</t>
  </si>
  <si>
    <t>Vapor Pressure 1(pa)</t>
    <phoneticPr fontId="1" type="noConversion"/>
  </si>
  <si>
    <t>Vapor Pressure 2</t>
    <phoneticPr fontId="1" type="noConversion"/>
  </si>
  <si>
    <t>Vapor Pressure 3</t>
    <phoneticPr fontId="1" type="noConversion"/>
  </si>
  <si>
    <t>Vapor Pressure 4</t>
    <phoneticPr fontId="1" type="noConversion"/>
  </si>
  <si>
    <t>Vapor Pressure 5</t>
    <phoneticPr fontId="1" type="noConversion"/>
  </si>
  <si>
    <t>Vapor Pressure 6</t>
    <phoneticPr fontId="1" type="noConversion"/>
  </si>
  <si>
    <t>Vapor Pressure 7</t>
    <phoneticPr fontId="1" type="noConversion"/>
  </si>
  <si>
    <t>Vapor Pressure 8</t>
    <phoneticPr fontId="1" type="noConversion"/>
  </si>
  <si>
    <t>Vapor Pressure 9</t>
    <phoneticPr fontId="1" type="noConversion"/>
  </si>
  <si>
    <t>Vapor Pressure 10</t>
    <phoneticPr fontId="1" type="noConversion"/>
  </si>
  <si>
    <t>ASPEN Vapor pressure at Critical Temperature(bar)</t>
    <phoneticPr fontId="1" type="noConversion"/>
  </si>
  <si>
    <t>ASPEN Vapor pressure at BoilingTemperature(bar)</t>
    <phoneticPr fontId="1" type="noConversion"/>
  </si>
  <si>
    <t>(TB+TC)/2</t>
    <phoneticPr fontId="1" type="noConversion"/>
  </si>
  <si>
    <t>PC at (TB+TC)/2</t>
    <phoneticPr fontId="1" type="noConversion"/>
  </si>
  <si>
    <t>CCCCOC(=O)CCCCCCCCC(=O)OCCCC</t>
  </si>
  <si>
    <t>CCCCCCOC(=O)CCCCCCCCC(=O)OCCCCCC</t>
  </si>
  <si>
    <t>CCCCCCCCOC(=O)CCCCCCCCC(=O)OCCCCCCCC</t>
  </si>
  <si>
    <t>CCCCCCCCCCOC(=O)CCCCCCCCC(=O)OCCCCCCCCCC</t>
  </si>
  <si>
    <t>CCCCCCCCCCCCOC(=O)CCCCCCCCC(=O)OCCCCCCCCCCCC</t>
  </si>
  <si>
    <t>CCCCCCCCCCCCCCOC(=O)CCCCCCCCC(=O)OCCCCCCCCCCCCCC</t>
  </si>
  <si>
    <t>CCCCCCCCCCCCCCCCOC(=O)CCCCCCCCC(=O)OCCCCCCCCCCCCCCCC</t>
  </si>
  <si>
    <t>CCCCCCCCCCCCCCCCCCOC(=O)CCCCCCCCC(=O)OCCCCCCCCCCCCCCCCCC</t>
  </si>
  <si>
    <t>CCCC(=O)OCC(COC(=O)CCC)OC(=O)CCC</t>
    <phoneticPr fontId="1" type="noConversion"/>
  </si>
  <si>
    <t>CCCCCC(=O)OCC(COC(=O)CCCCC)OC(=O)CCCCC</t>
  </si>
  <si>
    <t>CCCCCCCC(=O)OCC(COC(=O)CCCCCCC)OC(=O)CCCCCCC</t>
  </si>
  <si>
    <t>CCCCCCCCCC(=O)OCC(COC(=O)CCCCCCCCC)OC(=O)CCCCCCCCC</t>
  </si>
  <si>
    <t>CCCCCCCCCCCC(=O)OCC(COC(=O)CCCCCCCCCCC)OC(=O)CCCCCCCCCCC</t>
  </si>
  <si>
    <t>CCCCCCCCCCCCCCCC(=O)OCC(COC(=O)CCCCCCCCCCCCCCC)OC(=O)CCCCCCCCCCCCCCC</t>
  </si>
  <si>
    <t>CCCCCCCCCCCCCCCCCC(=O)OCC(COC(=O)CCCCCCCCCCCCCCCCC)OC(=O)CCCCCCCCCCCCCCCCC</t>
  </si>
  <si>
    <t>CCCCCCC(=O)O</t>
  </si>
  <si>
    <t>CCCCCCCCC(=O)O</t>
  </si>
  <si>
    <t>CCCCCCCCCCC(=O)O</t>
  </si>
  <si>
    <t>CCCCCCCCCCCCC(=O)O</t>
  </si>
  <si>
    <t>CCCCCCCCCCCCCCC(=O)O</t>
  </si>
  <si>
    <t>CCCCCCCC(=O)O</t>
  </si>
  <si>
    <t>CCCCCCCCCC(=O)O</t>
  </si>
  <si>
    <t>CCCCCCCCCCCC(=O)O</t>
  </si>
  <si>
    <t>CCCCCCCCCCCCCC(=O)O</t>
  </si>
  <si>
    <t>CCCCCCCCCCCCCCCC(=O)O</t>
  </si>
  <si>
    <t>CCCCCCCCCCCCCCCCCC(=O)O</t>
  </si>
  <si>
    <t>CCCCCCCCCCCCCCCCCCCC(=O)O</t>
  </si>
  <si>
    <t>CCCCCCCCCCCCCCCCCCC</t>
    <phoneticPr fontId="1" type="noConversion"/>
  </si>
  <si>
    <t>CCCCCCCCCCCCCCCCCCCC</t>
  </si>
  <si>
    <t>CCCCCCCCCCCCCCCCC</t>
  </si>
  <si>
    <t>CCCCCCCCCCCCCCCCCC</t>
  </si>
  <si>
    <t>CCCCCCCCC=CCCCCCCCC(=O)OCC(COC(=O)CCCCCCCC=CCCCCCCCC)OC(=O)CCCCCCCC=CCCCCCCCC</t>
  </si>
  <si>
    <t>CCCCCCCCC=CCCCCCCCC(=O)O</t>
  </si>
  <si>
    <t>OCCCCCCCCCCCCCCCCCC</t>
  </si>
  <si>
    <t>OCCCCCCCCCCCCCCCCCCC</t>
  </si>
  <si>
    <t>OCCCCCCCCCCCCCCCCCCCC</t>
  </si>
  <si>
    <t>OCCCCCCCCCCCCCCCCCCCCCC</t>
    <phoneticPr fontId="1" type="noConversion"/>
  </si>
  <si>
    <t>CCCCCCCCCC</t>
  </si>
  <si>
    <t>Cc1ccccc1</t>
  </si>
  <si>
    <t>OCCCCCC</t>
  </si>
  <si>
    <t>OCCCCCCC</t>
  </si>
  <si>
    <t>OCCCCCCCC</t>
  </si>
  <si>
    <t>OCCCCCCCCCC</t>
  </si>
  <si>
    <t>OCCCCCCCCCCCC</t>
  </si>
  <si>
    <t>OCCCCCCCCCCCCC</t>
  </si>
  <si>
    <t>OCCCCCCCCCCCCCCC</t>
  </si>
  <si>
    <t>OCCCCCCCCCCCCCCCCC</t>
  </si>
  <si>
    <t>OCCC</t>
  </si>
  <si>
    <t>OCCCCC</t>
  </si>
  <si>
    <t>CCCCCCCC(=O)OC</t>
  </si>
  <si>
    <t>CCCCCCCCC(=O)OC</t>
  </si>
  <si>
    <t>CCCCCCCCCC(=O)OC</t>
  </si>
  <si>
    <t>CCCCCCCCCCC(=O)OC</t>
  </si>
  <si>
    <t>CCCCCCCCCCCC(=O)OC</t>
  </si>
  <si>
    <t>CCCCCCCCCCCCC(=O)OC</t>
  </si>
  <si>
    <t>CCCCCCCCCCCCCC(=O)OC</t>
  </si>
  <si>
    <t>CCCCCCCCCCCCCCC(=O)OC</t>
  </si>
  <si>
    <t>CCCCCCCCCCCCCCCC(=O)OC</t>
  </si>
  <si>
    <t>CCCCCCCCCCCCCCCCC(=O)OC</t>
  </si>
  <si>
    <t>CCCCCCCCCCCCCCCCCC(=O)OC</t>
  </si>
  <si>
    <t>CCCCCCCCCCCCCCCCCCC(=O)OC</t>
  </si>
  <si>
    <t>CCCCCCCCCCCCCCCCCCCC(=O)OC</t>
  </si>
  <si>
    <t>CCCCCCCCCCC(=O)OCC</t>
  </si>
  <si>
    <t>CCCCCCCCCCCCC(=O)OCC</t>
  </si>
  <si>
    <t>C1CC1</t>
  </si>
  <si>
    <t>CCC</t>
  </si>
  <si>
    <t>c1ccccc1</t>
  </si>
  <si>
    <t>OCC</t>
  </si>
  <si>
    <t>O=C(O)C</t>
  </si>
  <si>
    <t>CCCCCCCCCCCCCCCCCCCCCC(=O)O</t>
  </si>
  <si>
    <t xml:space="preserve">CCCCCCCCCCCCCCCCCCCCCCCC(=O)O  </t>
  </si>
  <si>
    <t>CC1=CC=C(C=C1)C</t>
  </si>
  <si>
    <t xml:space="preserve">CC1=CC=CC=C1C  </t>
  </si>
  <si>
    <t xml:space="preserve">CC1=CC(=C(C=C1)C)C  </t>
  </si>
  <si>
    <t>CCCCO</t>
  </si>
  <si>
    <t>CCCCCCCCO</t>
  </si>
  <si>
    <t>CCCCCCCCCCO</t>
  </si>
  <si>
    <t>CCCCCCCCCCCCCCCCO</t>
  </si>
  <si>
    <t>CCCCCCCCCCCCCCCCCCO</t>
  </si>
  <si>
    <t xml:space="preserve">CC(=O)O </t>
  </si>
  <si>
    <t>CCC(=O)O</t>
  </si>
  <si>
    <t>CCCC(=O)O</t>
  </si>
  <si>
    <t>CCCCC(=O)O</t>
  </si>
  <si>
    <t>CCCCCC(=O)O</t>
  </si>
  <si>
    <t>C1CCC1</t>
  </si>
  <si>
    <t xml:space="preserve">C1CCCC1 </t>
  </si>
  <si>
    <t>C1CCCCCC1</t>
  </si>
  <si>
    <t>C1CCCCCCC1</t>
  </si>
  <si>
    <t>CCCCCC/C=C\CCCCCCCC(=O)O</t>
  </si>
  <si>
    <t>CCCCCCCC/C=C\CCCCCCCC(=O)O</t>
  </si>
  <si>
    <t>CCCCC/C=C\C/C=C\CCCCCCCC(=O)O</t>
  </si>
  <si>
    <t>CC/C=C\C/C=C\C/C=C\CCCCCCCC(=O)O</t>
  </si>
  <si>
    <t>CCCCC/C=C\C/C=C\C/C=C\C/C=C\CCCC(=O)O</t>
  </si>
  <si>
    <t>CCCCCCCCCCCCCCCCC(=O)O</t>
    <phoneticPr fontId="1" type="noConversion"/>
  </si>
  <si>
    <t xml:space="preserve">CCCCCCCCCCCCCCCCCCC(=O)O  </t>
    <phoneticPr fontId="1" type="noConversion"/>
  </si>
  <si>
    <t>CCCCCCCCCCCCCCCCCCCCC(=O)O</t>
    <phoneticPr fontId="1" type="noConversion"/>
  </si>
  <si>
    <t>CCCCCCCCCCCCCCCCCCCCCCC(=O)O</t>
    <phoneticPr fontId="1" type="noConversion"/>
  </si>
  <si>
    <t xml:space="preserve">CCCCCCCCCCCCCCCCCCCCCCCCC(=O)O  </t>
    <phoneticPr fontId="1" type="noConversion"/>
  </si>
  <si>
    <t xml:space="preserve">CCCCCCCCCCCCCCCCCCCCCCCCCC(=O)O </t>
    <phoneticPr fontId="1" type="noConversion"/>
  </si>
  <si>
    <t xml:space="preserve">CCCCCCCCCCCCCCCCCCCCCCCCCCC(=O)O  </t>
    <phoneticPr fontId="1" type="noConversion"/>
  </si>
  <si>
    <t xml:space="preserve">CCCCCCCCCCCCCCCCCCCCCCCCCCCC(=O)O </t>
    <phoneticPr fontId="1" type="noConversion"/>
  </si>
  <si>
    <t xml:space="preserve">CCCCCCCCCCCCCCCCCCCCCCCCCCCCC(=O)O  </t>
    <phoneticPr fontId="1" type="noConversion"/>
  </si>
  <si>
    <t xml:space="preserve">CCCCCCCCCCCCCCCCCCCCCCCCCCCCCC(=O)O  </t>
    <phoneticPr fontId="1" type="noConversion"/>
  </si>
  <si>
    <t>CCCCCCCCCO</t>
    <phoneticPr fontId="1" type="noConversion"/>
  </si>
  <si>
    <t>CCCCCCCCCCCO</t>
    <phoneticPr fontId="1" type="noConversion"/>
  </si>
  <si>
    <t xml:space="preserve">CCCCCCCCCCCCCCO </t>
    <phoneticPr fontId="1" type="noConversion"/>
  </si>
  <si>
    <t>CCCCCCCCCCCCCCCCCCCCCCCO</t>
    <phoneticPr fontId="1" type="noConversion"/>
  </si>
  <si>
    <t xml:space="preserve">CCCCCCCCCCCCCCCCCCCCCCCCO  </t>
    <phoneticPr fontId="1" type="noConversion"/>
  </si>
  <si>
    <t>CCCCCCCCCCCCCCCCCCCCCCCCCO</t>
    <phoneticPr fontId="1" type="noConversion"/>
  </si>
  <si>
    <t xml:space="preserve">CCCCCCCCCCCCCCCCCCCCCCCCCCO  </t>
    <phoneticPr fontId="1" type="noConversion"/>
  </si>
  <si>
    <t xml:space="preserve">CCCCCCCCCCCCCCCCCCCCCCCCCCCO </t>
    <phoneticPr fontId="1" type="noConversion"/>
  </si>
  <si>
    <t>CCCCCCCCCCCCCCCCCCCCCCCCCCCCO</t>
    <phoneticPr fontId="1" type="noConversion"/>
  </si>
  <si>
    <t>CCCCCC/C=C\CCCCCCCC(=O)OCCCC</t>
    <phoneticPr fontId="1" type="noConversion"/>
  </si>
  <si>
    <t xml:space="preserve">CCCCCCCC/C=C\CCCCCCCC(=O)OCCC  </t>
    <phoneticPr fontId="1" type="noConversion"/>
  </si>
  <si>
    <t xml:space="preserve">CCCCC/C=C\C/C=C\CCCCCCCC(=O)OC </t>
    <phoneticPr fontId="1" type="noConversion"/>
  </si>
  <si>
    <t>CC/C=C\C/C=C\C/C=C\CCCCCCCC(=O)OCC</t>
    <phoneticPr fontId="1" type="noConversion"/>
  </si>
  <si>
    <t>CCCCCCCC/C=C\CCCCCCCC(=O)OCCCCCC</t>
    <phoneticPr fontId="1" type="noConversion"/>
  </si>
  <si>
    <t>CCCCCCCC/C=C\CCCCCCCC(=O)OC</t>
    <phoneticPr fontId="1" type="noConversion"/>
  </si>
  <si>
    <t>CC/C=C\C/C=C\C/C=C\CCCCCCCCCCCC(=O)O</t>
    <phoneticPr fontId="1" type="noConversion"/>
  </si>
  <si>
    <t>CCCOC(=O)CCCCCCC/C=C\C/C=C\C/C=C\CC</t>
    <phoneticPr fontId="1" type="noConversion"/>
  </si>
  <si>
    <t xml:space="preserve">CCCCC/C=C\C/C=C\C/C=C\C/C=C\CCCC(=O)OCCC  </t>
    <phoneticPr fontId="1" type="noConversion"/>
  </si>
  <si>
    <t>CCCCCCCC/C=C\CCCCCCCC(=O)OCCCCCCC</t>
    <phoneticPr fontId="1" type="noConversion"/>
  </si>
  <si>
    <t xml:space="preserve">CCCCCC/C=C\CCCCCCCC(=O)OCCCCC  </t>
    <phoneticPr fontId="1" type="noConversion"/>
  </si>
  <si>
    <t>CCCCC/C=C\C/C=C\CCCCCCCC(=O)OCCCCC</t>
    <phoneticPr fontId="1" type="noConversion"/>
  </si>
  <si>
    <t xml:space="preserve">CCCCCCCCCCOC(=O)CCCCCCC/C=C\CCCCCCCC  </t>
    <phoneticPr fontId="1" type="noConversion"/>
  </si>
  <si>
    <t>CCCCCCCCOC(=O)CCCCCCC/C=C\CCCCCC</t>
    <phoneticPr fontId="1" type="noConversion"/>
  </si>
  <si>
    <t xml:space="preserve">CC/C=C\CCCCCCCCC/C=C\CCCCCCCCCCC(=O)O  </t>
    <phoneticPr fontId="1" type="noConversion"/>
  </si>
  <si>
    <t xml:space="preserve">CCOC(=O)C(=O)OCC  </t>
    <phoneticPr fontId="1" type="noConversion"/>
  </si>
  <si>
    <t>COC(=O)CC(=O)OC</t>
    <phoneticPr fontId="1" type="noConversion"/>
  </si>
  <si>
    <t xml:space="preserve">CCCOC(=O)CCCC(=O)OCCC  </t>
    <phoneticPr fontId="1" type="noConversion"/>
  </si>
  <si>
    <t>CCOC(=O)CCCCC(=O)OCC</t>
    <phoneticPr fontId="1" type="noConversion"/>
  </si>
  <si>
    <t xml:space="preserve">COC(=O)CCCCCC(=O)OC </t>
    <phoneticPr fontId="1" type="noConversion"/>
  </si>
  <si>
    <t xml:space="preserve">COC(=O)CCCCCCCC(=O)OC  </t>
    <phoneticPr fontId="1" type="noConversion"/>
  </si>
  <si>
    <t xml:space="preserve">COC(=O)CCCCCCCCCCC(=O)OC  </t>
    <phoneticPr fontId="1" type="noConversion"/>
  </si>
  <si>
    <t xml:space="preserve">CCCCCCOC(=O)CC(=O)OCCCCCC  </t>
    <phoneticPr fontId="1" type="noConversion"/>
  </si>
  <si>
    <t xml:space="preserve">CCCOC(=O)C(=O)OCCC  </t>
    <phoneticPr fontId="1" type="noConversion"/>
  </si>
  <si>
    <t xml:space="preserve">CCOC(=O)CC(=O)OCC  </t>
    <phoneticPr fontId="1" type="noConversion"/>
  </si>
  <si>
    <t xml:space="preserve">CCOC(=O)CCCC(=O)OCC </t>
    <phoneticPr fontId="1" type="noConversion"/>
  </si>
  <si>
    <t xml:space="preserve">CCCOC(=O)CCCCC(=O)OCCC  </t>
    <phoneticPr fontId="1" type="noConversion"/>
  </si>
  <si>
    <t xml:space="preserve">CCOC(=O)CCCCCC(=O)OCC </t>
    <phoneticPr fontId="1" type="noConversion"/>
  </si>
  <si>
    <t xml:space="preserve">CCCOC(=O)CCCCCCC(=O)OCCC  </t>
    <phoneticPr fontId="1" type="noConversion"/>
  </si>
  <si>
    <t xml:space="preserve">CCOC(=O)CCCCCCCC(=O)OCC  </t>
    <phoneticPr fontId="1" type="noConversion"/>
  </si>
  <si>
    <t xml:space="preserve">CCOC(=O)CCCCCCCCCCC(=O)OCC  </t>
    <phoneticPr fontId="1" type="noConversion"/>
  </si>
  <si>
    <t xml:space="preserve">CCCCOC(=O)CCCCCCCC(=O)OCCCC  </t>
    <phoneticPr fontId="1" type="noConversion"/>
  </si>
  <si>
    <t xml:space="preserve">CCCCCCCCCCC  </t>
    <phoneticPr fontId="1" type="noConversion"/>
  </si>
  <si>
    <t>CCCCCCCCCCCC</t>
    <phoneticPr fontId="1" type="noConversion"/>
  </si>
  <si>
    <t>CCCCCCCCCCCCC</t>
    <phoneticPr fontId="1" type="noConversion"/>
  </si>
  <si>
    <t xml:space="preserve">CCCCCCCCCCCCCC  </t>
    <phoneticPr fontId="1" type="noConversion"/>
  </si>
  <si>
    <t xml:space="preserve">CCCCCCCCCCCCCCC  </t>
    <phoneticPr fontId="1" type="noConversion"/>
  </si>
  <si>
    <t>CCCCCCCCCCCCCCCC</t>
    <phoneticPr fontId="1" type="noConversion"/>
  </si>
  <si>
    <t xml:space="preserve">CCCCCCCCCCCCCCCCCCCCC  </t>
    <phoneticPr fontId="1" type="noConversion"/>
  </si>
  <si>
    <t>CCCCCCCCCCCCCCCCCCCCCC</t>
    <phoneticPr fontId="1" type="noConversion"/>
  </si>
  <si>
    <t xml:space="preserve">CCCCCCCCCCCCCCCCCCCCCCC  </t>
    <phoneticPr fontId="1" type="noConversion"/>
  </si>
  <si>
    <t xml:space="preserve">CCCCCCCCCCCCCCCCCCCCCCCC  </t>
    <phoneticPr fontId="1" type="noConversion"/>
  </si>
  <si>
    <t xml:space="preserve">C1CCCCC1 </t>
    <phoneticPr fontId="1" type="noConversion"/>
  </si>
  <si>
    <t xml:space="preserve">C1CCCCCCCC1  </t>
    <phoneticPr fontId="1" type="noConversion"/>
  </si>
  <si>
    <t xml:space="preserve">C1CCCCCCCCC1  </t>
    <phoneticPr fontId="1" type="noConversion"/>
  </si>
  <si>
    <t xml:space="preserve">C1CCCCCCCCCC1  </t>
    <phoneticPr fontId="1" type="noConversion"/>
  </si>
  <si>
    <t xml:space="preserve">C1CCCCCCCCCCC1  </t>
    <phoneticPr fontId="1" type="noConversion"/>
  </si>
  <si>
    <t xml:space="preserve">CCCCC1=CC=CC=C1  </t>
    <phoneticPr fontId="1" type="noConversion"/>
  </si>
  <si>
    <t xml:space="preserve">CCCCCC1=CC=CC=C1  </t>
    <phoneticPr fontId="1" type="noConversion"/>
  </si>
  <si>
    <t xml:space="preserve">CCCCCCC1=CC=CC=C1  </t>
    <phoneticPr fontId="1" type="noConversion"/>
  </si>
  <si>
    <t>CCCCCCCC1=CC=CC=C1</t>
    <phoneticPr fontId="1" type="noConversion"/>
  </si>
  <si>
    <t xml:space="preserve">CCCCCCCCC1=CC=CC=C1 </t>
    <phoneticPr fontId="1" type="noConversion"/>
  </si>
  <si>
    <t xml:space="preserve">CCCCCCCCCCCCCCCCCC(=O)OCC(CO)O </t>
    <phoneticPr fontId="1" type="noConversion"/>
  </si>
  <si>
    <t xml:space="preserve">CCCCCCCC/C=C\CCCCCCCC(=O)OCC(CO)O  </t>
    <phoneticPr fontId="1" type="noConversion"/>
  </si>
  <si>
    <t xml:space="preserve">CCCCCCCCCCCCCCCC(=O)OCC(CO)O </t>
    <phoneticPr fontId="1" type="noConversion"/>
  </si>
  <si>
    <t xml:space="preserve">CCCCCCCCCCCCCCCCCC(=O)OCC(CO)OC(=O)CCCCCCC/C=C\C/C=C\CCCCC  </t>
    <phoneticPr fontId="1" type="noConversion"/>
  </si>
  <si>
    <t xml:space="preserve">CCCCCCCCCCCCCCCCC(=O)OCC(CO)O  </t>
    <phoneticPr fontId="1" type="noConversion"/>
  </si>
  <si>
    <t>CCCCCCCCCCCCCCCCCCCCCCCCCCCCCCC(=O)O</t>
    <phoneticPr fontId="1" type="noConversion"/>
  </si>
  <si>
    <t xml:space="preserve">CCCCCCCCCCCCCCCCCCCCCCCCCCCCCCCC(=O)O  </t>
    <phoneticPr fontId="1" type="noConversion"/>
  </si>
  <si>
    <t xml:space="preserve">CCCCCCCCCCCCCCCCCCCCCCCCCCCCCCCCC(=O)O  </t>
    <phoneticPr fontId="1" type="noConversion"/>
  </si>
  <si>
    <t xml:space="preserve">CCCCCCCCCCCCCCCCCCCCCCCCCCCCCCCCCC(=O)O </t>
    <phoneticPr fontId="1" type="noConversion"/>
  </si>
  <si>
    <t xml:space="preserve">CCCCCCCCCCCCCCCCCCCCCCCCCCCCCO  </t>
    <phoneticPr fontId="1" type="noConversion"/>
  </si>
  <si>
    <t xml:space="preserve">CCCCCCCCCCCCCCCCCCCCCCCCCCCCCCCO  </t>
    <phoneticPr fontId="1" type="noConversion"/>
  </si>
  <si>
    <t xml:space="preserve">CCCCCCCCCCCCCCCCCCCCCCCCCCCCCCCCO  </t>
    <phoneticPr fontId="1" type="noConversion"/>
  </si>
  <si>
    <t>CCCCCCCCCOC(=O)CCCCCCC/C=C\CCCCCCCC</t>
    <phoneticPr fontId="1" type="noConversion"/>
  </si>
  <si>
    <t xml:space="preserve">CCCCCCCCCCCCOC(=O)CCCCCCC/C=C\CCCCCCCC </t>
    <phoneticPr fontId="1" type="noConversion"/>
  </si>
  <si>
    <t xml:space="preserve">CCCCCCCCCCCCOC(=O)CCCCCCC/C=C\CCCCCC  </t>
    <phoneticPr fontId="1" type="noConversion"/>
  </si>
  <si>
    <t xml:space="preserve">CCCCCCCCCCCCOC(=O)CCCCCCC/C=C\C/C=C\CCCCC  </t>
    <phoneticPr fontId="1" type="noConversion"/>
  </si>
  <si>
    <t xml:space="preserve">CCCCCCCCCCCCOC(=O)CCCCCCC/C=C\C/C=C\C/C=C\CC  </t>
    <phoneticPr fontId="1" type="noConversion"/>
  </si>
  <si>
    <t xml:space="preserve">COC(=O)CCCCCCCCCCCCC(=O)OC  </t>
    <phoneticPr fontId="1" type="noConversion"/>
  </si>
  <si>
    <t xml:space="preserve">COC(=O)CCCCCCCCCCCCCC(=O)OC </t>
    <phoneticPr fontId="1" type="noConversion"/>
  </si>
  <si>
    <t xml:space="preserve">COC(=O)CCCCCCCCCCCCCCC(=O)OC  </t>
    <phoneticPr fontId="1" type="noConversion"/>
  </si>
  <si>
    <t xml:space="preserve">COC(=O)CCCCCCCCCCCCCCCCC(=O)OC  </t>
    <phoneticPr fontId="1" type="noConversion"/>
  </si>
  <si>
    <t xml:space="preserve">CCOC(=O)CCCCCCCCCCCCC(=O)OCC  </t>
    <phoneticPr fontId="1" type="noConversion"/>
  </si>
  <si>
    <t>CCOC(=O)CCCCCCCCCCCCCCC(=O)OCC</t>
    <phoneticPr fontId="1" type="noConversion"/>
  </si>
  <si>
    <t xml:space="preserve">CCOC(=O)CCCCCCCCCCCCCCCC(=O)OCC  </t>
    <phoneticPr fontId="1" type="noConversion"/>
  </si>
  <si>
    <t xml:space="preserve">CCOC(=O)CCCCCCCCCCCCCCCCC(=O)OCC  </t>
    <phoneticPr fontId="1" type="noConversion"/>
  </si>
  <si>
    <t xml:space="preserve">CCCCCCCCCCCCCCCCCCCCCCCCC  </t>
    <phoneticPr fontId="1" type="noConversion"/>
  </si>
  <si>
    <t xml:space="preserve">CCCCCCCCCCCCCCCCCCCCCCCCCC  </t>
    <phoneticPr fontId="1" type="noConversion"/>
  </si>
  <si>
    <t xml:space="preserve">CCCCCCCCCCCCCCCCCCCCCCCCCCC </t>
    <phoneticPr fontId="1" type="noConversion"/>
  </si>
  <si>
    <t xml:space="preserve">CCCCCCCCCCCCCCCCCCCCCCCCCCCC  </t>
    <phoneticPr fontId="1" type="noConversion"/>
  </si>
  <si>
    <t xml:space="preserve">CCCCCCCCCCCCCCCCCCCCCCCCCCCCC  </t>
    <phoneticPr fontId="1" type="noConversion"/>
  </si>
  <si>
    <t xml:space="preserve">CCCCCCCCCCCCCCCCCCCCCCCCCCCCCC  </t>
    <phoneticPr fontId="1" type="noConversion"/>
  </si>
  <si>
    <t xml:space="preserve">C1CCCCCCCCCCCC1  </t>
    <phoneticPr fontId="1" type="noConversion"/>
  </si>
  <si>
    <t>C1CCCCCCCCCCCCC1</t>
    <phoneticPr fontId="1" type="noConversion"/>
  </si>
  <si>
    <t xml:space="preserve">C1CCCCCCCCCCCCCC1  </t>
    <phoneticPr fontId="1" type="noConversion"/>
  </si>
  <si>
    <t>C1CCCCCCCCCCCCCCC1</t>
    <phoneticPr fontId="1" type="noConversion"/>
  </si>
  <si>
    <t xml:space="preserve">CCCCCCCC/C=C\CCCCCCCC(=O)OCC(O)COC(=O)CCCCCCC/C=C\CCCCCCCC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</si>
</sst>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color theme="1"/>
      <name val="宋体"/>
      <family val="1"/>
      <charset val="134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b/>
      <sz val="16"/>
      <color rgb="FF000000"/>
      <name val="Times New Roman"/>
      <family val="1"/>
    </font>
    <font>
      <sz val="11"/>
      <color rgb="FFFF0000"/>
      <name val="等线"/>
      <family val="2"/>
      <scheme val="minor"/>
    </font>
    <font>
      <b/>
      <sz val="16"/>
      <name val="Times New Roman"/>
      <family val="1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sz val="11"/>
      <color rgb="FF212121"/>
      <name val="Times New Roman"/>
      <family val="1"/>
    </font>
    <font>
      <sz val="11"/>
      <color rgb="FF000000"/>
      <name val="Times New Roman"/>
      <family val="1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5" fontId="0" fillId="0" borderId="0" xfId="0" applyNumberFormat="1"/>
    <xf numFmtId="0" fontId="9" fillId="0" borderId="0" xfId="0" applyFont="1"/>
    <xf numFmtId="11" fontId="0" fillId="0" borderId="0" xfId="0" applyNumberFormat="1"/>
    <xf numFmtId="0" fontId="10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0" borderId="0" xfId="0" applyFont="1"/>
    <xf numFmtId="15" fontId="0" fillId="0" borderId="0" xfId="0" applyNumberForma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/>
    <xf numFmtId="11" fontId="0" fillId="0" borderId="0" xfId="0" applyNumberFormat="1" applyAlignment="1">
      <alignment vertical="center"/>
    </xf>
    <xf numFmtId="0" fontId="7" fillId="0" borderId="0" xfId="0" applyFont="1"/>
    <xf numFmtId="0" fontId="3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6"/>
  <sheetViews>
    <sheetView topLeftCell="A166" zoomScale="70" zoomScaleNormal="70" workbookViewId="0">
      <selection activeCell="A179" sqref="A179:XFD179"/>
    </sheetView>
  </sheetViews>
  <sheetFormatPr defaultRowHeight="14" x14ac:dyDescent="0.3"/>
  <cols>
    <col min="1" max="1" width="9" style="2" customWidth="1"/>
    <col min="2" max="2" width="48.08203125" style="2" customWidth="1"/>
    <col min="3" max="3" width="23.83203125" style="2" customWidth="1"/>
    <col min="4" max="4" width="16.08203125" style="2" customWidth="1"/>
  </cols>
  <sheetData>
    <row r="1" spans="1:28" ht="21" x14ac:dyDescent="0.4">
      <c r="A1" s="4" t="s">
        <v>0</v>
      </c>
      <c r="B1" s="5" t="s">
        <v>1</v>
      </c>
      <c r="C1" s="4" t="s">
        <v>2</v>
      </c>
      <c r="D1" s="5" t="s">
        <v>3</v>
      </c>
      <c r="S1" s="10" t="s">
        <v>587</v>
      </c>
      <c r="T1" s="10" t="s">
        <v>588</v>
      </c>
      <c r="U1" s="10" t="s">
        <v>589</v>
      </c>
      <c r="V1" s="10" t="s">
        <v>590</v>
      </c>
      <c r="W1" s="10" t="s">
        <v>591</v>
      </c>
      <c r="X1" s="10" t="s">
        <v>592</v>
      </c>
      <c r="Y1" s="10" t="s">
        <v>593</v>
      </c>
      <c r="Z1" s="10" t="s">
        <v>594</v>
      </c>
      <c r="AA1" s="10" t="s">
        <v>595</v>
      </c>
      <c r="AB1" s="10" t="s">
        <v>596</v>
      </c>
    </row>
    <row r="2" spans="1:28" x14ac:dyDescent="0.3">
      <c r="A2" s="6">
        <v>1</v>
      </c>
      <c r="B2" s="6" t="s">
        <v>4</v>
      </c>
      <c r="C2" s="6" t="s">
        <v>5</v>
      </c>
      <c r="D2" s="6" t="s">
        <v>6</v>
      </c>
      <c r="S2">
        <v>263.95</v>
      </c>
      <c r="T2">
        <v>314.62220000000002</v>
      </c>
      <c r="U2">
        <v>365.2944</v>
      </c>
      <c r="V2">
        <v>415.9667</v>
      </c>
      <c r="W2">
        <v>466.63889999999998</v>
      </c>
      <c r="X2">
        <v>517.31110000000001</v>
      </c>
      <c r="Y2">
        <v>567.98329999999999</v>
      </c>
      <c r="Z2">
        <v>618.65560000000005</v>
      </c>
      <c r="AA2">
        <v>669.32780000000002</v>
      </c>
      <c r="AB2">
        <v>720</v>
      </c>
    </row>
    <row r="3" spans="1:28" x14ac:dyDescent="0.3">
      <c r="A3" s="6">
        <v>2</v>
      </c>
      <c r="B3" s="6" t="s">
        <v>7</v>
      </c>
      <c r="C3" s="6" t="s">
        <v>8</v>
      </c>
      <c r="D3" s="6" t="s">
        <v>9</v>
      </c>
      <c r="S3">
        <v>300</v>
      </c>
      <c r="T3">
        <v>352.22219999999999</v>
      </c>
      <c r="U3">
        <v>404.44439999999997</v>
      </c>
      <c r="V3">
        <v>456.66669999999999</v>
      </c>
      <c r="W3">
        <v>508.88889999999998</v>
      </c>
      <c r="X3">
        <v>561.11109999999996</v>
      </c>
      <c r="Y3">
        <v>613.33330000000001</v>
      </c>
      <c r="Z3">
        <v>665.55560000000003</v>
      </c>
      <c r="AA3">
        <v>717.77779999999996</v>
      </c>
      <c r="AB3">
        <v>770</v>
      </c>
    </row>
    <row r="4" spans="1:28" x14ac:dyDescent="0.3">
      <c r="A4" s="6">
        <v>3</v>
      </c>
      <c r="B4" s="6" t="s">
        <v>10</v>
      </c>
      <c r="C4" s="6" t="s">
        <v>11</v>
      </c>
      <c r="D4" s="6" t="s">
        <v>12</v>
      </c>
      <c r="S4">
        <v>300</v>
      </c>
      <c r="T4">
        <v>357.77780000000001</v>
      </c>
      <c r="U4">
        <v>415.55560000000003</v>
      </c>
      <c r="V4">
        <v>473.33330000000001</v>
      </c>
      <c r="W4">
        <v>531.11109999999996</v>
      </c>
      <c r="X4">
        <v>588.88890000000004</v>
      </c>
      <c r="Y4">
        <v>646.66669999999999</v>
      </c>
      <c r="Z4">
        <v>704.44439999999997</v>
      </c>
      <c r="AA4">
        <v>762.22220000000004</v>
      </c>
      <c r="AB4">
        <v>820</v>
      </c>
    </row>
    <row r="5" spans="1:28" x14ac:dyDescent="0.3">
      <c r="A5" s="6">
        <v>4</v>
      </c>
      <c r="B5" s="6" t="s">
        <v>13</v>
      </c>
      <c r="C5" s="6" t="s">
        <v>14</v>
      </c>
      <c r="D5" s="6" t="s">
        <v>15</v>
      </c>
      <c r="S5">
        <v>300</v>
      </c>
      <c r="T5">
        <v>363.33330000000001</v>
      </c>
      <c r="U5">
        <v>426.66669999999999</v>
      </c>
      <c r="V5">
        <v>490</v>
      </c>
      <c r="W5">
        <v>553.33330000000001</v>
      </c>
      <c r="X5">
        <v>616.66669999999999</v>
      </c>
      <c r="Y5">
        <v>680</v>
      </c>
      <c r="Z5">
        <v>743.33330000000001</v>
      </c>
      <c r="AA5">
        <v>806.66669999999999</v>
      </c>
      <c r="AB5">
        <v>870</v>
      </c>
    </row>
    <row r="6" spans="1:28" x14ac:dyDescent="0.3">
      <c r="A6" s="6">
        <v>5</v>
      </c>
      <c r="B6" s="6" t="s">
        <v>16</v>
      </c>
      <c r="C6" s="6" t="s">
        <v>17</v>
      </c>
      <c r="D6" s="6" t="s">
        <v>18</v>
      </c>
      <c r="S6">
        <v>300</v>
      </c>
      <c r="T6">
        <v>368.88889999999998</v>
      </c>
      <c r="U6">
        <v>437.77780000000001</v>
      </c>
      <c r="V6">
        <v>506.66669999999999</v>
      </c>
      <c r="W6">
        <v>575.55560000000003</v>
      </c>
      <c r="X6">
        <v>644.44439999999997</v>
      </c>
      <c r="Y6">
        <v>713.33330000000001</v>
      </c>
      <c r="Z6">
        <v>782.22220000000004</v>
      </c>
      <c r="AA6">
        <v>851.11109999999996</v>
      </c>
      <c r="AB6">
        <v>920</v>
      </c>
    </row>
    <row r="7" spans="1:28" x14ac:dyDescent="0.3">
      <c r="A7" s="6">
        <v>6</v>
      </c>
      <c r="B7" s="6" t="s">
        <v>19</v>
      </c>
      <c r="C7" s="6" t="s">
        <v>20</v>
      </c>
      <c r="D7" s="6" t="s">
        <v>21</v>
      </c>
      <c r="S7">
        <v>300</v>
      </c>
      <c r="T7">
        <v>373.66669999999999</v>
      </c>
      <c r="U7">
        <v>447.33330000000001</v>
      </c>
      <c r="V7">
        <v>521</v>
      </c>
      <c r="W7">
        <v>594.66669999999999</v>
      </c>
      <c r="X7">
        <v>668.33330000000001</v>
      </c>
      <c r="Y7">
        <v>742</v>
      </c>
      <c r="Z7">
        <v>815.66669999999999</v>
      </c>
      <c r="AA7">
        <v>889.33330000000001</v>
      </c>
      <c r="AB7">
        <v>963</v>
      </c>
    </row>
    <row r="8" spans="1:28" x14ac:dyDescent="0.3">
      <c r="A8" s="6">
        <v>7</v>
      </c>
      <c r="B8" s="6" t="s">
        <v>22</v>
      </c>
      <c r="C8" s="6" t="s">
        <v>23</v>
      </c>
      <c r="D8" s="6" t="s">
        <v>24</v>
      </c>
      <c r="S8">
        <v>300</v>
      </c>
      <c r="T8">
        <v>371.55560000000003</v>
      </c>
      <c r="U8">
        <v>443.11110000000002</v>
      </c>
      <c r="V8">
        <v>514.66669999999999</v>
      </c>
      <c r="W8">
        <v>586.22220000000004</v>
      </c>
      <c r="X8">
        <v>657.77779999999996</v>
      </c>
      <c r="Y8">
        <v>729.33330000000001</v>
      </c>
      <c r="Z8">
        <v>800.88890000000004</v>
      </c>
      <c r="AA8">
        <v>872.44439999999997</v>
      </c>
      <c r="AB8">
        <v>944</v>
      </c>
    </row>
    <row r="9" spans="1:28" x14ac:dyDescent="0.3">
      <c r="A9" s="6">
        <v>8</v>
      </c>
      <c r="B9" s="6" t="s">
        <v>25</v>
      </c>
      <c r="C9" s="6" t="s">
        <v>26</v>
      </c>
      <c r="D9" s="6" t="s">
        <v>27</v>
      </c>
      <c r="S9">
        <v>300</v>
      </c>
      <c r="T9">
        <v>366.66669999999999</v>
      </c>
      <c r="U9">
        <v>433.33330000000001</v>
      </c>
      <c r="V9">
        <v>500</v>
      </c>
      <c r="W9">
        <v>566.66669999999999</v>
      </c>
      <c r="X9">
        <v>633.33330000000001</v>
      </c>
      <c r="Y9">
        <v>700</v>
      </c>
      <c r="Z9">
        <v>766.66669999999999</v>
      </c>
      <c r="AA9">
        <v>833.33330000000001</v>
      </c>
      <c r="AB9">
        <v>900</v>
      </c>
    </row>
    <row r="10" spans="1:28" x14ac:dyDescent="0.3">
      <c r="A10" s="6">
        <v>9</v>
      </c>
      <c r="B10" s="6" t="s">
        <v>28</v>
      </c>
      <c r="C10" s="6" t="s">
        <v>29</v>
      </c>
      <c r="D10" s="6" t="s">
        <v>30</v>
      </c>
      <c r="S10">
        <v>300</v>
      </c>
      <c r="T10">
        <v>342.77780000000001</v>
      </c>
      <c r="U10">
        <v>385.55560000000003</v>
      </c>
      <c r="V10">
        <v>428.33330000000001</v>
      </c>
      <c r="W10">
        <v>471.11110000000002</v>
      </c>
      <c r="X10">
        <v>513.88890000000004</v>
      </c>
      <c r="Y10">
        <v>556.66669999999999</v>
      </c>
      <c r="Z10">
        <v>599.44439999999997</v>
      </c>
      <c r="AA10">
        <v>642.22220000000004</v>
      </c>
      <c r="AB10">
        <v>685</v>
      </c>
    </row>
    <row r="11" spans="1:28" x14ac:dyDescent="0.3">
      <c r="A11" s="6">
        <v>10</v>
      </c>
      <c r="B11" s="6" t="s">
        <v>31</v>
      </c>
      <c r="C11" s="6" t="s">
        <v>32</v>
      </c>
      <c r="D11" s="6" t="s">
        <v>33</v>
      </c>
      <c r="S11">
        <v>300</v>
      </c>
      <c r="T11">
        <v>344.44439999999997</v>
      </c>
      <c r="U11">
        <v>388.88889999999998</v>
      </c>
      <c r="V11">
        <v>433.33330000000001</v>
      </c>
      <c r="W11">
        <v>477.77780000000001</v>
      </c>
      <c r="X11">
        <v>522.22220000000004</v>
      </c>
      <c r="Y11">
        <v>566.66669999999999</v>
      </c>
      <c r="Z11">
        <v>611.11109999999996</v>
      </c>
      <c r="AA11">
        <v>655.55560000000003</v>
      </c>
      <c r="AB11">
        <v>700</v>
      </c>
    </row>
    <row r="12" spans="1:28" x14ac:dyDescent="0.3">
      <c r="A12" s="6">
        <v>11</v>
      </c>
      <c r="B12" s="6" t="s">
        <v>34</v>
      </c>
      <c r="C12" s="6" t="s">
        <v>35</v>
      </c>
      <c r="D12" s="6" t="s">
        <v>36</v>
      </c>
      <c r="S12">
        <v>283.05</v>
      </c>
      <c r="T12">
        <v>340.4889</v>
      </c>
      <c r="U12">
        <v>397.92779999999999</v>
      </c>
      <c r="V12">
        <v>455.36669999999998</v>
      </c>
      <c r="W12">
        <v>512.80560000000003</v>
      </c>
      <c r="X12">
        <v>570.24440000000004</v>
      </c>
      <c r="Y12">
        <v>627.68330000000003</v>
      </c>
      <c r="Z12">
        <v>685.12220000000002</v>
      </c>
      <c r="AA12">
        <v>742.56110000000001</v>
      </c>
      <c r="AB12">
        <v>800</v>
      </c>
    </row>
    <row r="13" spans="1:28" x14ac:dyDescent="0.3">
      <c r="A13" s="6">
        <v>12</v>
      </c>
      <c r="B13" s="6" t="s">
        <v>37</v>
      </c>
      <c r="C13" s="6" t="s">
        <v>38</v>
      </c>
      <c r="D13" s="6" t="s">
        <v>39</v>
      </c>
      <c r="S13">
        <v>305.05</v>
      </c>
      <c r="T13">
        <v>363</v>
      </c>
      <c r="U13">
        <v>420.95</v>
      </c>
      <c r="V13">
        <v>478.9</v>
      </c>
      <c r="W13">
        <v>536.85</v>
      </c>
      <c r="X13">
        <v>594.79999999999995</v>
      </c>
      <c r="Y13">
        <v>652.75</v>
      </c>
      <c r="Z13">
        <v>710.7</v>
      </c>
      <c r="AA13">
        <v>768.65</v>
      </c>
      <c r="AB13">
        <v>826.6</v>
      </c>
    </row>
    <row r="14" spans="1:28" x14ac:dyDescent="0.3">
      <c r="A14" s="6">
        <v>13</v>
      </c>
      <c r="B14" s="6" t="s">
        <v>40</v>
      </c>
      <c r="C14" s="6" t="s">
        <v>41</v>
      </c>
      <c r="D14" s="6" t="s">
        <v>42</v>
      </c>
      <c r="S14">
        <v>318.64999999999998</v>
      </c>
      <c r="T14">
        <v>374.35559999999998</v>
      </c>
      <c r="U14">
        <v>430.06110000000001</v>
      </c>
      <c r="V14">
        <v>485.76670000000001</v>
      </c>
      <c r="W14">
        <v>541.47220000000004</v>
      </c>
      <c r="X14">
        <v>597.17780000000005</v>
      </c>
      <c r="Y14">
        <v>652.88329999999996</v>
      </c>
      <c r="Z14">
        <v>708.58889999999997</v>
      </c>
      <c r="AA14">
        <v>764.2944</v>
      </c>
      <c r="AB14">
        <v>820</v>
      </c>
    </row>
    <row r="15" spans="1:28" x14ac:dyDescent="0.3">
      <c r="A15" s="6">
        <v>14</v>
      </c>
      <c r="B15" s="6" t="s">
        <v>43</v>
      </c>
      <c r="C15" s="6" t="s">
        <v>44</v>
      </c>
      <c r="D15" s="6" t="s">
        <v>45</v>
      </c>
      <c r="S15">
        <v>339.01</v>
      </c>
      <c r="T15">
        <v>399.67559999999997</v>
      </c>
      <c r="U15">
        <v>460.34109999999998</v>
      </c>
      <c r="V15">
        <v>521.00670000000002</v>
      </c>
      <c r="W15">
        <v>581.67219999999998</v>
      </c>
      <c r="X15">
        <v>642.33780000000002</v>
      </c>
      <c r="Y15">
        <v>703.00329999999997</v>
      </c>
      <c r="Z15">
        <v>763.66890000000001</v>
      </c>
      <c r="AA15">
        <v>824.33439999999996</v>
      </c>
      <c r="AB15">
        <v>885</v>
      </c>
    </row>
    <row r="16" spans="1:28" x14ac:dyDescent="0.3">
      <c r="A16" s="6">
        <v>15</v>
      </c>
      <c r="B16" s="6" t="s">
        <v>46</v>
      </c>
      <c r="C16" s="6" t="s">
        <v>47</v>
      </c>
      <c r="D16" s="6" t="s">
        <v>48</v>
      </c>
      <c r="S16">
        <v>346</v>
      </c>
      <c r="T16">
        <v>406</v>
      </c>
      <c r="U16">
        <v>466</v>
      </c>
      <c r="V16">
        <v>526</v>
      </c>
      <c r="W16">
        <v>586</v>
      </c>
      <c r="X16">
        <v>646</v>
      </c>
      <c r="Y16">
        <v>706</v>
      </c>
      <c r="Z16">
        <v>766</v>
      </c>
      <c r="AA16">
        <v>826</v>
      </c>
      <c r="AB16">
        <v>886</v>
      </c>
    </row>
    <row r="17" spans="1:28" x14ac:dyDescent="0.3">
      <c r="A17" s="6">
        <v>16</v>
      </c>
      <c r="B17" s="6" t="s">
        <v>49</v>
      </c>
      <c r="C17" s="6" t="s">
        <v>50</v>
      </c>
      <c r="D17" s="6" t="s">
        <v>51</v>
      </c>
      <c r="S17">
        <v>265.83</v>
      </c>
      <c r="T17">
        <v>305.18220000000002</v>
      </c>
      <c r="U17">
        <v>344.53440000000001</v>
      </c>
      <c r="V17">
        <v>383.88670000000002</v>
      </c>
      <c r="W17">
        <v>423.2389</v>
      </c>
      <c r="X17">
        <v>462.59109999999998</v>
      </c>
      <c r="Y17">
        <v>501.94330000000002</v>
      </c>
      <c r="Z17">
        <v>541.29560000000004</v>
      </c>
      <c r="AA17">
        <v>580.64779999999996</v>
      </c>
      <c r="AB17">
        <v>620</v>
      </c>
    </row>
    <row r="18" spans="1:28" x14ac:dyDescent="0.3">
      <c r="A18" s="6">
        <v>17</v>
      </c>
      <c r="B18" s="6" t="s">
        <v>52</v>
      </c>
      <c r="C18" s="6" t="s">
        <v>53</v>
      </c>
      <c r="D18" s="6" t="s">
        <v>54</v>
      </c>
      <c r="S18">
        <v>285.55</v>
      </c>
      <c r="T18">
        <v>326.0444</v>
      </c>
      <c r="U18">
        <v>366.53890000000001</v>
      </c>
      <c r="V18">
        <v>407.0333</v>
      </c>
      <c r="W18">
        <v>447.52780000000001</v>
      </c>
      <c r="X18">
        <v>488.0222</v>
      </c>
      <c r="Y18">
        <v>528.51670000000001</v>
      </c>
      <c r="Z18">
        <v>569.01110000000006</v>
      </c>
      <c r="AA18">
        <v>609.50559999999996</v>
      </c>
      <c r="AB18">
        <v>650</v>
      </c>
    </row>
    <row r="19" spans="1:28" x14ac:dyDescent="0.3">
      <c r="A19" s="6">
        <v>18</v>
      </c>
      <c r="B19" s="6" t="s">
        <v>55</v>
      </c>
      <c r="C19" s="6" t="s">
        <v>56</v>
      </c>
      <c r="D19" s="6" t="s">
        <v>57</v>
      </c>
      <c r="S19">
        <v>301.63</v>
      </c>
      <c r="T19">
        <v>343.67110000000002</v>
      </c>
      <c r="U19">
        <v>385.7122</v>
      </c>
      <c r="V19">
        <v>427.75330000000002</v>
      </c>
      <c r="W19">
        <v>469.7944</v>
      </c>
      <c r="X19">
        <v>511.8356</v>
      </c>
      <c r="Y19">
        <v>553.87670000000003</v>
      </c>
      <c r="Z19">
        <v>595.91780000000006</v>
      </c>
      <c r="AA19">
        <v>637.95889999999997</v>
      </c>
      <c r="AB19">
        <v>680</v>
      </c>
    </row>
    <row r="20" spans="1:28" x14ac:dyDescent="0.3">
      <c r="A20" s="6">
        <v>19</v>
      </c>
      <c r="B20" s="6" t="s">
        <v>58</v>
      </c>
      <c r="C20" s="6" t="s">
        <v>59</v>
      </c>
      <c r="D20" s="6" t="s">
        <v>60</v>
      </c>
      <c r="S20">
        <v>315.01</v>
      </c>
      <c r="T20">
        <v>357.7867</v>
      </c>
      <c r="U20">
        <v>400.56330000000003</v>
      </c>
      <c r="V20">
        <v>443.34</v>
      </c>
      <c r="W20">
        <v>486.11669999999998</v>
      </c>
      <c r="X20">
        <v>528.89329999999995</v>
      </c>
      <c r="Y20">
        <v>571.66999999999996</v>
      </c>
      <c r="Z20">
        <v>614.44669999999996</v>
      </c>
      <c r="AA20">
        <v>657.22329999999999</v>
      </c>
      <c r="AB20">
        <v>700</v>
      </c>
    </row>
    <row r="21" spans="1:28" x14ac:dyDescent="0.3">
      <c r="A21" s="6">
        <v>20</v>
      </c>
      <c r="B21" s="6" t="s">
        <v>61</v>
      </c>
      <c r="C21" s="6" t="s">
        <v>62</v>
      </c>
      <c r="D21" s="6" t="s">
        <v>63</v>
      </c>
      <c r="S21">
        <v>325.68</v>
      </c>
      <c r="T21">
        <v>368.38220000000001</v>
      </c>
      <c r="U21">
        <v>411.08440000000002</v>
      </c>
      <c r="V21">
        <v>453.7867</v>
      </c>
      <c r="W21">
        <v>496.4889</v>
      </c>
      <c r="X21">
        <v>539.19110000000001</v>
      </c>
      <c r="Y21">
        <v>581.89329999999995</v>
      </c>
      <c r="Z21">
        <v>624.59559999999999</v>
      </c>
      <c r="AA21">
        <v>667.29780000000005</v>
      </c>
      <c r="AB21">
        <v>710</v>
      </c>
    </row>
    <row r="22" spans="1:28" x14ac:dyDescent="0.3">
      <c r="A22" s="6">
        <v>21</v>
      </c>
      <c r="B22" s="6" t="s">
        <v>64</v>
      </c>
      <c r="C22" s="6" t="s">
        <v>65</v>
      </c>
      <c r="D22" s="6" t="s">
        <v>66</v>
      </c>
      <c r="S22">
        <v>289.64999999999998</v>
      </c>
      <c r="T22">
        <v>326.8</v>
      </c>
      <c r="U22">
        <v>363.95</v>
      </c>
      <c r="V22">
        <v>401.1</v>
      </c>
      <c r="W22">
        <v>438.25</v>
      </c>
      <c r="X22">
        <v>475.4</v>
      </c>
      <c r="Y22">
        <v>512.54999999999995</v>
      </c>
      <c r="Z22">
        <v>549.70000000000005</v>
      </c>
      <c r="AA22">
        <v>586.85</v>
      </c>
      <c r="AB22">
        <v>624</v>
      </c>
    </row>
    <row r="23" spans="1:28" x14ac:dyDescent="0.3">
      <c r="A23" s="6">
        <v>22</v>
      </c>
      <c r="B23" s="6" t="s">
        <v>67</v>
      </c>
      <c r="C23" s="6" t="s">
        <v>68</v>
      </c>
      <c r="D23" s="6" t="s">
        <v>69</v>
      </c>
      <c r="S23">
        <v>304.75</v>
      </c>
      <c r="T23">
        <v>344.44439999999997</v>
      </c>
      <c r="U23">
        <v>384.13889999999998</v>
      </c>
      <c r="V23">
        <v>423.83330000000001</v>
      </c>
      <c r="W23">
        <v>463.52780000000001</v>
      </c>
      <c r="X23">
        <v>503.22219999999999</v>
      </c>
      <c r="Y23">
        <v>542.91669999999999</v>
      </c>
      <c r="Z23">
        <v>582.61109999999996</v>
      </c>
      <c r="AA23">
        <v>622.30560000000003</v>
      </c>
      <c r="AB23">
        <v>662</v>
      </c>
    </row>
    <row r="24" spans="1:28" x14ac:dyDescent="0.3">
      <c r="A24" s="6">
        <v>23</v>
      </c>
      <c r="B24" s="6" t="s">
        <v>70</v>
      </c>
      <c r="C24" s="6" t="s">
        <v>71</v>
      </c>
      <c r="D24" s="6" t="s">
        <v>72</v>
      </c>
      <c r="S24">
        <v>316.98</v>
      </c>
      <c r="T24">
        <v>357.64890000000003</v>
      </c>
      <c r="U24">
        <v>398.31779999999998</v>
      </c>
      <c r="V24">
        <v>438.98669999999998</v>
      </c>
      <c r="W24">
        <v>479.65559999999999</v>
      </c>
      <c r="X24">
        <v>520.32439999999997</v>
      </c>
      <c r="Y24">
        <v>560.99329999999998</v>
      </c>
      <c r="Z24">
        <v>601.66219999999998</v>
      </c>
      <c r="AA24">
        <v>642.33109999999999</v>
      </c>
      <c r="AB24">
        <v>683</v>
      </c>
    </row>
    <row r="25" spans="1:28" x14ac:dyDescent="0.3">
      <c r="A25" s="6">
        <v>24</v>
      </c>
      <c r="B25" s="6" t="s">
        <v>73</v>
      </c>
      <c r="C25" s="6" t="s">
        <v>74</v>
      </c>
      <c r="D25" s="6" t="s">
        <v>75</v>
      </c>
      <c r="S25">
        <v>327.37</v>
      </c>
      <c r="T25">
        <v>368.77330000000001</v>
      </c>
      <c r="U25">
        <v>410.17669999999998</v>
      </c>
      <c r="V25">
        <v>451.58</v>
      </c>
      <c r="W25">
        <v>492.98329999999999</v>
      </c>
      <c r="X25">
        <v>534.38670000000002</v>
      </c>
      <c r="Y25">
        <v>575.79</v>
      </c>
      <c r="Z25">
        <v>617.19330000000002</v>
      </c>
      <c r="AA25">
        <v>658.59670000000006</v>
      </c>
      <c r="AB25">
        <v>700</v>
      </c>
    </row>
    <row r="26" spans="1:28" x14ac:dyDescent="0.3">
      <c r="A26" s="6">
        <v>25</v>
      </c>
      <c r="B26" s="6" t="s">
        <v>76</v>
      </c>
      <c r="C26" s="6" t="s">
        <v>77</v>
      </c>
      <c r="D26" s="6" t="s">
        <v>78</v>
      </c>
      <c r="S26">
        <v>335.66</v>
      </c>
      <c r="T26">
        <v>377.80889999999999</v>
      </c>
      <c r="U26">
        <v>419.95780000000002</v>
      </c>
      <c r="V26">
        <v>462.10669999999999</v>
      </c>
      <c r="W26">
        <v>504.25560000000002</v>
      </c>
      <c r="X26">
        <v>546.40440000000001</v>
      </c>
      <c r="Y26">
        <v>588.55330000000004</v>
      </c>
      <c r="Z26">
        <v>630.70219999999995</v>
      </c>
      <c r="AA26">
        <v>672.85109999999997</v>
      </c>
      <c r="AB26">
        <v>715</v>
      </c>
    </row>
    <row r="27" spans="1:28" x14ac:dyDescent="0.3">
      <c r="A27" s="6">
        <v>26</v>
      </c>
      <c r="B27" s="6" t="s">
        <v>79</v>
      </c>
      <c r="C27" s="6" t="s">
        <v>80</v>
      </c>
      <c r="D27" s="6" t="s">
        <v>81</v>
      </c>
      <c r="S27">
        <v>342.75</v>
      </c>
      <c r="T27">
        <v>385</v>
      </c>
      <c r="U27">
        <v>427.25</v>
      </c>
      <c r="V27">
        <v>469.5</v>
      </c>
      <c r="W27">
        <v>511.75</v>
      </c>
      <c r="X27">
        <v>554</v>
      </c>
      <c r="Y27">
        <v>596.25</v>
      </c>
      <c r="Z27">
        <v>638.5</v>
      </c>
      <c r="AA27">
        <v>680.75</v>
      </c>
      <c r="AB27">
        <v>723</v>
      </c>
    </row>
    <row r="28" spans="1:28" x14ac:dyDescent="0.3">
      <c r="A28" s="6">
        <v>27</v>
      </c>
      <c r="B28" s="6" t="s">
        <v>82</v>
      </c>
      <c r="C28" s="6" t="s">
        <v>83</v>
      </c>
      <c r="D28" s="6" t="s">
        <v>84</v>
      </c>
      <c r="S28">
        <v>348.23</v>
      </c>
      <c r="T28">
        <v>393.98219999999998</v>
      </c>
      <c r="U28">
        <v>439.73439999999999</v>
      </c>
      <c r="V28">
        <v>485.48669999999998</v>
      </c>
      <c r="W28">
        <v>531.23889999999994</v>
      </c>
      <c r="X28">
        <v>576.99109999999996</v>
      </c>
      <c r="Y28">
        <v>622.74329999999998</v>
      </c>
      <c r="Z28">
        <v>668.49559999999997</v>
      </c>
      <c r="AA28">
        <v>714.24779999999998</v>
      </c>
      <c r="AB28">
        <v>760</v>
      </c>
    </row>
    <row r="29" spans="1:28" x14ac:dyDescent="0.3">
      <c r="A29" s="6">
        <v>28</v>
      </c>
      <c r="B29" s="6" t="s">
        <v>85</v>
      </c>
      <c r="C29" s="6" t="s">
        <v>86</v>
      </c>
      <c r="D29" s="6" t="s">
        <v>87</v>
      </c>
      <c r="S29">
        <v>305.04000000000002</v>
      </c>
      <c r="T29">
        <v>348.92439999999999</v>
      </c>
      <c r="U29">
        <v>392.80889999999999</v>
      </c>
      <c r="V29">
        <v>436.69330000000002</v>
      </c>
      <c r="W29">
        <v>480.57780000000002</v>
      </c>
      <c r="X29">
        <v>524.46220000000005</v>
      </c>
      <c r="Y29">
        <v>568.34670000000006</v>
      </c>
      <c r="Z29">
        <v>612.23109999999997</v>
      </c>
      <c r="AA29">
        <v>656.11559999999997</v>
      </c>
      <c r="AB29">
        <v>700</v>
      </c>
    </row>
    <row r="30" spans="1:28" x14ac:dyDescent="0.3">
      <c r="A30" s="6">
        <v>29</v>
      </c>
      <c r="B30" s="6" t="s">
        <v>88</v>
      </c>
      <c r="C30" s="6" t="s">
        <v>89</v>
      </c>
      <c r="D30" s="6" t="s">
        <v>90</v>
      </c>
      <c r="S30">
        <v>309.58</v>
      </c>
      <c r="T30">
        <v>355.18220000000002</v>
      </c>
      <c r="U30">
        <v>400.78440000000001</v>
      </c>
      <c r="V30">
        <v>446.38670000000002</v>
      </c>
      <c r="W30">
        <v>491.9889</v>
      </c>
      <c r="X30">
        <v>537.59109999999998</v>
      </c>
      <c r="Y30">
        <v>583.19330000000002</v>
      </c>
      <c r="Z30">
        <v>628.79560000000004</v>
      </c>
      <c r="AA30">
        <v>674.39779999999996</v>
      </c>
      <c r="AB30">
        <v>720</v>
      </c>
    </row>
    <row r="31" spans="1:28" x14ac:dyDescent="0.3">
      <c r="A31" s="6">
        <v>30</v>
      </c>
      <c r="B31" s="6" t="s">
        <v>91</v>
      </c>
      <c r="C31" s="6" t="s">
        <v>92</v>
      </c>
      <c r="D31" s="6" t="s">
        <v>93</v>
      </c>
      <c r="S31">
        <v>295.13400000000001</v>
      </c>
      <c r="T31">
        <v>336.23020000000002</v>
      </c>
      <c r="U31">
        <v>377.32639999999998</v>
      </c>
      <c r="V31">
        <v>418.42270000000002</v>
      </c>
      <c r="W31">
        <v>459.51889999999997</v>
      </c>
      <c r="X31">
        <v>500.61509999999998</v>
      </c>
      <c r="Y31">
        <v>541.71130000000005</v>
      </c>
      <c r="Z31">
        <v>582.80759999999998</v>
      </c>
      <c r="AA31">
        <v>623.90380000000005</v>
      </c>
      <c r="AB31">
        <v>665</v>
      </c>
    </row>
    <row r="32" spans="1:28" x14ac:dyDescent="0.3">
      <c r="A32" s="6">
        <v>31</v>
      </c>
      <c r="B32" s="6" t="s">
        <v>94</v>
      </c>
      <c r="C32" s="6" t="s">
        <v>95</v>
      </c>
      <c r="D32" s="6" t="s">
        <v>96</v>
      </c>
      <c r="S32">
        <v>301.31</v>
      </c>
      <c r="T32">
        <v>344.1644</v>
      </c>
      <c r="U32">
        <v>387.01889999999997</v>
      </c>
      <c r="V32">
        <v>429.87329999999997</v>
      </c>
      <c r="W32">
        <v>472.7278</v>
      </c>
      <c r="X32">
        <v>515.58219999999994</v>
      </c>
      <c r="Y32">
        <v>558.43669999999997</v>
      </c>
      <c r="Z32">
        <v>601.29110000000003</v>
      </c>
      <c r="AA32">
        <v>644.14559999999994</v>
      </c>
      <c r="AB32">
        <v>687</v>
      </c>
    </row>
    <row r="33" spans="1:28" x14ac:dyDescent="0.3">
      <c r="A33" s="6">
        <v>32</v>
      </c>
      <c r="B33" s="6" t="s">
        <v>97</v>
      </c>
      <c r="C33" s="6" t="s">
        <v>98</v>
      </c>
      <c r="D33" s="6" t="s">
        <v>99</v>
      </c>
      <c r="S33">
        <v>278.14999999999998</v>
      </c>
      <c r="T33">
        <v>343.35559999999998</v>
      </c>
      <c r="U33">
        <v>408.56110000000001</v>
      </c>
      <c r="V33">
        <v>473.76670000000001</v>
      </c>
      <c r="W33">
        <v>538.97220000000004</v>
      </c>
      <c r="X33">
        <v>604.17780000000005</v>
      </c>
      <c r="Y33">
        <v>669.38329999999996</v>
      </c>
      <c r="Z33">
        <v>734.58889999999997</v>
      </c>
      <c r="AA33">
        <v>799.7944</v>
      </c>
      <c r="AB33">
        <v>865</v>
      </c>
    </row>
    <row r="34" spans="1:28" x14ac:dyDescent="0.3">
      <c r="A34" s="6">
        <v>33</v>
      </c>
      <c r="B34" s="6" t="s">
        <v>100</v>
      </c>
      <c r="C34" s="6" t="s">
        <v>77</v>
      </c>
      <c r="D34" s="6" t="s">
        <v>101</v>
      </c>
      <c r="S34">
        <v>335.66</v>
      </c>
      <c r="T34">
        <v>378.36439999999999</v>
      </c>
      <c r="U34">
        <v>421.06889999999999</v>
      </c>
      <c r="V34">
        <v>463.77330000000001</v>
      </c>
      <c r="W34">
        <v>506.4778</v>
      </c>
      <c r="X34">
        <v>549.18219999999997</v>
      </c>
      <c r="Y34">
        <v>591.88670000000002</v>
      </c>
      <c r="Z34">
        <v>634.59109999999998</v>
      </c>
      <c r="AA34">
        <v>677.29560000000004</v>
      </c>
      <c r="AB34">
        <v>720</v>
      </c>
    </row>
    <row r="35" spans="1:28" x14ac:dyDescent="0.3">
      <c r="A35" s="6">
        <v>34</v>
      </c>
      <c r="B35" s="6" t="s">
        <v>102</v>
      </c>
      <c r="C35" s="6" t="s">
        <v>80</v>
      </c>
      <c r="D35" s="6" t="s">
        <v>103</v>
      </c>
      <c r="S35">
        <v>342.75</v>
      </c>
      <c r="T35">
        <v>384.66669999999999</v>
      </c>
      <c r="U35">
        <v>426.58330000000001</v>
      </c>
      <c r="V35">
        <v>468.5</v>
      </c>
      <c r="W35">
        <v>510.41669999999999</v>
      </c>
      <c r="X35">
        <v>552.33330000000001</v>
      </c>
      <c r="Y35">
        <v>594.25</v>
      </c>
      <c r="Z35">
        <v>636.16669999999999</v>
      </c>
      <c r="AA35">
        <v>678.08330000000001</v>
      </c>
      <c r="AB35">
        <v>720</v>
      </c>
    </row>
    <row r="36" spans="1:28" x14ac:dyDescent="0.3">
      <c r="A36" s="6">
        <v>35</v>
      </c>
      <c r="B36" s="6" t="s">
        <v>104</v>
      </c>
      <c r="C36" s="6" t="s">
        <v>105</v>
      </c>
      <c r="D36" s="6" t="s">
        <v>106</v>
      </c>
      <c r="S36">
        <v>286.52999999999997</v>
      </c>
      <c r="T36">
        <v>332.47109999999998</v>
      </c>
      <c r="U36">
        <v>378.41219999999998</v>
      </c>
      <c r="V36">
        <v>424.35329999999999</v>
      </c>
      <c r="W36">
        <v>470.2944</v>
      </c>
      <c r="X36">
        <v>516.23559999999998</v>
      </c>
      <c r="Y36">
        <v>562.17669999999998</v>
      </c>
      <c r="Z36">
        <v>608.11779999999999</v>
      </c>
      <c r="AA36">
        <v>654.05889999999999</v>
      </c>
      <c r="AB36">
        <v>700</v>
      </c>
    </row>
    <row r="37" spans="1:28" x14ac:dyDescent="0.3">
      <c r="A37" s="6">
        <v>36</v>
      </c>
      <c r="B37" s="6" t="s">
        <v>107</v>
      </c>
      <c r="C37" s="6" t="s">
        <v>108</v>
      </c>
      <c r="D37" s="7" t="s">
        <v>109</v>
      </c>
      <c r="E37" s="11"/>
      <c r="S37">
        <v>331.05</v>
      </c>
      <c r="T37">
        <v>373.0444</v>
      </c>
      <c r="U37">
        <v>415.03890000000001</v>
      </c>
      <c r="V37">
        <v>457.0333</v>
      </c>
      <c r="W37">
        <v>499.02780000000001</v>
      </c>
      <c r="X37">
        <v>541.0222</v>
      </c>
      <c r="Y37">
        <v>583.01670000000001</v>
      </c>
      <c r="Z37">
        <v>625.01110000000006</v>
      </c>
      <c r="AA37">
        <v>667.00559999999996</v>
      </c>
      <c r="AB37">
        <v>709</v>
      </c>
    </row>
    <row r="38" spans="1:28" x14ac:dyDescent="0.3">
      <c r="A38" s="6">
        <v>37</v>
      </c>
      <c r="B38" s="6" t="s">
        <v>110</v>
      </c>
      <c r="C38" s="6" t="s">
        <v>111</v>
      </c>
      <c r="D38" s="6" t="s">
        <v>112</v>
      </c>
      <c r="S38">
        <v>334.85</v>
      </c>
      <c r="T38">
        <v>378.5333</v>
      </c>
      <c r="U38">
        <v>422.2167</v>
      </c>
      <c r="V38">
        <v>465.9</v>
      </c>
      <c r="W38">
        <v>509.58330000000001</v>
      </c>
      <c r="X38">
        <v>553.26670000000001</v>
      </c>
      <c r="Y38">
        <v>596.95000000000005</v>
      </c>
      <c r="Z38">
        <v>640.63329999999996</v>
      </c>
      <c r="AA38">
        <v>684.31669999999997</v>
      </c>
      <c r="AB38">
        <v>728</v>
      </c>
    </row>
    <row r="39" spans="1:28" x14ac:dyDescent="0.3">
      <c r="A39" s="6">
        <v>38</v>
      </c>
      <c r="B39" s="6" t="s">
        <v>113</v>
      </c>
      <c r="C39" s="6" t="s">
        <v>114</v>
      </c>
      <c r="D39" s="6" t="s">
        <v>115</v>
      </c>
      <c r="S39">
        <v>338.55</v>
      </c>
      <c r="T39">
        <v>381.71109999999999</v>
      </c>
      <c r="U39">
        <v>424.87220000000002</v>
      </c>
      <c r="V39">
        <v>468.0333</v>
      </c>
      <c r="W39">
        <v>511.19439999999997</v>
      </c>
      <c r="X39">
        <v>554.35559999999998</v>
      </c>
      <c r="Y39">
        <v>597.51670000000001</v>
      </c>
      <c r="Z39">
        <v>640.67780000000005</v>
      </c>
      <c r="AA39">
        <v>683.83889999999997</v>
      </c>
      <c r="AB39">
        <v>727</v>
      </c>
    </row>
    <row r="40" spans="1:28" x14ac:dyDescent="0.3">
      <c r="A40" s="6">
        <v>39</v>
      </c>
      <c r="B40" s="6" t="s">
        <v>116</v>
      </c>
      <c r="C40" s="6" t="s">
        <v>117</v>
      </c>
      <c r="D40" s="6" t="s">
        <v>118</v>
      </c>
      <c r="S40">
        <v>343.92</v>
      </c>
      <c r="T40">
        <v>390.59559999999999</v>
      </c>
      <c r="U40">
        <v>437.27109999999999</v>
      </c>
      <c r="V40">
        <v>483.94670000000002</v>
      </c>
      <c r="W40">
        <v>530.62220000000002</v>
      </c>
      <c r="X40">
        <v>577.29780000000005</v>
      </c>
      <c r="Y40">
        <v>623.97329999999999</v>
      </c>
      <c r="Z40">
        <v>670.64890000000003</v>
      </c>
      <c r="AA40">
        <v>717.32439999999997</v>
      </c>
      <c r="AB40">
        <v>764</v>
      </c>
    </row>
    <row r="41" spans="1:28" x14ac:dyDescent="0.3">
      <c r="A41" s="6">
        <v>40</v>
      </c>
      <c r="B41" s="6" t="s">
        <v>119</v>
      </c>
      <c r="C41" s="6" t="s">
        <v>120</v>
      </c>
      <c r="D41" s="6" t="s">
        <v>121</v>
      </c>
      <c r="S41">
        <v>243.51</v>
      </c>
      <c r="T41">
        <v>278.34219999999999</v>
      </c>
      <c r="U41">
        <v>313.17439999999999</v>
      </c>
      <c r="V41">
        <v>348.00670000000002</v>
      </c>
      <c r="W41">
        <v>382.83890000000002</v>
      </c>
      <c r="X41">
        <v>417.67110000000002</v>
      </c>
      <c r="Y41">
        <v>452.50330000000002</v>
      </c>
      <c r="Z41">
        <v>487.3356</v>
      </c>
      <c r="AA41">
        <v>522.16780000000006</v>
      </c>
      <c r="AB41">
        <v>557</v>
      </c>
    </row>
    <row r="42" spans="1:28" x14ac:dyDescent="0.3">
      <c r="A42" s="6">
        <v>41</v>
      </c>
      <c r="B42" s="6" t="s">
        <v>122</v>
      </c>
      <c r="C42" s="6" t="s">
        <v>123</v>
      </c>
      <c r="D42" s="6" t="s">
        <v>124</v>
      </c>
      <c r="S42">
        <v>178.18</v>
      </c>
      <c r="T42">
        <v>215.16</v>
      </c>
      <c r="U42">
        <v>252.14</v>
      </c>
      <c r="V42">
        <v>289.12</v>
      </c>
      <c r="W42">
        <v>326.10000000000002</v>
      </c>
      <c r="X42">
        <v>363.08</v>
      </c>
      <c r="Y42">
        <v>400.06</v>
      </c>
      <c r="Z42">
        <v>437.04</v>
      </c>
      <c r="AA42">
        <v>474.02</v>
      </c>
      <c r="AB42">
        <v>511</v>
      </c>
    </row>
    <row r="43" spans="1:28" x14ac:dyDescent="0.3">
      <c r="A43" s="6">
        <v>42</v>
      </c>
      <c r="B43" s="6" t="s">
        <v>125</v>
      </c>
      <c r="C43" s="6" t="s">
        <v>126</v>
      </c>
      <c r="D43" s="6" t="s">
        <v>127</v>
      </c>
      <c r="S43">
        <v>228.55</v>
      </c>
      <c r="T43">
        <v>262.15559999999999</v>
      </c>
      <c r="U43">
        <v>295.7611</v>
      </c>
      <c r="V43">
        <v>329.36669999999998</v>
      </c>
      <c r="W43">
        <v>362.97219999999999</v>
      </c>
      <c r="X43">
        <v>396.57780000000002</v>
      </c>
      <c r="Y43">
        <v>430.18329999999997</v>
      </c>
      <c r="Z43">
        <v>463.78890000000001</v>
      </c>
      <c r="AA43">
        <v>497.39440000000002</v>
      </c>
      <c r="AB43">
        <v>531</v>
      </c>
    </row>
    <row r="44" spans="1:28" x14ac:dyDescent="0.3">
      <c r="A44" s="6">
        <v>43</v>
      </c>
      <c r="B44" s="6" t="s">
        <v>128</v>
      </c>
      <c r="C44" s="6" t="s">
        <v>129</v>
      </c>
      <c r="D44" s="6" t="s">
        <v>130</v>
      </c>
      <c r="S44">
        <v>239.15</v>
      </c>
      <c r="T44">
        <v>275.0222</v>
      </c>
      <c r="U44">
        <v>310.89440000000002</v>
      </c>
      <c r="V44">
        <v>346.76670000000001</v>
      </c>
      <c r="W44">
        <v>382.63889999999998</v>
      </c>
      <c r="X44">
        <v>418.5111</v>
      </c>
      <c r="Y44">
        <v>454.38330000000002</v>
      </c>
      <c r="Z44">
        <v>490.25560000000002</v>
      </c>
      <c r="AA44">
        <v>526.12779999999998</v>
      </c>
      <c r="AB44">
        <v>562</v>
      </c>
    </row>
    <row r="45" spans="1:28" x14ac:dyDescent="0.3">
      <c r="A45" s="6">
        <v>44</v>
      </c>
      <c r="B45" s="6" t="s">
        <v>131</v>
      </c>
      <c r="C45" s="6" t="s">
        <v>132</v>
      </c>
      <c r="D45" s="7" t="s">
        <v>133</v>
      </c>
      <c r="E45" s="11"/>
      <c r="S45">
        <v>257.64999999999998</v>
      </c>
      <c r="T45">
        <v>293.68889999999999</v>
      </c>
      <c r="U45">
        <v>329.7278</v>
      </c>
      <c r="V45">
        <v>365.76670000000001</v>
      </c>
      <c r="W45">
        <v>401.80560000000003</v>
      </c>
      <c r="X45">
        <v>437.84440000000001</v>
      </c>
      <c r="Y45">
        <v>473.88330000000002</v>
      </c>
      <c r="Z45">
        <v>509.92219999999998</v>
      </c>
      <c r="AA45">
        <v>545.96109999999999</v>
      </c>
      <c r="AB45">
        <v>582</v>
      </c>
    </row>
    <row r="46" spans="1:28" x14ac:dyDescent="0.3">
      <c r="A46" s="6">
        <v>45</v>
      </c>
      <c r="B46" s="6" t="s">
        <v>134</v>
      </c>
      <c r="C46" s="6" t="s">
        <v>135</v>
      </c>
      <c r="D46" s="7" t="s">
        <v>136</v>
      </c>
      <c r="E46" s="11"/>
      <c r="S46">
        <v>280.05</v>
      </c>
      <c r="T46">
        <v>316.4889</v>
      </c>
      <c r="U46">
        <v>352.92779999999999</v>
      </c>
      <c r="V46">
        <v>389.36669999999998</v>
      </c>
      <c r="W46">
        <v>425.80560000000003</v>
      </c>
      <c r="X46">
        <v>462.24439999999998</v>
      </c>
      <c r="Y46">
        <v>498.68329999999997</v>
      </c>
      <c r="Z46">
        <v>535.12220000000002</v>
      </c>
      <c r="AA46">
        <v>571.56110000000001</v>
      </c>
      <c r="AB46">
        <v>608</v>
      </c>
    </row>
    <row r="47" spans="1:28" x14ac:dyDescent="0.3">
      <c r="A47" s="6">
        <v>46</v>
      </c>
      <c r="B47" s="6" t="s">
        <v>137</v>
      </c>
      <c r="C47" s="6" t="s">
        <v>138</v>
      </c>
      <c r="D47" s="6" t="s">
        <v>139</v>
      </c>
      <c r="S47">
        <v>296.95</v>
      </c>
      <c r="T47">
        <v>335.9556</v>
      </c>
      <c r="U47">
        <v>374.96109999999999</v>
      </c>
      <c r="V47">
        <v>413.9667</v>
      </c>
      <c r="W47">
        <v>452.97219999999999</v>
      </c>
      <c r="X47">
        <v>491.9778</v>
      </c>
      <c r="Y47">
        <v>530.98329999999999</v>
      </c>
      <c r="Z47">
        <v>569.98889999999994</v>
      </c>
      <c r="AA47">
        <v>608.99440000000004</v>
      </c>
      <c r="AB47">
        <v>648</v>
      </c>
    </row>
    <row r="48" spans="1:28" x14ac:dyDescent="0.3">
      <c r="A48" s="6">
        <v>47</v>
      </c>
      <c r="B48" s="6" t="s">
        <v>140</v>
      </c>
      <c r="C48" s="6" t="s">
        <v>141</v>
      </c>
      <c r="D48" s="6" t="s">
        <v>142</v>
      </c>
      <c r="S48">
        <v>303.75</v>
      </c>
      <c r="T48">
        <v>343.55560000000003</v>
      </c>
      <c r="U48">
        <v>383.36110000000002</v>
      </c>
      <c r="V48">
        <v>423.16669999999999</v>
      </c>
      <c r="W48">
        <v>462.97219999999999</v>
      </c>
      <c r="X48">
        <v>502.77780000000001</v>
      </c>
      <c r="Y48">
        <v>542.58330000000001</v>
      </c>
      <c r="Z48">
        <v>582.38890000000004</v>
      </c>
      <c r="AA48">
        <v>622.19439999999997</v>
      </c>
      <c r="AB48">
        <v>662</v>
      </c>
    </row>
    <row r="49" spans="1:28" x14ac:dyDescent="0.3">
      <c r="A49" s="6">
        <v>48</v>
      </c>
      <c r="B49" s="6" t="s">
        <v>143</v>
      </c>
      <c r="C49" s="6" t="s">
        <v>144</v>
      </c>
      <c r="D49" s="6" t="s">
        <v>145</v>
      </c>
      <c r="S49">
        <v>317.05</v>
      </c>
      <c r="T49">
        <v>358.15559999999999</v>
      </c>
      <c r="U49">
        <v>399.2611</v>
      </c>
      <c r="V49">
        <v>440.36669999999998</v>
      </c>
      <c r="W49">
        <v>481.47219999999999</v>
      </c>
      <c r="X49">
        <v>522.57780000000002</v>
      </c>
      <c r="Y49">
        <v>563.68330000000003</v>
      </c>
      <c r="Z49">
        <v>604.78890000000001</v>
      </c>
      <c r="AA49">
        <v>645.89440000000002</v>
      </c>
      <c r="AB49">
        <v>687</v>
      </c>
    </row>
    <row r="50" spans="1:28" x14ac:dyDescent="0.3">
      <c r="A50" s="6">
        <v>49</v>
      </c>
      <c r="B50" s="6" t="s">
        <v>146</v>
      </c>
      <c r="C50" s="6" t="s">
        <v>147</v>
      </c>
      <c r="D50" s="6" t="s">
        <v>148</v>
      </c>
      <c r="S50">
        <v>327.05</v>
      </c>
      <c r="T50">
        <v>370.6</v>
      </c>
      <c r="U50">
        <v>414.15</v>
      </c>
      <c r="V50">
        <v>457.7</v>
      </c>
      <c r="W50">
        <v>501.25</v>
      </c>
      <c r="X50">
        <v>544.79999999999995</v>
      </c>
      <c r="Y50">
        <v>588.35</v>
      </c>
      <c r="Z50">
        <v>631.9</v>
      </c>
      <c r="AA50">
        <v>675.45</v>
      </c>
      <c r="AB50">
        <v>719</v>
      </c>
    </row>
    <row r="51" spans="1:28" x14ac:dyDescent="0.3">
      <c r="A51" s="6">
        <v>50</v>
      </c>
      <c r="B51" s="6" t="s">
        <v>149</v>
      </c>
      <c r="C51" s="6" t="s">
        <v>150</v>
      </c>
      <c r="D51" s="6" t="s">
        <v>151</v>
      </c>
      <c r="S51">
        <v>146.94999999999999</v>
      </c>
      <c r="T51">
        <v>182.4</v>
      </c>
      <c r="U51">
        <v>217.85</v>
      </c>
      <c r="V51">
        <v>253.3</v>
      </c>
      <c r="W51">
        <v>288.75</v>
      </c>
      <c r="X51">
        <v>324.2</v>
      </c>
      <c r="Y51">
        <v>359.65</v>
      </c>
      <c r="Z51">
        <v>395.1</v>
      </c>
      <c r="AA51">
        <v>430.55</v>
      </c>
      <c r="AB51">
        <v>466</v>
      </c>
    </row>
    <row r="52" spans="1:28" x14ac:dyDescent="0.3">
      <c r="A52" s="6">
        <v>51</v>
      </c>
      <c r="B52" s="6" t="s">
        <v>152</v>
      </c>
      <c r="C52" s="6" t="s">
        <v>153</v>
      </c>
      <c r="D52" s="6" t="s">
        <v>154</v>
      </c>
      <c r="S52">
        <v>195.56</v>
      </c>
      <c r="T52">
        <v>232.49780000000001</v>
      </c>
      <c r="U52">
        <v>269.43560000000002</v>
      </c>
      <c r="V52">
        <v>306.37329999999997</v>
      </c>
      <c r="W52">
        <v>343.31110000000001</v>
      </c>
      <c r="X52">
        <v>380.24889999999999</v>
      </c>
      <c r="Y52">
        <v>417.18669999999997</v>
      </c>
      <c r="Z52">
        <v>454.12439999999998</v>
      </c>
      <c r="AA52">
        <v>491.06220000000002</v>
      </c>
      <c r="AB52">
        <v>528</v>
      </c>
    </row>
    <row r="53" spans="1:28" x14ac:dyDescent="0.3">
      <c r="A53" s="6">
        <v>52</v>
      </c>
      <c r="B53" s="6" t="s">
        <v>155</v>
      </c>
      <c r="C53" s="6" t="s">
        <v>53</v>
      </c>
      <c r="D53" s="6" t="s">
        <v>156</v>
      </c>
      <c r="S53">
        <v>236.2</v>
      </c>
      <c r="T53">
        <v>275.5111</v>
      </c>
      <c r="U53">
        <v>314.82220000000001</v>
      </c>
      <c r="V53">
        <v>354.13330000000002</v>
      </c>
      <c r="W53">
        <v>393.44439999999997</v>
      </c>
      <c r="X53">
        <v>432.75560000000002</v>
      </c>
      <c r="Y53">
        <v>472.06670000000003</v>
      </c>
      <c r="Z53">
        <v>511.37779999999998</v>
      </c>
      <c r="AA53">
        <v>550.68889999999999</v>
      </c>
      <c r="AB53">
        <v>590</v>
      </c>
    </row>
    <row r="54" spans="1:28" x14ac:dyDescent="0.3">
      <c r="A54" s="6">
        <v>53</v>
      </c>
      <c r="B54" s="6" t="s">
        <v>157</v>
      </c>
      <c r="C54" s="6" t="s">
        <v>68</v>
      </c>
      <c r="D54" s="6" t="s">
        <v>158</v>
      </c>
      <c r="S54">
        <v>238.72</v>
      </c>
      <c r="T54">
        <v>278.4178</v>
      </c>
      <c r="U54">
        <v>318.11559999999997</v>
      </c>
      <c r="V54">
        <v>357.81330000000003</v>
      </c>
      <c r="W54">
        <v>397.5111</v>
      </c>
      <c r="X54">
        <v>437.20890000000003</v>
      </c>
      <c r="Y54">
        <v>476.9067</v>
      </c>
      <c r="Z54">
        <v>516.60440000000006</v>
      </c>
      <c r="AA54">
        <v>556.30219999999997</v>
      </c>
      <c r="AB54">
        <v>596</v>
      </c>
    </row>
    <row r="55" spans="1:28" x14ac:dyDescent="0.3">
      <c r="A55" s="6">
        <v>54</v>
      </c>
      <c r="B55" s="6" t="s">
        <v>159</v>
      </c>
      <c r="C55" s="6" t="s">
        <v>56</v>
      </c>
      <c r="D55" s="6" t="s">
        <v>160</v>
      </c>
      <c r="S55">
        <v>255.15</v>
      </c>
      <c r="T55">
        <v>296.35559999999998</v>
      </c>
      <c r="U55">
        <v>337.56110000000001</v>
      </c>
      <c r="V55">
        <v>378.76670000000001</v>
      </c>
      <c r="W55">
        <v>419.97219999999999</v>
      </c>
      <c r="X55">
        <v>461.17779999999999</v>
      </c>
      <c r="Y55">
        <v>502.38330000000002</v>
      </c>
      <c r="Z55">
        <v>543.58889999999997</v>
      </c>
      <c r="AA55">
        <v>584.7944</v>
      </c>
      <c r="AB55">
        <v>626</v>
      </c>
    </row>
    <row r="56" spans="1:28" x14ac:dyDescent="0.3">
      <c r="A56" s="6">
        <v>55</v>
      </c>
      <c r="B56" s="6" t="s">
        <v>161</v>
      </c>
      <c r="C56" s="6" t="s">
        <v>71</v>
      </c>
      <c r="D56" s="6" t="s">
        <v>162</v>
      </c>
      <c r="S56">
        <v>261.8</v>
      </c>
      <c r="T56">
        <v>301.37779999999998</v>
      </c>
      <c r="U56">
        <v>340.9556</v>
      </c>
      <c r="V56">
        <v>380.5333</v>
      </c>
      <c r="W56">
        <v>420.11110000000002</v>
      </c>
      <c r="X56">
        <v>459.68889999999999</v>
      </c>
      <c r="Y56">
        <v>499.26670000000001</v>
      </c>
      <c r="Z56">
        <v>538.84439999999995</v>
      </c>
      <c r="AA56">
        <v>578.42219999999998</v>
      </c>
      <c r="AB56">
        <v>618</v>
      </c>
    </row>
    <row r="57" spans="1:28" x14ac:dyDescent="0.3">
      <c r="A57" s="6">
        <v>56</v>
      </c>
      <c r="B57" s="6" t="s">
        <v>163</v>
      </c>
      <c r="C57" s="6" t="s">
        <v>59</v>
      </c>
      <c r="D57" s="6" t="s">
        <v>164</v>
      </c>
      <c r="S57" s="1">
        <v>278.14999999999998</v>
      </c>
      <c r="T57">
        <v>317.4667</v>
      </c>
      <c r="U57">
        <v>356.7833</v>
      </c>
      <c r="V57">
        <v>396.1</v>
      </c>
      <c r="W57">
        <v>435.41669999999999</v>
      </c>
      <c r="X57">
        <v>474.73329999999999</v>
      </c>
      <c r="Y57">
        <v>514.04999999999995</v>
      </c>
      <c r="Z57">
        <v>553.36670000000004</v>
      </c>
      <c r="AA57">
        <v>592.68330000000003</v>
      </c>
      <c r="AB57">
        <v>632</v>
      </c>
    </row>
    <row r="58" spans="1:28" x14ac:dyDescent="0.3">
      <c r="A58" s="6">
        <v>57</v>
      </c>
      <c r="B58" s="6" t="s">
        <v>165</v>
      </c>
      <c r="C58" s="6" t="s">
        <v>74</v>
      </c>
      <c r="D58" s="6" t="s">
        <v>166</v>
      </c>
      <c r="S58">
        <v>279.07</v>
      </c>
      <c r="T58">
        <v>318.17329999999998</v>
      </c>
      <c r="U58">
        <v>357.27670000000001</v>
      </c>
      <c r="V58">
        <v>396.38</v>
      </c>
      <c r="W58">
        <v>435.48329999999999</v>
      </c>
      <c r="X58">
        <v>474.58670000000001</v>
      </c>
      <c r="Y58">
        <v>513.69000000000005</v>
      </c>
      <c r="Z58">
        <v>552.79330000000004</v>
      </c>
      <c r="AA58">
        <v>591.89670000000001</v>
      </c>
      <c r="AB58">
        <v>631</v>
      </c>
    </row>
    <row r="59" spans="1:28" x14ac:dyDescent="0.3">
      <c r="A59" s="6">
        <v>58</v>
      </c>
      <c r="B59" s="6" t="s">
        <v>167</v>
      </c>
      <c r="C59" s="6" t="s">
        <v>62</v>
      </c>
      <c r="D59" s="6" t="s">
        <v>168</v>
      </c>
      <c r="S59">
        <v>291.85000000000002</v>
      </c>
      <c r="T59">
        <v>332.86669999999998</v>
      </c>
      <c r="U59">
        <v>373.88330000000002</v>
      </c>
      <c r="V59">
        <v>414.9</v>
      </c>
      <c r="W59">
        <v>455.91669999999999</v>
      </c>
      <c r="X59">
        <v>496.93329999999997</v>
      </c>
      <c r="Y59">
        <v>537.95000000000005</v>
      </c>
      <c r="Z59">
        <v>578.96669999999995</v>
      </c>
      <c r="AA59">
        <v>619.98329999999999</v>
      </c>
      <c r="AB59">
        <v>661</v>
      </c>
    </row>
    <row r="60" spans="1:28" x14ac:dyDescent="0.3">
      <c r="A60" s="6">
        <v>59</v>
      </c>
      <c r="B60" s="6" t="s">
        <v>169</v>
      </c>
      <c r="C60" s="6" t="s">
        <v>77</v>
      </c>
      <c r="D60" s="6" t="s">
        <v>170</v>
      </c>
      <c r="S60">
        <v>292.35000000000002</v>
      </c>
      <c r="T60">
        <v>333.86669999999998</v>
      </c>
      <c r="U60">
        <v>375.38330000000002</v>
      </c>
      <c r="V60">
        <v>416.9</v>
      </c>
      <c r="W60">
        <v>458.41669999999999</v>
      </c>
      <c r="X60">
        <v>499.93329999999997</v>
      </c>
      <c r="Y60">
        <v>541.45000000000005</v>
      </c>
      <c r="Z60">
        <v>582.96669999999995</v>
      </c>
      <c r="AA60">
        <v>624.48329999999999</v>
      </c>
      <c r="AB60">
        <v>666</v>
      </c>
    </row>
    <row r="61" spans="1:28" x14ac:dyDescent="0.3">
      <c r="A61" s="6">
        <v>60</v>
      </c>
      <c r="B61" s="6" t="s">
        <v>171</v>
      </c>
      <c r="C61" s="6" t="s">
        <v>172</v>
      </c>
      <c r="D61" s="6" t="s">
        <v>173</v>
      </c>
      <c r="S61">
        <v>303.05</v>
      </c>
      <c r="T61">
        <v>345.15559999999999</v>
      </c>
      <c r="U61">
        <v>387.2611</v>
      </c>
      <c r="V61">
        <v>429.36669999999998</v>
      </c>
      <c r="W61">
        <v>471.47219999999999</v>
      </c>
      <c r="X61">
        <v>513.57780000000002</v>
      </c>
      <c r="Y61">
        <v>555.68330000000003</v>
      </c>
      <c r="Z61">
        <v>597.78890000000001</v>
      </c>
      <c r="AA61">
        <v>639.89440000000002</v>
      </c>
      <c r="AB61">
        <v>682</v>
      </c>
    </row>
    <row r="62" spans="1:28" x14ac:dyDescent="0.3">
      <c r="A62" s="6">
        <v>61</v>
      </c>
      <c r="B62" s="6" t="s">
        <v>174</v>
      </c>
      <c r="C62" s="6" t="s">
        <v>80</v>
      </c>
      <c r="D62" s="6" t="s">
        <v>175</v>
      </c>
      <c r="S62">
        <v>303.08999999999997</v>
      </c>
      <c r="T62">
        <v>347.19110000000001</v>
      </c>
      <c r="U62">
        <v>391.29219999999998</v>
      </c>
      <c r="V62">
        <v>435.39330000000001</v>
      </c>
      <c r="W62">
        <v>479.49439999999998</v>
      </c>
      <c r="X62">
        <v>523.59559999999999</v>
      </c>
      <c r="Y62">
        <v>567.69669999999996</v>
      </c>
      <c r="Z62">
        <v>611.79780000000005</v>
      </c>
      <c r="AA62">
        <v>655.89890000000003</v>
      </c>
      <c r="AB62">
        <v>700</v>
      </c>
    </row>
    <row r="63" spans="1:28" x14ac:dyDescent="0.3">
      <c r="A63" s="6">
        <v>62</v>
      </c>
      <c r="B63" s="6" t="s">
        <v>176</v>
      </c>
      <c r="C63" s="6" t="s">
        <v>177</v>
      </c>
      <c r="D63" s="6" t="s">
        <v>178</v>
      </c>
      <c r="S63">
        <v>312.14999999999998</v>
      </c>
      <c r="T63">
        <v>355.35559999999998</v>
      </c>
      <c r="U63">
        <v>398.56110000000001</v>
      </c>
      <c r="V63">
        <v>441.76670000000001</v>
      </c>
      <c r="W63">
        <v>484.97219999999999</v>
      </c>
      <c r="X63">
        <v>528.17780000000005</v>
      </c>
      <c r="Y63">
        <v>571.38329999999996</v>
      </c>
      <c r="Z63">
        <v>614.58889999999997</v>
      </c>
      <c r="AA63">
        <v>657.7944</v>
      </c>
      <c r="AB63">
        <v>701</v>
      </c>
    </row>
    <row r="64" spans="1:28" x14ac:dyDescent="0.3">
      <c r="A64" s="6">
        <v>63</v>
      </c>
      <c r="B64" s="6" t="s">
        <v>179</v>
      </c>
      <c r="C64" s="6" t="s">
        <v>83</v>
      </c>
      <c r="D64" s="6" t="s">
        <v>180</v>
      </c>
      <c r="S64">
        <v>312.02</v>
      </c>
      <c r="T64">
        <v>355.57330000000002</v>
      </c>
      <c r="U64">
        <v>399.12670000000003</v>
      </c>
      <c r="V64">
        <v>442.68</v>
      </c>
      <c r="W64">
        <v>486.23329999999999</v>
      </c>
      <c r="X64">
        <v>529.7867</v>
      </c>
      <c r="Y64">
        <v>573.34</v>
      </c>
      <c r="Z64">
        <v>616.89329999999995</v>
      </c>
      <c r="AA64">
        <v>660.44669999999996</v>
      </c>
      <c r="AB64">
        <v>704</v>
      </c>
    </row>
    <row r="65" spans="1:28" x14ac:dyDescent="0.3">
      <c r="A65" s="6">
        <v>64</v>
      </c>
      <c r="B65" s="6" t="s">
        <v>181</v>
      </c>
      <c r="C65" s="6" t="s">
        <v>182</v>
      </c>
      <c r="D65" s="6" t="s">
        <v>183</v>
      </c>
      <c r="S65">
        <v>319.48</v>
      </c>
      <c r="T65">
        <v>364.76</v>
      </c>
      <c r="U65">
        <v>410.04</v>
      </c>
      <c r="V65">
        <v>455.32</v>
      </c>
      <c r="W65">
        <v>500.6</v>
      </c>
      <c r="X65">
        <v>545.88</v>
      </c>
      <c r="Y65">
        <v>591.16</v>
      </c>
      <c r="Z65">
        <v>636.44000000000005</v>
      </c>
      <c r="AA65">
        <v>681.72</v>
      </c>
      <c r="AB65">
        <v>727</v>
      </c>
    </row>
    <row r="66" spans="1:28" x14ac:dyDescent="0.3">
      <c r="A66" s="6">
        <v>65</v>
      </c>
      <c r="B66" s="6" t="s">
        <v>184</v>
      </c>
      <c r="C66" s="6" t="s">
        <v>59</v>
      </c>
      <c r="D66" s="6" t="s">
        <v>185</v>
      </c>
      <c r="S66">
        <v>257.2</v>
      </c>
      <c r="T66">
        <v>297.62220000000002</v>
      </c>
      <c r="U66">
        <v>338.0444</v>
      </c>
      <c r="V66">
        <v>378.4667</v>
      </c>
      <c r="W66">
        <v>418.88889999999998</v>
      </c>
      <c r="X66">
        <v>459.31110000000001</v>
      </c>
      <c r="Y66">
        <v>499.73329999999999</v>
      </c>
      <c r="Z66">
        <v>540.15560000000005</v>
      </c>
      <c r="AA66">
        <v>580.57780000000002</v>
      </c>
      <c r="AB66">
        <v>621</v>
      </c>
    </row>
    <row r="67" spans="1:28" x14ac:dyDescent="0.3">
      <c r="A67" s="6">
        <v>66</v>
      </c>
      <c r="B67" s="6" t="s">
        <v>186</v>
      </c>
      <c r="C67" s="6" t="s">
        <v>62</v>
      </c>
      <c r="D67" s="6" t="s">
        <v>187</v>
      </c>
      <c r="S67">
        <v>272.39999999999998</v>
      </c>
      <c r="T67">
        <v>315.13330000000002</v>
      </c>
      <c r="U67">
        <v>357.86669999999998</v>
      </c>
      <c r="V67">
        <v>400.6</v>
      </c>
      <c r="W67">
        <v>443.33330000000001</v>
      </c>
      <c r="X67">
        <v>486.06670000000003</v>
      </c>
      <c r="Y67">
        <v>528.79999999999995</v>
      </c>
      <c r="Z67">
        <v>571.53330000000005</v>
      </c>
      <c r="AA67">
        <v>614.26670000000001</v>
      </c>
      <c r="AB67">
        <v>657</v>
      </c>
    </row>
    <row r="68" spans="1:28" x14ac:dyDescent="0.3">
      <c r="A68" s="6">
        <v>67</v>
      </c>
      <c r="B68" s="6" t="s">
        <v>188</v>
      </c>
      <c r="C68" s="6" t="s">
        <v>189</v>
      </c>
      <c r="D68" s="6" t="s">
        <v>190</v>
      </c>
      <c r="S68">
        <v>145.59</v>
      </c>
      <c r="T68">
        <v>166.96889999999999</v>
      </c>
      <c r="U68">
        <v>188.34780000000001</v>
      </c>
      <c r="V68">
        <v>209.72669999999999</v>
      </c>
      <c r="W68">
        <v>231.10560000000001</v>
      </c>
      <c r="X68">
        <v>252.48439999999999</v>
      </c>
      <c r="Y68">
        <v>273.86329999999998</v>
      </c>
      <c r="Z68">
        <v>295.24220000000003</v>
      </c>
      <c r="AA68">
        <v>316.62110000000001</v>
      </c>
      <c r="AB68">
        <v>338</v>
      </c>
    </row>
    <row r="69" spans="1:28" x14ac:dyDescent="0.3">
      <c r="A69" s="6">
        <v>68</v>
      </c>
      <c r="B69" s="6" t="s">
        <v>191</v>
      </c>
      <c r="C69" s="6" t="s">
        <v>192</v>
      </c>
      <c r="D69" s="6" t="s">
        <v>193</v>
      </c>
      <c r="S69">
        <v>85.47</v>
      </c>
      <c r="T69">
        <v>110.30670000000001</v>
      </c>
      <c r="U69">
        <v>135.14330000000001</v>
      </c>
      <c r="V69">
        <v>159.97999999999999</v>
      </c>
      <c r="W69">
        <v>184.8167</v>
      </c>
      <c r="X69">
        <v>209.6533</v>
      </c>
      <c r="Y69">
        <v>234.49</v>
      </c>
      <c r="Z69">
        <v>259.32670000000002</v>
      </c>
      <c r="AA69">
        <v>284.16329999999999</v>
      </c>
      <c r="AB69">
        <v>309</v>
      </c>
    </row>
    <row r="70" spans="1:28" x14ac:dyDescent="0.3">
      <c r="A70" s="6">
        <v>69</v>
      </c>
      <c r="B70" s="6" t="s">
        <v>194</v>
      </c>
      <c r="C70" s="6" t="s">
        <v>195</v>
      </c>
      <c r="D70" s="6" t="s">
        <v>196</v>
      </c>
      <c r="S70">
        <v>278.68</v>
      </c>
      <c r="T70">
        <v>303.49329999999998</v>
      </c>
      <c r="U70">
        <v>328.30669999999998</v>
      </c>
      <c r="V70">
        <v>353.12</v>
      </c>
      <c r="W70">
        <v>377.93329999999997</v>
      </c>
      <c r="X70">
        <v>402.74669999999998</v>
      </c>
      <c r="Y70">
        <v>427.56</v>
      </c>
      <c r="Z70">
        <v>452.37329999999997</v>
      </c>
      <c r="AA70">
        <v>477.18669999999997</v>
      </c>
      <c r="AB70">
        <v>502</v>
      </c>
    </row>
    <row r="71" spans="1:28" x14ac:dyDescent="0.3">
      <c r="A71" s="6">
        <v>70</v>
      </c>
      <c r="B71" s="6" t="s">
        <v>197</v>
      </c>
      <c r="C71" s="6" t="s">
        <v>198</v>
      </c>
      <c r="D71" s="6" t="s">
        <v>199</v>
      </c>
      <c r="S71">
        <v>159.05000000000001</v>
      </c>
      <c r="T71">
        <v>192.9333</v>
      </c>
      <c r="U71">
        <v>226.8167</v>
      </c>
      <c r="V71">
        <v>260.7</v>
      </c>
      <c r="W71">
        <v>294.58330000000001</v>
      </c>
      <c r="X71">
        <v>328.4667</v>
      </c>
      <c r="Y71">
        <v>362.35</v>
      </c>
      <c r="Z71">
        <v>396.23329999999999</v>
      </c>
      <c r="AA71">
        <v>430.11669999999998</v>
      </c>
      <c r="AB71">
        <v>464</v>
      </c>
    </row>
    <row r="72" spans="1:28" x14ac:dyDescent="0.3">
      <c r="A72" s="6">
        <v>71</v>
      </c>
      <c r="B72" s="6" t="s">
        <v>200</v>
      </c>
      <c r="C72" s="6" t="s">
        <v>201</v>
      </c>
      <c r="D72" s="6" t="s">
        <v>202</v>
      </c>
      <c r="S72">
        <v>289.81</v>
      </c>
      <c r="T72">
        <v>314.38670000000002</v>
      </c>
      <c r="U72">
        <v>338.9633</v>
      </c>
      <c r="V72">
        <v>363.54</v>
      </c>
      <c r="W72">
        <v>388.11669999999998</v>
      </c>
      <c r="X72">
        <v>412.69330000000002</v>
      </c>
      <c r="Y72">
        <v>437.27</v>
      </c>
      <c r="Z72">
        <v>461.8467</v>
      </c>
      <c r="AA72">
        <v>486.42329999999998</v>
      </c>
      <c r="AB72">
        <v>511</v>
      </c>
    </row>
    <row r="73" spans="1:28" x14ac:dyDescent="0.3">
      <c r="A73" s="6">
        <v>72</v>
      </c>
      <c r="B73" s="1" t="s">
        <v>203</v>
      </c>
      <c r="C73" s="1" t="s">
        <v>204</v>
      </c>
      <c r="D73" s="1" t="s">
        <v>205</v>
      </c>
      <c r="S73">
        <v>352.9</v>
      </c>
      <c r="T73">
        <v>398.91109999999998</v>
      </c>
      <c r="U73">
        <v>444.92219999999998</v>
      </c>
      <c r="V73">
        <v>490.93329999999997</v>
      </c>
      <c r="W73">
        <v>536.94439999999997</v>
      </c>
      <c r="X73">
        <v>582.9556</v>
      </c>
      <c r="Y73">
        <v>628.96669999999995</v>
      </c>
      <c r="Z73">
        <v>674.9778</v>
      </c>
      <c r="AA73">
        <v>720.98889999999994</v>
      </c>
      <c r="AB73">
        <v>767</v>
      </c>
    </row>
    <row r="74" spans="1:28" x14ac:dyDescent="0.3">
      <c r="A74" s="6">
        <v>73</v>
      </c>
      <c r="B74" s="1" t="s">
        <v>206</v>
      </c>
      <c r="C74" s="1" t="s">
        <v>207</v>
      </c>
      <c r="D74" s="1" t="s">
        <v>208</v>
      </c>
      <c r="S74">
        <v>355.8</v>
      </c>
      <c r="T74">
        <v>397.6</v>
      </c>
      <c r="U74">
        <v>439.4</v>
      </c>
      <c r="V74">
        <v>481.2</v>
      </c>
      <c r="W74">
        <v>523</v>
      </c>
      <c r="X74">
        <v>564.79999999999995</v>
      </c>
      <c r="Y74">
        <v>606.6</v>
      </c>
      <c r="Z74">
        <v>648.4</v>
      </c>
      <c r="AA74">
        <v>690.2</v>
      </c>
      <c r="AB74">
        <v>732</v>
      </c>
    </row>
    <row r="75" spans="1:28" x14ac:dyDescent="0.3">
      <c r="A75" s="6">
        <v>74</v>
      </c>
      <c r="B75" s="1" t="s">
        <v>209</v>
      </c>
      <c r="C75" s="1" t="s">
        <v>210</v>
      </c>
      <c r="D75" s="1" t="s">
        <v>211</v>
      </c>
      <c r="S75">
        <v>286.40199999999999</v>
      </c>
      <c r="T75">
        <v>315.24619999999999</v>
      </c>
      <c r="U75">
        <v>344.09039999999999</v>
      </c>
      <c r="V75">
        <v>372.93470000000002</v>
      </c>
      <c r="W75">
        <v>401.77890000000002</v>
      </c>
      <c r="X75">
        <v>430.62310000000002</v>
      </c>
      <c r="Y75">
        <v>459.46730000000002</v>
      </c>
      <c r="Z75">
        <v>488.3116</v>
      </c>
      <c r="AA75">
        <v>517.1558</v>
      </c>
      <c r="AB75">
        <v>546</v>
      </c>
    </row>
    <row r="76" spans="1:28" x14ac:dyDescent="0.3">
      <c r="A76" s="6">
        <v>75</v>
      </c>
      <c r="B76" s="1" t="s">
        <v>212</v>
      </c>
      <c r="C76" s="1" t="s">
        <v>210</v>
      </c>
      <c r="D76" s="1" t="s">
        <v>213</v>
      </c>
      <c r="S76">
        <v>247.98</v>
      </c>
      <c r="T76">
        <v>282.64890000000003</v>
      </c>
      <c r="U76">
        <v>317.31779999999998</v>
      </c>
      <c r="V76">
        <v>351.98669999999998</v>
      </c>
      <c r="W76">
        <v>386.65559999999999</v>
      </c>
      <c r="X76">
        <v>421.32440000000003</v>
      </c>
      <c r="Y76">
        <v>455.99329999999998</v>
      </c>
      <c r="Z76">
        <v>490.66219999999998</v>
      </c>
      <c r="AA76">
        <v>525.33109999999999</v>
      </c>
      <c r="AB76">
        <v>560</v>
      </c>
    </row>
    <row r="77" spans="1:28" x14ac:dyDescent="0.3">
      <c r="A77" s="6">
        <v>76</v>
      </c>
      <c r="B77" s="1" t="s">
        <v>214</v>
      </c>
      <c r="C77" s="1" t="s">
        <v>215</v>
      </c>
      <c r="D77" s="1" t="s">
        <v>216</v>
      </c>
      <c r="S77">
        <v>229.33</v>
      </c>
      <c r="T77">
        <v>268.19330000000002</v>
      </c>
      <c r="U77">
        <v>307.05669999999998</v>
      </c>
      <c r="V77">
        <v>345.92</v>
      </c>
      <c r="W77">
        <v>384.7833</v>
      </c>
      <c r="X77">
        <v>423.64670000000001</v>
      </c>
      <c r="Y77">
        <v>462.51</v>
      </c>
      <c r="Z77">
        <v>501.37329999999997</v>
      </c>
      <c r="AA77">
        <v>540.23670000000004</v>
      </c>
      <c r="AB77">
        <v>579.1</v>
      </c>
    </row>
    <row r="78" spans="1:28" x14ac:dyDescent="0.3">
      <c r="A78" s="6">
        <v>77</v>
      </c>
      <c r="B78" s="1" t="s">
        <v>217</v>
      </c>
      <c r="C78" s="1" t="s">
        <v>218</v>
      </c>
      <c r="D78" s="1" t="s">
        <v>219</v>
      </c>
      <c r="S78">
        <v>183.85</v>
      </c>
      <c r="T78">
        <v>219.32220000000001</v>
      </c>
      <c r="U78">
        <v>254.7944</v>
      </c>
      <c r="V78">
        <v>290.26670000000001</v>
      </c>
      <c r="W78">
        <v>325.7389</v>
      </c>
      <c r="X78">
        <v>361.21109999999999</v>
      </c>
      <c r="Y78">
        <v>396.68329999999997</v>
      </c>
      <c r="Z78">
        <v>432.15559999999999</v>
      </c>
      <c r="AA78">
        <v>467.62779999999998</v>
      </c>
      <c r="AB78">
        <v>503.1</v>
      </c>
    </row>
    <row r="79" spans="1:28" x14ac:dyDescent="0.3">
      <c r="A79" s="6">
        <v>78</v>
      </c>
      <c r="B79" s="1" t="s">
        <v>131</v>
      </c>
      <c r="C79" s="1" t="s">
        <v>132</v>
      </c>
      <c r="D79" s="8" t="s">
        <v>220</v>
      </c>
      <c r="E79" s="11"/>
      <c r="S79">
        <v>257.64999999999998</v>
      </c>
      <c r="T79">
        <v>294.8</v>
      </c>
      <c r="U79">
        <v>331.95</v>
      </c>
      <c r="V79">
        <v>369.1</v>
      </c>
      <c r="W79">
        <v>406.25</v>
      </c>
      <c r="X79">
        <v>443.4</v>
      </c>
      <c r="Y79">
        <v>480.55</v>
      </c>
      <c r="Z79">
        <v>517.70000000000005</v>
      </c>
      <c r="AA79">
        <v>554.85</v>
      </c>
      <c r="AB79">
        <v>592</v>
      </c>
    </row>
    <row r="80" spans="1:28" x14ac:dyDescent="0.3">
      <c r="A80" s="6">
        <v>79</v>
      </c>
      <c r="B80" s="1" t="s">
        <v>134</v>
      </c>
      <c r="C80" s="1" t="s">
        <v>135</v>
      </c>
      <c r="D80" s="8" t="s">
        <v>221</v>
      </c>
      <c r="E80" s="11"/>
      <c r="S80">
        <v>280.05</v>
      </c>
      <c r="T80">
        <v>318.71109999999999</v>
      </c>
      <c r="U80">
        <v>357.37220000000002</v>
      </c>
      <c r="V80">
        <v>396.0333</v>
      </c>
      <c r="W80">
        <v>434.69439999999997</v>
      </c>
      <c r="X80">
        <v>473.35559999999998</v>
      </c>
      <c r="Y80">
        <v>512.01670000000001</v>
      </c>
      <c r="Z80">
        <v>550.67780000000005</v>
      </c>
      <c r="AA80">
        <v>589.33889999999997</v>
      </c>
      <c r="AB80">
        <v>628</v>
      </c>
    </row>
    <row r="81" spans="1:28" x14ac:dyDescent="0.3">
      <c r="A81" s="6">
        <v>80</v>
      </c>
      <c r="B81" s="1" t="s">
        <v>222</v>
      </c>
      <c r="C81" s="1" t="s">
        <v>223</v>
      </c>
      <c r="D81" s="1" t="s">
        <v>224</v>
      </c>
      <c r="S81">
        <v>322.35000000000002</v>
      </c>
      <c r="T81">
        <v>365.26670000000001</v>
      </c>
      <c r="U81">
        <v>408.18329999999997</v>
      </c>
      <c r="V81">
        <v>451.1</v>
      </c>
      <c r="W81">
        <v>494.01670000000001</v>
      </c>
      <c r="X81">
        <v>536.93330000000003</v>
      </c>
      <c r="Y81">
        <v>579.85</v>
      </c>
      <c r="Z81">
        <v>622.76670000000001</v>
      </c>
      <c r="AA81">
        <v>665.68330000000003</v>
      </c>
      <c r="AB81">
        <v>708.6</v>
      </c>
    </row>
    <row r="82" spans="1:28" x14ac:dyDescent="0.3">
      <c r="A82" s="6">
        <v>81</v>
      </c>
      <c r="B82" s="1" t="s">
        <v>225</v>
      </c>
      <c r="C82" s="1" t="s">
        <v>108</v>
      </c>
      <c r="D82" s="8" t="s">
        <v>226</v>
      </c>
      <c r="E82" s="11"/>
      <c r="S82">
        <v>331.05</v>
      </c>
      <c r="T82">
        <v>375.26670000000001</v>
      </c>
      <c r="U82">
        <v>419.48329999999999</v>
      </c>
      <c r="V82">
        <v>463.7</v>
      </c>
      <c r="W82">
        <v>507.91669999999999</v>
      </c>
      <c r="X82">
        <v>552.13329999999996</v>
      </c>
      <c r="Y82">
        <v>596.35</v>
      </c>
      <c r="Z82">
        <v>640.56669999999997</v>
      </c>
      <c r="AA82">
        <v>684.78330000000005</v>
      </c>
      <c r="AB82">
        <v>729</v>
      </c>
    </row>
    <row r="83" spans="1:28" x14ac:dyDescent="0.3">
      <c r="A83" s="6">
        <v>82</v>
      </c>
      <c r="B83" s="1" t="s">
        <v>200</v>
      </c>
      <c r="C83" s="1" t="s">
        <v>201</v>
      </c>
      <c r="D83" s="1" t="s">
        <v>227</v>
      </c>
      <c r="S83">
        <v>289.81</v>
      </c>
      <c r="T83">
        <v>314.38670000000002</v>
      </c>
      <c r="U83">
        <v>338.9633</v>
      </c>
      <c r="V83">
        <v>363.54</v>
      </c>
      <c r="W83">
        <v>388.11669999999998</v>
      </c>
      <c r="X83">
        <v>412.69330000000002</v>
      </c>
      <c r="Y83">
        <v>437.27</v>
      </c>
      <c r="Z83">
        <v>461.8467</v>
      </c>
      <c r="AA83">
        <v>486.42329999999998</v>
      </c>
      <c r="AB83">
        <v>511</v>
      </c>
    </row>
    <row r="84" spans="1:28" x14ac:dyDescent="0.3">
      <c r="A84" s="6">
        <v>83</v>
      </c>
      <c r="B84" s="1" t="s">
        <v>228</v>
      </c>
      <c r="C84" s="1" t="s">
        <v>229</v>
      </c>
      <c r="D84" s="1" t="s">
        <v>230</v>
      </c>
      <c r="S84">
        <v>252.45</v>
      </c>
      <c r="T84">
        <v>282.17779999999999</v>
      </c>
      <c r="U84">
        <v>311.90559999999999</v>
      </c>
      <c r="V84">
        <v>341.63330000000002</v>
      </c>
      <c r="W84">
        <v>371.36110000000002</v>
      </c>
      <c r="X84">
        <v>401.08890000000002</v>
      </c>
      <c r="Y84">
        <v>430.81670000000003</v>
      </c>
      <c r="Z84">
        <v>460.5444</v>
      </c>
      <c r="AA84">
        <v>490.2722</v>
      </c>
      <c r="AB84">
        <v>520</v>
      </c>
    </row>
    <row r="85" spans="1:28" x14ac:dyDescent="0.3">
      <c r="A85" s="6">
        <v>84</v>
      </c>
      <c r="B85" s="1" t="s">
        <v>231</v>
      </c>
      <c r="C85" s="1" t="s">
        <v>232</v>
      </c>
      <c r="D85" s="1" t="s">
        <v>233</v>
      </c>
      <c r="S85">
        <v>267.95</v>
      </c>
      <c r="T85">
        <v>298.73329999999999</v>
      </c>
      <c r="U85">
        <v>329.51670000000001</v>
      </c>
      <c r="V85">
        <v>360.3</v>
      </c>
      <c r="W85">
        <v>391.08330000000001</v>
      </c>
      <c r="X85">
        <v>421.86669999999998</v>
      </c>
      <c r="Y85">
        <v>452.65</v>
      </c>
      <c r="Z85">
        <v>483.43329999999997</v>
      </c>
      <c r="AA85">
        <v>514.21669999999995</v>
      </c>
      <c r="AB85">
        <v>545</v>
      </c>
    </row>
    <row r="86" spans="1:28" x14ac:dyDescent="0.3">
      <c r="A86" s="6">
        <v>85</v>
      </c>
      <c r="B86" s="1" t="s">
        <v>234</v>
      </c>
      <c r="C86" s="1" t="s">
        <v>235</v>
      </c>
      <c r="D86" s="1" t="s">
        <v>236</v>
      </c>
      <c r="S86">
        <v>239.15</v>
      </c>
      <c r="T86">
        <v>275.8</v>
      </c>
      <c r="U86">
        <v>312.45</v>
      </c>
      <c r="V86">
        <v>349.1</v>
      </c>
      <c r="W86">
        <v>385.75</v>
      </c>
      <c r="X86">
        <v>422.4</v>
      </c>
      <c r="Y86">
        <v>459.05</v>
      </c>
      <c r="Z86">
        <v>495.7</v>
      </c>
      <c r="AA86">
        <v>532.35</v>
      </c>
      <c r="AB86">
        <v>569</v>
      </c>
    </row>
    <row r="87" spans="1:28" x14ac:dyDescent="0.3">
      <c r="A87" s="6">
        <v>86</v>
      </c>
      <c r="B87" s="1" t="s">
        <v>237</v>
      </c>
      <c r="C87" s="1" t="s">
        <v>238</v>
      </c>
      <c r="D87" s="1" t="s">
        <v>239</v>
      </c>
      <c r="S87">
        <v>269.25</v>
      </c>
      <c r="T87">
        <v>306</v>
      </c>
      <c r="U87">
        <v>342.75</v>
      </c>
      <c r="V87">
        <v>379.5</v>
      </c>
      <c r="W87">
        <v>416.25</v>
      </c>
      <c r="X87">
        <v>453</v>
      </c>
      <c r="Y87">
        <v>489.75</v>
      </c>
      <c r="Z87">
        <v>526.5</v>
      </c>
      <c r="AA87">
        <v>563.25</v>
      </c>
      <c r="AB87">
        <v>600</v>
      </c>
    </row>
    <row r="88" spans="1:28" x14ac:dyDescent="0.3">
      <c r="A88" s="6">
        <v>87</v>
      </c>
      <c r="B88" s="1" t="s">
        <v>240</v>
      </c>
      <c r="C88" s="1" t="s">
        <v>65</v>
      </c>
      <c r="D88" s="1" t="s">
        <v>241</v>
      </c>
      <c r="S88">
        <v>289.64999999999998</v>
      </c>
      <c r="T88">
        <v>326.8</v>
      </c>
      <c r="U88">
        <v>363.95</v>
      </c>
      <c r="V88">
        <v>401.1</v>
      </c>
      <c r="W88">
        <v>438.25</v>
      </c>
      <c r="X88">
        <v>475.4</v>
      </c>
      <c r="Y88">
        <v>512.54999999999995</v>
      </c>
      <c r="Z88">
        <v>549.70000000000005</v>
      </c>
      <c r="AA88">
        <v>586.85</v>
      </c>
      <c r="AB88">
        <v>624</v>
      </c>
    </row>
    <row r="89" spans="1:28" x14ac:dyDescent="0.3">
      <c r="A89" s="6">
        <v>88</v>
      </c>
      <c r="B89" s="1" t="s">
        <v>242</v>
      </c>
      <c r="C89" s="1" t="s">
        <v>71</v>
      </c>
      <c r="D89" s="1" t="s">
        <v>243</v>
      </c>
      <c r="S89">
        <v>316.98</v>
      </c>
      <c r="T89">
        <v>355.42669999999998</v>
      </c>
      <c r="U89">
        <v>393.87329999999997</v>
      </c>
      <c r="V89">
        <v>432.32</v>
      </c>
      <c r="W89">
        <v>470.76670000000001</v>
      </c>
      <c r="X89">
        <v>509.2133</v>
      </c>
      <c r="Y89">
        <v>547.66</v>
      </c>
      <c r="Z89">
        <v>586.10670000000005</v>
      </c>
      <c r="AA89">
        <v>624.55330000000004</v>
      </c>
      <c r="AB89">
        <v>663</v>
      </c>
    </row>
    <row r="90" spans="1:28" x14ac:dyDescent="0.3">
      <c r="A90" s="6">
        <v>89</v>
      </c>
      <c r="B90" s="1" t="s">
        <v>244</v>
      </c>
      <c r="C90" s="1" t="s">
        <v>245</v>
      </c>
      <c r="D90" s="1" t="s">
        <v>246</v>
      </c>
      <c r="S90">
        <v>182.48</v>
      </c>
      <c r="T90">
        <v>206.5378</v>
      </c>
      <c r="U90">
        <v>230.59559999999999</v>
      </c>
      <c r="V90">
        <v>254.6533</v>
      </c>
      <c r="W90">
        <v>278.71109999999999</v>
      </c>
      <c r="X90">
        <v>302.76889999999997</v>
      </c>
      <c r="Y90">
        <v>326.82670000000002</v>
      </c>
      <c r="Z90">
        <v>350.88440000000003</v>
      </c>
      <c r="AA90">
        <v>374.94220000000001</v>
      </c>
      <c r="AB90">
        <v>399</v>
      </c>
    </row>
    <row r="91" spans="1:28" x14ac:dyDescent="0.3">
      <c r="A91" s="6">
        <v>90</v>
      </c>
      <c r="B91" s="1" t="s">
        <v>247</v>
      </c>
      <c r="C91" s="1" t="s">
        <v>248</v>
      </c>
      <c r="D91" s="1" t="s">
        <v>249</v>
      </c>
      <c r="S91">
        <v>179.31100000000001</v>
      </c>
      <c r="T91">
        <v>208.38759999999999</v>
      </c>
      <c r="U91">
        <v>237.4641</v>
      </c>
      <c r="V91">
        <v>266.54070000000002</v>
      </c>
      <c r="W91">
        <v>295.61720000000003</v>
      </c>
      <c r="X91">
        <v>324.69380000000001</v>
      </c>
      <c r="Y91">
        <v>353.77030000000002</v>
      </c>
      <c r="Z91">
        <v>382.84690000000001</v>
      </c>
      <c r="AA91">
        <v>411.92340000000002</v>
      </c>
      <c r="AB91">
        <v>441</v>
      </c>
    </row>
    <row r="92" spans="1:28" x14ac:dyDescent="0.3">
      <c r="A92" s="6">
        <v>91</v>
      </c>
      <c r="B92" s="1" t="s">
        <v>250</v>
      </c>
      <c r="C92" s="1" t="s">
        <v>251</v>
      </c>
      <c r="D92" s="1" t="s">
        <v>252</v>
      </c>
      <c r="S92">
        <v>265.12</v>
      </c>
      <c r="T92">
        <v>296.10669999999999</v>
      </c>
      <c r="U92">
        <v>327.0933</v>
      </c>
      <c r="V92">
        <v>358.08</v>
      </c>
      <c r="W92">
        <v>389.06670000000003</v>
      </c>
      <c r="X92">
        <v>420.05329999999998</v>
      </c>
      <c r="Y92">
        <v>451.04</v>
      </c>
      <c r="Z92">
        <v>482.02670000000001</v>
      </c>
      <c r="AA92">
        <v>513.01329999999996</v>
      </c>
      <c r="AB92">
        <v>544</v>
      </c>
    </row>
    <row r="93" spans="1:28" x14ac:dyDescent="0.3">
      <c r="A93" s="6">
        <v>92</v>
      </c>
      <c r="B93" s="1" t="s">
        <v>253</v>
      </c>
      <c r="C93" s="1" t="s">
        <v>254</v>
      </c>
      <c r="D93" s="1" t="s">
        <v>255</v>
      </c>
      <c r="S93">
        <v>287.95</v>
      </c>
      <c r="T93">
        <v>321.17779999999999</v>
      </c>
      <c r="U93">
        <v>354.40559999999999</v>
      </c>
      <c r="V93">
        <v>387.63330000000002</v>
      </c>
      <c r="W93">
        <v>420.86110000000002</v>
      </c>
      <c r="X93">
        <v>454.08890000000002</v>
      </c>
      <c r="Y93">
        <v>487.31670000000003</v>
      </c>
      <c r="Z93">
        <v>520.5444</v>
      </c>
      <c r="AA93">
        <v>553.7722</v>
      </c>
      <c r="AB93">
        <v>587</v>
      </c>
    </row>
    <row r="94" spans="1:28" x14ac:dyDescent="0.3">
      <c r="A94" s="6">
        <v>93</v>
      </c>
      <c r="B94" s="1" t="s">
        <v>256</v>
      </c>
      <c r="C94" s="1" t="s">
        <v>257</v>
      </c>
      <c r="D94" s="1" t="s">
        <v>258</v>
      </c>
      <c r="S94">
        <v>274.8</v>
      </c>
      <c r="T94">
        <v>325.26670000000001</v>
      </c>
      <c r="U94">
        <v>375.73329999999999</v>
      </c>
      <c r="V94">
        <v>426.2</v>
      </c>
      <c r="W94">
        <v>476.66669999999999</v>
      </c>
      <c r="X94">
        <v>527.13329999999996</v>
      </c>
      <c r="Y94">
        <v>577.6</v>
      </c>
      <c r="Z94">
        <v>628.06669999999997</v>
      </c>
      <c r="AA94">
        <v>678.53330000000005</v>
      </c>
      <c r="AB94">
        <v>729</v>
      </c>
    </row>
    <row r="95" spans="1:28" x14ac:dyDescent="0.3">
      <c r="A95" s="6">
        <v>94</v>
      </c>
      <c r="B95" s="1" t="s">
        <v>259</v>
      </c>
      <c r="C95" s="1" t="s">
        <v>105</v>
      </c>
      <c r="D95" s="1" t="s">
        <v>260</v>
      </c>
      <c r="S95">
        <v>286.52999999999997</v>
      </c>
      <c r="T95">
        <v>334.80439999999999</v>
      </c>
      <c r="U95">
        <v>383.07889999999998</v>
      </c>
      <c r="V95">
        <v>431.35329999999999</v>
      </c>
      <c r="W95">
        <v>479.62779999999998</v>
      </c>
      <c r="X95">
        <v>527.90219999999999</v>
      </c>
      <c r="Y95">
        <v>576.17669999999998</v>
      </c>
      <c r="Z95">
        <v>624.4511</v>
      </c>
      <c r="AA95">
        <v>672.72559999999999</v>
      </c>
      <c r="AB95">
        <v>721</v>
      </c>
    </row>
    <row r="96" spans="1:28" x14ac:dyDescent="0.3">
      <c r="A96" s="6">
        <v>95</v>
      </c>
      <c r="B96" s="1" t="s">
        <v>261</v>
      </c>
      <c r="C96" s="1" t="s">
        <v>262</v>
      </c>
      <c r="D96" s="1" t="s">
        <v>263</v>
      </c>
      <c r="S96">
        <v>268.14999999999998</v>
      </c>
      <c r="T96">
        <v>317.8</v>
      </c>
      <c r="U96">
        <v>367.45</v>
      </c>
      <c r="V96">
        <v>417.1</v>
      </c>
      <c r="W96">
        <v>466.75</v>
      </c>
      <c r="X96">
        <v>516.4</v>
      </c>
      <c r="Y96">
        <v>566.04999999999995</v>
      </c>
      <c r="Z96">
        <v>615.70000000000005</v>
      </c>
      <c r="AA96">
        <v>665.35</v>
      </c>
      <c r="AB96">
        <v>715</v>
      </c>
    </row>
    <row r="97" spans="1:28" x14ac:dyDescent="0.3">
      <c r="A97" s="6">
        <v>96</v>
      </c>
      <c r="B97" s="1" t="s">
        <v>264</v>
      </c>
      <c r="C97" s="1" t="s">
        <v>265</v>
      </c>
      <c r="D97" s="1" t="s">
        <v>266</v>
      </c>
      <c r="S97">
        <v>262.05</v>
      </c>
      <c r="T97">
        <v>312.93329999999997</v>
      </c>
      <c r="U97">
        <v>363.81670000000003</v>
      </c>
      <c r="V97">
        <v>414.7</v>
      </c>
      <c r="W97">
        <v>465.58330000000001</v>
      </c>
      <c r="X97">
        <v>516.46669999999995</v>
      </c>
      <c r="Y97">
        <v>567.35</v>
      </c>
      <c r="Z97">
        <v>618.23329999999999</v>
      </c>
      <c r="AA97">
        <v>669.11670000000004</v>
      </c>
      <c r="AB97">
        <v>720</v>
      </c>
    </row>
    <row r="98" spans="1:28" x14ac:dyDescent="0.3">
      <c r="A98" s="6">
        <v>97</v>
      </c>
      <c r="B98" s="1" t="s">
        <v>267</v>
      </c>
      <c r="C98" s="1" t="s">
        <v>268</v>
      </c>
      <c r="D98" s="1" t="s">
        <v>269</v>
      </c>
      <c r="S98">
        <v>234.8</v>
      </c>
      <c r="T98">
        <v>288.15559999999999</v>
      </c>
      <c r="U98">
        <v>341.5111</v>
      </c>
      <c r="V98">
        <v>394.86669999999998</v>
      </c>
      <c r="W98">
        <v>448.22219999999999</v>
      </c>
      <c r="X98">
        <v>501.57780000000002</v>
      </c>
      <c r="Y98">
        <v>554.93330000000003</v>
      </c>
      <c r="Z98">
        <v>608.28890000000001</v>
      </c>
      <c r="AA98">
        <v>661.64440000000002</v>
      </c>
      <c r="AB98">
        <v>715</v>
      </c>
    </row>
    <row r="99" spans="1:28" x14ac:dyDescent="0.3">
      <c r="A99" s="6">
        <v>98</v>
      </c>
      <c r="B99" s="1" t="s">
        <v>270</v>
      </c>
      <c r="C99" s="1" t="s">
        <v>271</v>
      </c>
      <c r="D99" s="1" t="s">
        <v>272</v>
      </c>
      <c r="S99" s="2">
        <v>334.25</v>
      </c>
      <c r="T99" s="2">
        <v>378.44439999999997</v>
      </c>
      <c r="U99" s="2">
        <v>422.63889999999998</v>
      </c>
      <c r="V99" s="2">
        <v>466.83330000000001</v>
      </c>
      <c r="W99" s="2">
        <v>511.02780000000001</v>
      </c>
      <c r="X99" s="2">
        <v>555.22220000000004</v>
      </c>
      <c r="Y99" s="2">
        <v>599.41669999999999</v>
      </c>
      <c r="Z99" s="2">
        <v>643.61109999999996</v>
      </c>
      <c r="AA99" s="2">
        <v>687.80560000000003</v>
      </c>
      <c r="AB99" s="2">
        <v>732</v>
      </c>
    </row>
    <row r="100" spans="1:28" x14ac:dyDescent="0.3">
      <c r="A100" s="6">
        <v>99</v>
      </c>
      <c r="B100" s="1" t="s">
        <v>273</v>
      </c>
      <c r="C100" s="1" t="s">
        <v>274</v>
      </c>
      <c r="D100" s="1" t="s">
        <v>275</v>
      </c>
      <c r="S100" s="2">
        <v>341.23</v>
      </c>
      <c r="T100" s="2">
        <v>386.76</v>
      </c>
      <c r="U100" s="2">
        <v>432.29</v>
      </c>
      <c r="V100" s="2">
        <v>477.82</v>
      </c>
      <c r="W100" s="2">
        <v>523.35</v>
      </c>
      <c r="X100" s="2">
        <v>568.88</v>
      </c>
      <c r="Y100" s="2">
        <v>614.41</v>
      </c>
      <c r="Z100" s="2">
        <v>659.94</v>
      </c>
      <c r="AA100" s="2">
        <v>705.47</v>
      </c>
      <c r="AB100" s="2">
        <v>751</v>
      </c>
    </row>
    <row r="101" spans="1:28" x14ac:dyDescent="0.3">
      <c r="A101" s="6">
        <v>100</v>
      </c>
      <c r="B101" s="1" t="s">
        <v>276</v>
      </c>
      <c r="C101" s="1" t="s">
        <v>277</v>
      </c>
      <c r="D101" s="1" t="s">
        <v>278</v>
      </c>
      <c r="S101" s="2">
        <v>347.26</v>
      </c>
      <c r="T101" s="2">
        <v>388.89780000000002</v>
      </c>
      <c r="U101" s="2">
        <v>430.53559999999999</v>
      </c>
      <c r="V101" s="2">
        <v>472.17329999999998</v>
      </c>
      <c r="W101" s="2">
        <v>513.81110000000001</v>
      </c>
      <c r="X101" s="2">
        <v>555.44889999999998</v>
      </c>
      <c r="Y101" s="2">
        <v>597.08669999999995</v>
      </c>
      <c r="Z101" s="2">
        <v>638.72439999999995</v>
      </c>
      <c r="AA101" s="2">
        <v>680.36220000000003</v>
      </c>
      <c r="AB101" s="2">
        <v>722</v>
      </c>
    </row>
    <row r="102" spans="1:28" x14ac:dyDescent="0.3">
      <c r="A102" s="6">
        <v>101</v>
      </c>
      <c r="B102" s="1" t="s">
        <v>279</v>
      </c>
      <c r="C102" s="1" t="s">
        <v>280</v>
      </c>
      <c r="D102" s="1" t="s">
        <v>281</v>
      </c>
      <c r="S102" s="2">
        <v>352.22</v>
      </c>
      <c r="T102" s="2">
        <v>394.08440000000002</v>
      </c>
      <c r="U102" s="2">
        <v>435.94889999999998</v>
      </c>
      <c r="V102" s="2">
        <v>477.81330000000003</v>
      </c>
      <c r="W102" s="2">
        <v>519.67780000000005</v>
      </c>
      <c r="X102" s="2">
        <v>561.54219999999998</v>
      </c>
      <c r="Y102" s="2">
        <v>603.4067</v>
      </c>
      <c r="Z102" s="2">
        <v>645.27110000000005</v>
      </c>
      <c r="AA102" s="2">
        <v>687.13559999999995</v>
      </c>
      <c r="AB102" s="2">
        <v>729</v>
      </c>
    </row>
    <row r="103" spans="1:28" x14ac:dyDescent="0.3">
      <c r="A103" s="6">
        <v>102</v>
      </c>
      <c r="B103" s="1" t="s">
        <v>282</v>
      </c>
      <c r="C103" s="1" t="s">
        <v>283</v>
      </c>
      <c r="D103" s="1" t="s">
        <v>284</v>
      </c>
      <c r="S103" s="2">
        <v>331.5</v>
      </c>
      <c r="T103" s="2">
        <v>382</v>
      </c>
      <c r="U103" s="2">
        <v>432.5</v>
      </c>
      <c r="V103" s="2">
        <v>483</v>
      </c>
      <c r="W103" s="2">
        <v>533.5</v>
      </c>
      <c r="X103" s="2">
        <v>584</v>
      </c>
      <c r="Y103" s="2">
        <v>634.5</v>
      </c>
      <c r="Z103" s="2">
        <v>685</v>
      </c>
      <c r="AA103" s="2">
        <v>735.5</v>
      </c>
      <c r="AB103" s="2">
        <v>786</v>
      </c>
    </row>
    <row r="104" spans="1:28" x14ac:dyDescent="0.3">
      <c r="A104" s="6">
        <v>103</v>
      </c>
      <c r="B104" s="1" t="s">
        <v>285</v>
      </c>
      <c r="C104" s="1" t="s">
        <v>286</v>
      </c>
      <c r="D104" s="1" t="s">
        <v>287</v>
      </c>
      <c r="S104" s="2">
        <v>360.1</v>
      </c>
      <c r="T104" s="2">
        <v>402.08890000000002</v>
      </c>
      <c r="U104" s="2">
        <v>444.07780000000002</v>
      </c>
      <c r="V104" s="2">
        <v>486.06670000000003</v>
      </c>
      <c r="W104" s="2">
        <v>528.05560000000003</v>
      </c>
      <c r="X104" s="2">
        <v>570.0444</v>
      </c>
      <c r="Y104" s="2">
        <v>612.03330000000005</v>
      </c>
      <c r="Z104" s="2">
        <v>654.0222</v>
      </c>
      <c r="AA104" s="2">
        <v>696.01110000000006</v>
      </c>
      <c r="AB104" s="2">
        <v>738</v>
      </c>
    </row>
    <row r="105" spans="1:28" x14ac:dyDescent="0.3">
      <c r="A105" s="6">
        <v>104</v>
      </c>
      <c r="B105" s="1" t="s">
        <v>288</v>
      </c>
      <c r="C105" s="1" t="s">
        <v>289</v>
      </c>
      <c r="D105" s="1" t="s">
        <v>290</v>
      </c>
      <c r="S105" s="2">
        <v>336.63</v>
      </c>
      <c r="T105" s="2">
        <v>389.33780000000002</v>
      </c>
      <c r="U105" s="2">
        <v>442.04559999999998</v>
      </c>
      <c r="V105" s="2">
        <v>494.75330000000002</v>
      </c>
      <c r="W105" s="2">
        <v>547.46109999999999</v>
      </c>
      <c r="X105" s="2">
        <v>600.16890000000001</v>
      </c>
      <c r="Y105" s="2">
        <v>652.87670000000003</v>
      </c>
      <c r="Z105" s="2">
        <v>705.58439999999996</v>
      </c>
      <c r="AA105" s="2">
        <v>758.29219999999998</v>
      </c>
      <c r="AB105" s="2">
        <v>811</v>
      </c>
    </row>
    <row r="106" spans="1:28" x14ac:dyDescent="0.3">
      <c r="A106" s="6">
        <v>105</v>
      </c>
      <c r="B106" s="1" t="s">
        <v>291</v>
      </c>
      <c r="C106" s="1" t="s">
        <v>292</v>
      </c>
      <c r="D106" s="1" t="s">
        <v>293</v>
      </c>
      <c r="S106" s="2">
        <v>364.02</v>
      </c>
      <c r="T106" s="2">
        <v>413.9067</v>
      </c>
      <c r="U106" s="2">
        <v>463.79329999999999</v>
      </c>
      <c r="V106" s="2">
        <v>513.67999999999995</v>
      </c>
      <c r="W106" s="2">
        <v>563.56669999999997</v>
      </c>
      <c r="X106" s="2">
        <v>613.45330000000001</v>
      </c>
      <c r="Y106" s="2">
        <v>663.34</v>
      </c>
      <c r="Z106" s="2">
        <v>713.22670000000005</v>
      </c>
      <c r="AA106" s="2">
        <v>763.11329999999998</v>
      </c>
      <c r="AB106" s="2">
        <v>813</v>
      </c>
    </row>
    <row r="107" spans="1:28" x14ac:dyDescent="0.3">
      <c r="A107" s="6">
        <v>106</v>
      </c>
      <c r="B107" s="1" t="s">
        <v>294</v>
      </c>
      <c r="C107" s="1" t="s">
        <v>295</v>
      </c>
      <c r="D107" s="1" t="s">
        <v>296</v>
      </c>
      <c r="S107" s="2">
        <v>363.37</v>
      </c>
      <c r="T107" s="2">
        <v>413.88440000000003</v>
      </c>
      <c r="U107" s="2">
        <v>464.39890000000003</v>
      </c>
      <c r="V107" s="2">
        <v>514.91330000000005</v>
      </c>
      <c r="W107" s="2">
        <v>565.42780000000005</v>
      </c>
      <c r="X107" s="2">
        <v>615.94219999999996</v>
      </c>
      <c r="Y107" s="2">
        <v>666.45669999999996</v>
      </c>
      <c r="Z107" s="2">
        <v>716.97109999999998</v>
      </c>
      <c r="AA107" s="2">
        <v>767.48559999999998</v>
      </c>
      <c r="AB107" s="2">
        <v>818</v>
      </c>
    </row>
    <row r="108" spans="1:28" x14ac:dyDescent="0.3">
      <c r="A108" s="6">
        <v>107</v>
      </c>
      <c r="B108" s="1" t="s">
        <v>297</v>
      </c>
      <c r="C108" s="1" t="s">
        <v>298</v>
      </c>
      <c r="D108" s="1" t="s">
        <v>299</v>
      </c>
      <c r="S108" s="2">
        <v>366.72</v>
      </c>
      <c r="T108" s="2">
        <v>417.52890000000002</v>
      </c>
      <c r="U108" s="2">
        <v>468.33780000000002</v>
      </c>
      <c r="V108" s="2">
        <v>519.14670000000001</v>
      </c>
      <c r="W108" s="2">
        <v>569.9556</v>
      </c>
      <c r="X108" s="2">
        <v>620.76440000000002</v>
      </c>
      <c r="Y108" s="2">
        <v>671.57330000000002</v>
      </c>
      <c r="Z108" s="2">
        <v>722.38220000000001</v>
      </c>
      <c r="AA108" s="2">
        <v>773.19110000000001</v>
      </c>
      <c r="AB108" s="2">
        <v>824</v>
      </c>
    </row>
    <row r="109" spans="1:28" x14ac:dyDescent="0.3">
      <c r="A109" s="6">
        <v>108</v>
      </c>
      <c r="B109" s="1" t="s">
        <v>300</v>
      </c>
      <c r="C109" s="1" t="s">
        <v>301</v>
      </c>
      <c r="D109" s="1" t="s">
        <v>302</v>
      </c>
      <c r="S109" s="2">
        <v>268.14999999999998</v>
      </c>
      <c r="T109" s="2">
        <v>306.23329999999999</v>
      </c>
      <c r="U109" s="2">
        <v>344.31670000000003</v>
      </c>
      <c r="V109" s="2">
        <v>382.4</v>
      </c>
      <c r="W109" s="2">
        <v>420.48329999999999</v>
      </c>
      <c r="X109" s="2">
        <v>458.56670000000003</v>
      </c>
      <c r="Y109" s="2">
        <v>496.65</v>
      </c>
      <c r="Z109" s="2">
        <v>534.73329999999999</v>
      </c>
      <c r="AA109" s="2">
        <v>572.81669999999997</v>
      </c>
      <c r="AB109" s="2">
        <v>610.9</v>
      </c>
    </row>
    <row r="110" spans="1:28" x14ac:dyDescent="0.3">
      <c r="A110" s="6">
        <v>109</v>
      </c>
      <c r="B110" s="1" t="s">
        <v>303</v>
      </c>
      <c r="C110" s="1" t="s">
        <v>304</v>
      </c>
      <c r="D110" s="1" t="s">
        <v>305</v>
      </c>
      <c r="S110" s="2">
        <v>288.45</v>
      </c>
      <c r="T110" s="2">
        <v>327.94439999999997</v>
      </c>
      <c r="U110" s="2">
        <v>367.43889999999999</v>
      </c>
      <c r="V110" s="2">
        <v>406.93329999999997</v>
      </c>
      <c r="W110" s="2">
        <v>446.42779999999999</v>
      </c>
      <c r="X110" s="2">
        <v>485.92219999999998</v>
      </c>
      <c r="Y110" s="2">
        <v>525.41669999999999</v>
      </c>
      <c r="Z110" s="2">
        <v>564.91110000000003</v>
      </c>
      <c r="AA110" s="2">
        <v>604.40560000000005</v>
      </c>
      <c r="AB110" s="2">
        <v>643.9</v>
      </c>
    </row>
    <row r="111" spans="1:28" x14ac:dyDescent="0.3">
      <c r="A111" s="6">
        <v>110</v>
      </c>
      <c r="B111" s="1" t="s">
        <v>306</v>
      </c>
      <c r="C111" s="1" t="s">
        <v>307</v>
      </c>
      <c r="D111" s="1" t="s">
        <v>308</v>
      </c>
      <c r="S111" s="2">
        <v>310.64999999999998</v>
      </c>
      <c r="T111" s="2">
        <v>352.27780000000001</v>
      </c>
      <c r="U111" s="2">
        <v>393.90559999999999</v>
      </c>
      <c r="V111" s="2">
        <v>435.5333</v>
      </c>
      <c r="W111" s="2">
        <v>477.16109999999998</v>
      </c>
      <c r="X111" s="2">
        <v>518.78890000000001</v>
      </c>
      <c r="Y111" s="2">
        <v>560.41669999999999</v>
      </c>
      <c r="Z111" s="2">
        <v>602.0444</v>
      </c>
      <c r="AA111" s="2">
        <v>643.67219999999998</v>
      </c>
      <c r="AB111" s="2">
        <v>685.3</v>
      </c>
    </row>
    <row r="112" spans="1:28" x14ac:dyDescent="0.3">
      <c r="A112" s="6">
        <v>111</v>
      </c>
      <c r="B112" s="1" t="s">
        <v>309</v>
      </c>
      <c r="C112" s="1" t="s">
        <v>310</v>
      </c>
      <c r="D112" s="1" t="s">
        <v>311</v>
      </c>
      <c r="S112" s="2">
        <v>300</v>
      </c>
      <c r="T112" s="2">
        <v>356.16669999999999</v>
      </c>
      <c r="U112" s="2">
        <v>412.33330000000001</v>
      </c>
      <c r="V112" s="2">
        <v>468.5</v>
      </c>
      <c r="W112" s="2">
        <v>524.66669999999999</v>
      </c>
      <c r="X112" s="2">
        <v>580.83330000000001</v>
      </c>
      <c r="Y112" s="2">
        <v>637</v>
      </c>
      <c r="Z112" s="2">
        <v>693.16669999999999</v>
      </c>
      <c r="AA112" s="2">
        <v>749.33330000000001</v>
      </c>
      <c r="AB112" s="2">
        <v>805.5</v>
      </c>
    </row>
    <row r="113" spans="1:28" x14ac:dyDescent="0.3">
      <c r="A113" s="6">
        <v>112</v>
      </c>
      <c r="B113" s="1" t="s">
        <v>312</v>
      </c>
      <c r="C113" s="1" t="s">
        <v>313</v>
      </c>
      <c r="D113" s="1" t="s">
        <v>314</v>
      </c>
      <c r="S113" s="2">
        <v>300</v>
      </c>
      <c r="T113" s="2">
        <v>355.11110000000002</v>
      </c>
      <c r="U113" s="2">
        <v>410.22219999999999</v>
      </c>
      <c r="V113" s="2">
        <v>465.33330000000001</v>
      </c>
      <c r="W113" s="2">
        <v>520.44439999999997</v>
      </c>
      <c r="X113" s="2">
        <v>575.55560000000003</v>
      </c>
      <c r="Y113" s="2">
        <v>630.66669999999999</v>
      </c>
      <c r="Z113" s="2">
        <v>685.77779999999996</v>
      </c>
      <c r="AA113" s="2">
        <v>740.88890000000004</v>
      </c>
      <c r="AB113" s="2">
        <v>796</v>
      </c>
    </row>
    <row r="114" spans="1:28" x14ac:dyDescent="0.3">
      <c r="A114" s="6">
        <v>113</v>
      </c>
      <c r="B114" s="1" t="s">
        <v>315</v>
      </c>
      <c r="C114" s="1" t="s">
        <v>316</v>
      </c>
      <c r="D114" s="1" t="s">
        <v>317</v>
      </c>
      <c r="S114" s="2">
        <v>300</v>
      </c>
      <c r="T114" s="2">
        <v>356.55560000000003</v>
      </c>
      <c r="U114" s="2">
        <v>413.11110000000002</v>
      </c>
      <c r="V114" s="2">
        <v>469.66669999999999</v>
      </c>
      <c r="W114" s="2">
        <v>526.22220000000004</v>
      </c>
      <c r="X114" s="2">
        <v>582.77779999999996</v>
      </c>
      <c r="Y114" s="2">
        <v>639.33330000000001</v>
      </c>
      <c r="Z114" s="2">
        <v>695.88890000000004</v>
      </c>
      <c r="AA114" s="2">
        <v>752.44439999999997</v>
      </c>
      <c r="AB114" s="2">
        <v>809</v>
      </c>
    </row>
    <row r="115" spans="1:28" x14ac:dyDescent="0.3">
      <c r="A115" s="6">
        <v>114</v>
      </c>
      <c r="B115" s="1" t="s">
        <v>318</v>
      </c>
      <c r="C115" s="1" t="s">
        <v>319</v>
      </c>
      <c r="D115" s="1" t="s">
        <v>320</v>
      </c>
      <c r="S115" s="2">
        <v>353.1</v>
      </c>
      <c r="T115" s="2">
        <v>405.08890000000002</v>
      </c>
      <c r="U115" s="2">
        <v>457.07780000000002</v>
      </c>
      <c r="V115" s="2">
        <v>509.06670000000003</v>
      </c>
      <c r="W115" s="2">
        <v>561.05560000000003</v>
      </c>
      <c r="X115" s="2">
        <v>613.0444</v>
      </c>
      <c r="Y115" s="2">
        <v>665.03330000000005</v>
      </c>
      <c r="Z115" s="2">
        <v>717.0222</v>
      </c>
      <c r="AA115" s="2">
        <v>769.01110000000006</v>
      </c>
      <c r="AB115" s="2">
        <v>821</v>
      </c>
    </row>
    <row r="116" spans="1:28" x14ac:dyDescent="0.3">
      <c r="A116" s="6">
        <v>115</v>
      </c>
      <c r="B116" s="1" t="s">
        <v>321</v>
      </c>
      <c r="C116" s="1" t="s">
        <v>322</v>
      </c>
      <c r="D116" s="1" t="s">
        <v>323</v>
      </c>
      <c r="S116" s="1">
        <v>353.1</v>
      </c>
      <c r="T116" s="2">
        <v>403.64440000000002</v>
      </c>
      <c r="U116" s="2">
        <v>454.18889999999999</v>
      </c>
      <c r="V116" s="2">
        <v>504.73329999999999</v>
      </c>
      <c r="W116" s="2">
        <v>555.27779999999996</v>
      </c>
      <c r="X116" s="2">
        <v>605.82219999999995</v>
      </c>
      <c r="Y116" s="2">
        <v>656.36670000000004</v>
      </c>
      <c r="Z116" s="2">
        <v>706.91110000000003</v>
      </c>
      <c r="AA116" s="2">
        <v>757.4556</v>
      </c>
      <c r="AB116" s="2">
        <v>808</v>
      </c>
    </row>
    <row r="117" spans="1:28" x14ac:dyDescent="0.3">
      <c r="A117" s="6">
        <v>116</v>
      </c>
      <c r="B117" s="1" t="s">
        <v>324</v>
      </c>
      <c r="C117" s="1" t="s">
        <v>325</v>
      </c>
      <c r="D117" s="1" t="s">
        <v>326</v>
      </c>
      <c r="E117" s="11"/>
      <c r="S117" s="2">
        <v>355.9</v>
      </c>
      <c r="T117" s="2">
        <v>410.24439999999998</v>
      </c>
      <c r="U117" s="2">
        <v>464.58890000000002</v>
      </c>
      <c r="V117" s="2">
        <v>518.93330000000003</v>
      </c>
      <c r="W117" s="2">
        <v>573.27779999999996</v>
      </c>
      <c r="X117" s="2">
        <v>627.62220000000002</v>
      </c>
      <c r="Y117" s="2">
        <v>681.96669999999995</v>
      </c>
      <c r="Z117" s="2">
        <v>736.31110000000001</v>
      </c>
      <c r="AA117" s="2">
        <v>790.65560000000005</v>
      </c>
      <c r="AB117" s="2">
        <v>845</v>
      </c>
    </row>
    <row r="118" spans="1:28" x14ac:dyDescent="0.3">
      <c r="A118" s="6">
        <v>117</v>
      </c>
      <c r="B118" s="1" t="s">
        <v>327</v>
      </c>
      <c r="C118" s="1" t="s">
        <v>328</v>
      </c>
      <c r="D118" s="1" t="s">
        <v>329</v>
      </c>
      <c r="S118" s="2">
        <v>253.67</v>
      </c>
      <c r="T118" s="2">
        <v>304.60669999999999</v>
      </c>
      <c r="U118" s="2">
        <v>355.54329999999999</v>
      </c>
      <c r="V118" s="2">
        <v>406.48</v>
      </c>
      <c r="W118" s="2">
        <v>457.41669999999999</v>
      </c>
      <c r="X118" s="2">
        <v>508.35329999999999</v>
      </c>
      <c r="Y118" s="2">
        <v>559.29</v>
      </c>
      <c r="Z118" s="2">
        <v>610.22670000000005</v>
      </c>
      <c r="AA118" s="2">
        <v>661.16330000000005</v>
      </c>
      <c r="AB118" s="2">
        <v>712.1</v>
      </c>
    </row>
    <row r="119" spans="1:28" x14ac:dyDescent="0.3">
      <c r="A119" s="6">
        <v>118</v>
      </c>
      <c r="B119" s="1" t="s">
        <v>330</v>
      </c>
      <c r="C119" s="1" t="s">
        <v>331</v>
      </c>
      <c r="D119" s="1" t="s">
        <v>332</v>
      </c>
      <c r="S119" s="2">
        <v>240.5</v>
      </c>
      <c r="T119" s="2">
        <v>295</v>
      </c>
      <c r="U119" s="2">
        <v>349.5</v>
      </c>
      <c r="V119" s="2">
        <v>404</v>
      </c>
      <c r="W119" s="2">
        <v>458.5</v>
      </c>
      <c r="X119" s="2">
        <v>513</v>
      </c>
      <c r="Y119" s="2">
        <v>567.5</v>
      </c>
      <c r="Z119" s="2">
        <v>622</v>
      </c>
      <c r="AA119" s="2">
        <v>676.5</v>
      </c>
      <c r="AB119" s="2">
        <v>731</v>
      </c>
    </row>
    <row r="120" spans="1:28" x14ac:dyDescent="0.3">
      <c r="A120" s="6">
        <v>119</v>
      </c>
      <c r="B120" s="1" t="s">
        <v>333</v>
      </c>
      <c r="C120" s="1" t="s">
        <v>334</v>
      </c>
      <c r="D120" s="1" t="s">
        <v>335</v>
      </c>
      <c r="S120" s="2">
        <v>233.93</v>
      </c>
      <c r="T120" s="2">
        <v>286.5378</v>
      </c>
      <c r="U120" s="2">
        <v>339.1456</v>
      </c>
      <c r="V120" s="2">
        <v>391.75330000000002</v>
      </c>
      <c r="W120" s="2">
        <v>444.36110000000002</v>
      </c>
      <c r="X120" s="2">
        <v>496.96890000000002</v>
      </c>
      <c r="Y120" s="2">
        <v>549.57669999999996</v>
      </c>
      <c r="Z120" s="2">
        <v>602.18439999999998</v>
      </c>
      <c r="AA120" s="2">
        <v>654.79219999999998</v>
      </c>
      <c r="AB120" s="2">
        <v>707.4</v>
      </c>
    </row>
    <row r="121" spans="1:28" x14ac:dyDescent="0.3">
      <c r="A121" s="6">
        <v>120</v>
      </c>
      <c r="B121" s="1" t="s">
        <v>336</v>
      </c>
      <c r="C121" s="1" t="s">
        <v>337</v>
      </c>
      <c r="D121" s="1" t="s">
        <v>338</v>
      </c>
      <c r="S121" s="2">
        <v>256.52999999999997</v>
      </c>
      <c r="T121" s="2">
        <v>308.00439999999998</v>
      </c>
      <c r="U121" s="2">
        <v>359.47890000000001</v>
      </c>
      <c r="V121" s="2">
        <v>410.95330000000001</v>
      </c>
      <c r="W121" s="2">
        <v>462.42779999999999</v>
      </c>
      <c r="X121" s="2">
        <v>513.90219999999999</v>
      </c>
      <c r="Y121" s="2">
        <v>565.37670000000003</v>
      </c>
      <c r="Z121" s="2">
        <v>616.85109999999997</v>
      </c>
      <c r="AA121" s="2">
        <v>668.32560000000001</v>
      </c>
      <c r="AB121" s="2">
        <v>719.8</v>
      </c>
    </row>
    <row r="122" spans="1:28" x14ac:dyDescent="0.3">
      <c r="A122" s="6">
        <v>121</v>
      </c>
      <c r="B122" s="1" t="s">
        <v>339</v>
      </c>
      <c r="C122" s="1" t="s">
        <v>340</v>
      </c>
      <c r="D122" s="1" t="s">
        <v>341</v>
      </c>
      <c r="S122" s="2">
        <v>242.85</v>
      </c>
      <c r="T122" s="2">
        <v>301.08890000000002</v>
      </c>
      <c r="U122" s="2">
        <v>359.32780000000002</v>
      </c>
      <c r="V122" s="2">
        <v>417.56670000000003</v>
      </c>
      <c r="W122" s="2">
        <v>475.80560000000003</v>
      </c>
      <c r="X122" s="2">
        <v>534.0444</v>
      </c>
      <c r="Y122" s="2">
        <v>592.28330000000005</v>
      </c>
      <c r="Z122" s="2">
        <v>650.5222</v>
      </c>
      <c r="AA122" s="2">
        <v>708.76110000000006</v>
      </c>
      <c r="AB122" s="2">
        <v>767</v>
      </c>
    </row>
    <row r="123" spans="1:28" x14ac:dyDescent="0.3">
      <c r="A123" s="6">
        <v>122</v>
      </c>
      <c r="B123" s="1" t="s">
        <v>342</v>
      </c>
      <c r="C123" s="1" t="s">
        <v>343</v>
      </c>
      <c r="D123" s="1" t="s">
        <v>344</v>
      </c>
      <c r="S123" s="2">
        <v>253.65</v>
      </c>
      <c r="T123" s="2">
        <v>305.13330000000002</v>
      </c>
      <c r="U123" s="2">
        <v>356.61669999999998</v>
      </c>
      <c r="V123" s="2">
        <v>408.1</v>
      </c>
      <c r="W123" s="2">
        <v>459.58330000000001</v>
      </c>
      <c r="X123" s="2">
        <v>511.06670000000003</v>
      </c>
      <c r="Y123" s="2">
        <v>562.54999999999995</v>
      </c>
      <c r="Z123" s="2">
        <v>614.03330000000005</v>
      </c>
      <c r="AA123" s="2">
        <v>665.51670000000001</v>
      </c>
      <c r="AB123" s="2">
        <v>717</v>
      </c>
    </row>
    <row r="124" spans="1:28" x14ac:dyDescent="0.3">
      <c r="A124" s="6">
        <v>123</v>
      </c>
      <c r="B124" s="1" t="s">
        <v>345</v>
      </c>
      <c r="C124" s="1" t="s">
        <v>346</v>
      </c>
      <c r="D124" s="1" t="s">
        <v>347</v>
      </c>
      <c r="S124" s="2">
        <v>300</v>
      </c>
      <c r="T124" s="2">
        <v>349.44439999999997</v>
      </c>
      <c r="U124" s="2">
        <v>398.88889999999998</v>
      </c>
      <c r="V124" s="2">
        <v>448.33330000000001</v>
      </c>
      <c r="W124" s="2">
        <v>497.77780000000001</v>
      </c>
      <c r="X124" s="2">
        <v>547.22220000000004</v>
      </c>
      <c r="Y124" s="2">
        <v>596.66669999999999</v>
      </c>
      <c r="Z124" s="2">
        <v>646.11109999999996</v>
      </c>
      <c r="AA124" s="2">
        <v>695.55560000000003</v>
      </c>
      <c r="AB124" s="2">
        <v>745</v>
      </c>
    </row>
    <row r="125" spans="1:28" x14ac:dyDescent="0.3">
      <c r="A125" s="6">
        <v>124</v>
      </c>
      <c r="B125" s="1" t="s">
        <v>348</v>
      </c>
      <c r="C125" s="1" t="s">
        <v>349</v>
      </c>
      <c r="D125" s="1" t="s">
        <v>350</v>
      </c>
      <c r="S125" s="2">
        <v>300</v>
      </c>
      <c r="T125" s="2">
        <v>348.88889999999998</v>
      </c>
      <c r="U125" s="2">
        <v>397.77780000000001</v>
      </c>
      <c r="V125" s="2">
        <v>446.66669999999999</v>
      </c>
      <c r="W125" s="2">
        <v>495.55560000000003</v>
      </c>
      <c r="X125" s="2">
        <v>544.44439999999997</v>
      </c>
      <c r="Y125" s="2">
        <v>593.33330000000001</v>
      </c>
      <c r="Z125" s="2">
        <v>642.22220000000004</v>
      </c>
      <c r="AA125" s="2">
        <v>691.11109999999996</v>
      </c>
      <c r="AB125" s="2">
        <v>740</v>
      </c>
    </row>
    <row r="126" spans="1:28" x14ac:dyDescent="0.3">
      <c r="A126" s="6">
        <v>125</v>
      </c>
      <c r="B126" s="1" t="s">
        <v>351</v>
      </c>
      <c r="C126" s="1" t="s">
        <v>352</v>
      </c>
      <c r="D126" s="1" t="s">
        <v>353</v>
      </c>
      <c r="S126" s="2">
        <v>300</v>
      </c>
      <c r="T126" s="2">
        <v>351.55560000000003</v>
      </c>
      <c r="U126" s="2">
        <v>403.11110000000002</v>
      </c>
      <c r="V126" s="2">
        <v>454.66669999999999</v>
      </c>
      <c r="W126" s="2">
        <v>506.22219999999999</v>
      </c>
      <c r="X126" s="2">
        <v>557.77779999999996</v>
      </c>
      <c r="Y126" s="2">
        <v>609.33330000000001</v>
      </c>
      <c r="Z126" s="2">
        <v>660.88890000000004</v>
      </c>
      <c r="AA126" s="2">
        <v>712.44439999999997</v>
      </c>
      <c r="AB126" s="2">
        <v>764</v>
      </c>
    </row>
    <row r="127" spans="1:28" x14ac:dyDescent="0.3">
      <c r="A127" s="6">
        <v>126</v>
      </c>
      <c r="B127" s="1" t="s">
        <v>354</v>
      </c>
      <c r="C127" s="1" t="s">
        <v>355</v>
      </c>
      <c r="D127" s="1" t="s">
        <v>356</v>
      </c>
      <c r="S127" s="2">
        <v>254.85</v>
      </c>
      <c r="T127" s="2">
        <v>313.2</v>
      </c>
      <c r="U127" s="2">
        <v>371.55</v>
      </c>
      <c r="V127" s="2">
        <v>429.9</v>
      </c>
      <c r="W127" s="2">
        <v>488.25</v>
      </c>
      <c r="X127" s="2">
        <v>546.6</v>
      </c>
      <c r="Y127" s="2">
        <v>604.95000000000005</v>
      </c>
      <c r="Z127" s="2">
        <v>663.3</v>
      </c>
      <c r="AA127" s="2">
        <v>721.65</v>
      </c>
      <c r="AB127" s="2">
        <v>780</v>
      </c>
    </row>
    <row r="128" spans="1:28" x14ac:dyDescent="0.3">
      <c r="A128" s="6">
        <v>127</v>
      </c>
      <c r="B128" s="1" t="s">
        <v>357</v>
      </c>
      <c r="C128" s="1" t="s">
        <v>358</v>
      </c>
      <c r="D128" s="1" t="s">
        <v>359</v>
      </c>
      <c r="S128" s="2">
        <v>240.5</v>
      </c>
      <c r="T128" s="2">
        <v>295</v>
      </c>
      <c r="U128" s="2">
        <v>349.5</v>
      </c>
      <c r="V128" s="2">
        <v>404</v>
      </c>
      <c r="W128" s="2">
        <v>458.5</v>
      </c>
      <c r="X128" s="2">
        <v>513</v>
      </c>
      <c r="Y128" s="2">
        <v>567.5</v>
      </c>
      <c r="Z128" s="2">
        <v>622</v>
      </c>
      <c r="AA128" s="2">
        <v>676.5</v>
      </c>
      <c r="AB128" s="2">
        <v>731</v>
      </c>
    </row>
    <row r="129" spans="1:28" x14ac:dyDescent="0.3">
      <c r="A129" s="6">
        <v>128</v>
      </c>
      <c r="B129" s="1" t="s">
        <v>360</v>
      </c>
      <c r="C129" s="1" t="s">
        <v>361</v>
      </c>
      <c r="D129" s="1" t="s">
        <v>362</v>
      </c>
      <c r="S129" s="2">
        <v>300</v>
      </c>
      <c r="T129" s="2">
        <v>351.22219999999999</v>
      </c>
      <c r="U129" s="2">
        <v>402.44439999999997</v>
      </c>
      <c r="V129" s="2">
        <v>453.66669999999999</v>
      </c>
      <c r="W129" s="2">
        <v>504.88889999999998</v>
      </c>
      <c r="X129" s="2">
        <v>556.11109999999996</v>
      </c>
      <c r="Y129" s="2">
        <v>607.33330000000001</v>
      </c>
      <c r="Z129" s="2">
        <v>658.55560000000003</v>
      </c>
      <c r="AA129" s="2">
        <v>709.77779999999996</v>
      </c>
      <c r="AB129" s="2">
        <v>761</v>
      </c>
    </row>
    <row r="130" spans="1:28" x14ac:dyDescent="0.3">
      <c r="A130" s="6">
        <v>129</v>
      </c>
      <c r="B130" s="1" t="s">
        <v>363</v>
      </c>
      <c r="C130" s="1" t="s">
        <v>364</v>
      </c>
      <c r="D130" s="1" t="s">
        <v>365</v>
      </c>
      <c r="S130" s="2">
        <v>275.95</v>
      </c>
      <c r="T130" s="2">
        <v>336.17779999999999</v>
      </c>
      <c r="U130" s="2">
        <v>396.40559999999999</v>
      </c>
      <c r="V130" s="2">
        <v>456.63330000000002</v>
      </c>
      <c r="W130" s="2">
        <v>516.86109999999996</v>
      </c>
      <c r="X130" s="2">
        <v>577.08889999999997</v>
      </c>
      <c r="Y130" s="2">
        <v>637.31669999999997</v>
      </c>
      <c r="Z130" s="2">
        <v>697.5444</v>
      </c>
      <c r="AA130" s="2">
        <v>757.7722</v>
      </c>
      <c r="AB130" s="2">
        <v>818</v>
      </c>
    </row>
    <row r="131" spans="1:28" x14ac:dyDescent="0.3">
      <c r="A131" s="6">
        <v>130</v>
      </c>
      <c r="B131" s="1" t="s">
        <v>366</v>
      </c>
      <c r="C131" s="1" t="s">
        <v>367</v>
      </c>
      <c r="D131" s="1" t="s">
        <v>368</v>
      </c>
      <c r="S131" s="2">
        <v>242.85</v>
      </c>
      <c r="T131" s="2">
        <v>301.08890000000002</v>
      </c>
      <c r="U131" s="2">
        <v>359.32780000000002</v>
      </c>
      <c r="V131" s="2">
        <v>417.56670000000003</v>
      </c>
      <c r="W131" s="2">
        <v>475.80560000000003</v>
      </c>
      <c r="X131" s="2">
        <v>534.0444</v>
      </c>
      <c r="Y131" s="2">
        <v>592.28330000000005</v>
      </c>
      <c r="Z131" s="2">
        <v>650.5222</v>
      </c>
      <c r="AA131" s="2">
        <v>708.76110000000006</v>
      </c>
      <c r="AB131" s="2">
        <v>767</v>
      </c>
    </row>
    <row r="132" spans="1:28" x14ac:dyDescent="0.3">
      <c r="A132" s="6">
        <v>131</v>
      </c>
      <c r="B132" s="1" t="s">
        <v>369</v>
      </c>
      <c r="C132" s="1" t="s">
        <v>370</v>
      </c>
      <c r="D132" s="1" t="s">
        <v>371</v>
      </c>
      <c r="S132" s="2">
        <v>492.1</v>
      </c>
      <c r="T132" s="2">
        <v>526.9778</v>
      </c>
      <c r="U132" s="2">
        <v>561.85559999999998</v>
      </c>
      <c r="V132" s="2">
        <v>596.73329999999999</v>
      </c>
      <c r="W132" s="2">
        <v>631.61109999999996</v>
      </c>
      <c r="X132" s="2">
        <v>666.48889999999994</v>
      </c>
      <c r="Y132" s="2">
        <v>701.36670000000004</v>
      </c>
      <c r="Z132" s="2">
        <v>736.24440000000004</v>
      </c>
      <c r="AA132" s="2">
        <v>771.12220000000002</v>
      </c>
      <c r="AB132" s="2">
        <v>806</v>
      </c>
    </row>
    <row r="133" spans="1:28" x14ac:dyDescent="0.3">
      <c r="A133" s="6">
        <v>132</v>
      </c>
      <c r="B133" s="1" t="s">
        <v>372</v>
      </c>
      <c r="C133" s="1" t="s">
        <v>373</v>
      </c>
      <c r="D133" s="1" t="s">
        <v>374</v>
      </c>
      <c r="S133" s="2">
        <v>232.55</v>
      </c>
      <c r="T133" s="2">
        <v>268.71109999999999</v>
      </c>
      <c r="U133" s="2">
        <v>304.87220000000002</v>
      </c>
      <c r="V133" s="2">
        <v>341.0333</v>
      </c>
      <c r="W133" s="2">
        <v>377.19439999999997</v>
      </c>
      <c r="X133" s="2">
        <v>413.35559999999998</v>
      </c>
      <c r="Y133" s="2">
        <v>449.51670000000001</v>
      </c>
      <c r="Z133" s="2">
        <v>485.67779999999999</v>
      </c>
      <c r="AA133" s="2">
        <v>521.83889999999997</v>
      </c>
      <c r="AB133" s="2">
        <v>558</v>
      </c>
    </row>
    <row r="134" spans="1:28" x14ac:dyDescent="0.3">
      <c r="A134" s="6">
        <v>133</v>
      </c>
      <c r="B134" s="1" t="s">
        <v>375</v>
      </c>
      <c r="C134" s="1" t="s">
        <v>376</v>
      </c>
      <c r="D134" s="1" t="s">
        <v>377</v>
      </c>
      <c r="S134" s="2">
        <v>211.15</v>
      </c>
      <c r="T134" s="2">
        <v>250.17779999999999</v>
      </c>
      <c r="U134" s="2">
        <v>289.2056</v>
      </c>
      <c r="V134" s="2">
        <v>328.23329999999999</v>
      </c>
      <c r="W134" s="2">
        <v>367.2611</v>
      </c>
      <c r="X134" s="2">
        <v>406.28890000000001</v>
      </c>
      <c r="Y134" s="2">
        <v>445.31670000000003</v>
      </c>
      <c r="Z134" s="2">
        <v>484.34440000000001</v>
      </c>
      <c r="AA134" s="2">
        <v>523.37220000000002</v>
      </c>
      <c r="AB134" s="2">
        <v>562.4</v>
      </c>
    </row>
    <row r="135" spans="1:28" x14ac:dyDescent="0.3">
      <c r="A135" s="6">
        <v>134</v>
      </c>
      <c r="B135" s="1" t="s">
        <v>378</v>
      </c>
      <c r="C135" s="1" t="s">
        <v>379</v>
      </c>
      <c r="D135" s="1" t="s">
        <v>380</v>
      </c>
      <c r="S135" s="2">
        <v>227.69</v>
      </c>
      <c r="T135" s="2">
        <v>271.7244</v>
      </c>
      <c r="U135" s="2">
        <v>315.75889999999998</v>
      </c>
      <c r="V135" s="2">
        <v>359.79329999999999</v>
      </c>
      <c r="W135" s="2">
        <v>403.82780000000002</v>
      </c>
      <c r="X135" s="2">
        <v>447.86219999999997</v>
      </c>
      <c r="Y135" s="2">
        <v>491.89670000000001</v>
      </c>
      <c r="Z135" s="2">
        <v>535.93110000000001</v>
      </c>
      <c r="AA135" s="2">
        <v>579.96559999999999</v>
      </c>
      <c r="AB135" s="2">
        <v>624</v>
      </c>
    </row>
    <row r="136" spans="1:28" x14ac:dyDescent="0.3">
      <c r="A136" s="6">
        <v>135</v>
      </c>
      <c r="B136" s="1" t="s">
        <v>381</v>
      </c>
      <c r="C136" s="1" t="s">
        <v>382</v>
      </c>
      <c r="D136" s="1" t="s">
        <v>383</v>
      </c>
      <c r="S136" s="2">
        <v>253</v>
      </c>
      <c r="T136" s="2">
        <v>295.66669999999999</v>
      </c>
      <c r="U136" s="2">
        <v>338.33330000000001</v>
      </c>
      <c r="V136" s="2">
        <v>381</v>
      </c>
      <c r="W136" s="2">
        <v>423.66669999999999</v>
      </c>
      <c r="X136" s="2">
        <v>466.33330000000001</v>
      </c>
      <c r="Y136" s="2">
        <v>509</v>
      </c>
      <c r="Z136" s="2">
        <v>551.66669999999999</v>
      </c>
      <c r="AA136" s="2">
        <v>594.33330000000001</v>
      </c>
      <c r="AB136" s="2">
        <v>637</v>
      </c>
    </row>
    <row r="137" spans="1:28" x14ac:dyDescent="0.3">
      <c r="A137" s="6">
        <v>136</v>
      </c>
      <c r="B137" s="1" t="s">
        <v>384</v>
      </c>
      <c r="C137" s="1" t="s">
        <v>385</v>
      </c>
      <c r="D137" s="1" t="s">
        <v>386</v>
      </c>
      <c r="S137" s="2">
        <v>253</v>
      </c>
      <c r="T137" s="2">
        <v>297.22219999999999</v>
      </c>
      <c r="U137" s="2">
        <v>341.44439999999997</v>
      </c>
      <c r="V137" s="2">
        <v>385.66669999999999</v>
      </c>
      <c r="W137" s="2">
        <v>429.88889999999998</v>
      </c>
      <c r="X137" s="2">
        <v>474.11110000000002</v>
      </c>
      <c r="Y137" s="2">
        <v>518.33330000000001</v>
      </c>
      <c r="Z137" s="2">
        <v>562.55560000000003</v>
      </c>
      <c r="AA137" s="2">
        <v>606.77779999999996</v>
      </c>
      <c r="AB137" s="2">
        <v>651</v>
      </c>
    </row>
    <row r="138" spans="1:28" x14ac:dyDescent="0.3">
      <c r="A138" s="6">
        <v>137</v>
      </c>
      <c r="B138" s="1" t="s">
        <v>387</v>
      </c>
      <c r="C138" s="1" t="s">
        <v>379</v>
      </c>
      <c r="D138" s="1" t="s">
        <v>388</v>
      </c>
      <c r="F138" s="12"/>
      <c r="S138" s="2">
        <v>253</v>
      </c>
      <c r="T138" s="2">
        <v>297.22219999999999</v>
      </c>
      <c r="U138" s="2">
        <v>341.44439999999997</v>
      </c>
      <c r="V138" s="2">
        <v>385.66669999999999</v>
      </c>
      <c r="W138" s="2">
        <v>429.88889999999998</v>
      </c>
      <c r="X138" s="2">
        <v>474.11110000000002</v>
      </c>
      <c r="Y138" s="2">
        <v>518.33330000000001</v>
      </c>
      <c r="Z138" s="2">
        <v>562.55560000000003</v>
      </c>
      <c r="AA138" s="2">
        <v>606.77779999999996</v>
      </c>
      <c r="AB138" s="2">
        <v>651</v>
      </c>
    </row>
    <row r="139" spans="1:28" x14ac:dyDescent="0.3">
      <c r="A139" s="6">
        <v>138</v>
      </c>
      <c r="B139" s="1" t="s">
        <v>389</v>
      </c>
      <c r="C139" s="1" t="s">
        <v>390</v>
      </c>
      <c r="D139" s="1" t="s">
        <v>391</v>
      </c>
      <c r="S139" s="2">
        <v>253</v>
      </c>
      <c r="T139" s="2">
        <v>301</v>
      </c>
      <c r="U139" s="2">
        <v>349</v>
      </c>
      <c r="V139" s="2">
        <v>397</v>
      </c>
      <c r="W139" s="2">
        <v>445</v>
      </c>
      <c r="X139" s="2">
        <v>493</v>
      </c>
      <c r="Y139" s="2">
        <v>541</v>
      </c>
      <c r="Z139" s="2">
        <v>589</v>
      </c>
      <c r="AA139" s="2">
        <v>637</v>
      </c>
      <c r="AB139" s="2">
        <v>685</v>
      </c>
    </row>
    <row r="140" spans="1:28" x14ac:dyDescent="0.3">
      <c r="A140" s="6">
        <v>139</v>
      </c>
      <c r="B140" s="1" t="s">
        <v>392</v>
      </c>
      <c r="C140" s="1" t="s">
        <v>393</v>
      </c>
      <c r="D140" s="1" t="s">
        <v>394</v>
      </c>
      <c r="S140" s="2">
        <v>238.08</v>
      </c>
      <c r="T140" s="2">
        <v>287.40440000000001</v>
      </c>
      <c r="U140" s="2">
        <v>336.72890000000001</v>
      </c>
      <c r="V140" s="2">
        <v>386.05329999999998</v>
      </c>
      <c r="W140" s="2">
        <v>435.37779999999998</v>
      </c>
      <c r="X140" s="2">
        <v>484.7022</v>
      </c>
      <c r="Y140" s="2">
        <v>534.02670000000001</v>
      </c>
      <c r="Z140" s="2">
        <v>583.35109999999997</v>
      </c>
      <c r="AA140" s="2">
        <v>632.67560000000003</v>
      </c>
      <c r="AB140" s="2">
        <v>682</v>
      </c>
    </row>
    <row r="141" spans="1:28" x14ac:dyDescent="0.3">
      <c r="A141" s="6">
        <v>140</v>
      </c>
      <c r="B141" s="1" t="s">
        <v>395</v>
      </c>
      <c r="C141" s="1" t="s">
        <v>396</v>
      </c>
      <c r="D141" s="1" t="s">
        <v>397</v>
      </c>
      <c r="S141" s="2">
        <v>252.35</v>
      </c>
      <c r="T141" s="2">
        <v>291.31110000000001</v>
      </c>
      <c r="U141" s="2">
        <v>330.2722</v>
      </c>
      <c r="V141" s="2">
        <v>369.23329999999999</v>
      </c>
      <c r="W141" s="2">
        <v>408.19439999999997</v>
      </c>
      <c r="X141" s="2">
        <v>447.15559999999999</v>
      </c>
      <c r="Y141" s="2">
        <v>486.11669999999998</v>
      </c>
      <c r="Z141" s="2">
        <v>525.07780000000002</v>
      </c>
      <c r="AA141" s="2">
        <v>564.03890000000001</v>
      </c>
      <c r="AB141" s="2">
        <v>603</v>
      </c>
    </row>
    <row r="142" spans="1:28" x14ac:dyDescent="0.3">
      <c r="A142" s="6">
        <v>141</v>
      </c>
      <c r="B142" s="1" t="s">
        <v>398</v>
      </c>
      <c r="C142" s="1" t="s">
        <v>399</v>
      </c>
      <c r="D142" s="1" t="s">
        <v>400</v>
      </c>
      <c r="S142" s="2">
        <v>224.25</v>
      </c>
      <c r="T142" s="2">
        <v>265.22219999999999</v>
      </c>
      <c r="U142" s="2">
        <v>306.19439999999997</v>
      </c>
      <c r="V142" s="2">
        <v>347.16669999999999</v>
      </c>
      <c r="W142" s="2">
        <v>388.13889999999998</v>
      </c>
      <c r="X142" s="2">
        <v>429.11110000000002</v>
      </c>
      <c r="Y142" s="2">
        <v>470.08330000000001</v>
      </c>
      <c r="Z142" s="2">
        <v>511.05560000000003</v>
      </c>
      <c r="AA142" s="2">
        <v>552.02779999999996</v>
      </c>
      <c r="AB142" s="2">
        <v>593</v>
      </c>
    </row>
    <row r="143" spans="1:28" x14ac:dyDescent="0.3">
      <c r="A143" s="6">
        <v>142</v>
      </c>
      <c r="B143" s="1" t="s">
        <v>401</v>
      </c>
      <c r="C143" s="1" t="s">
        <v>402</v>
      </c>
      <c r="D143" s="1" t="s">
        <v>403</v>
      </c>
      <c r="S143" s="2">
        <v>249.37</v>
      </c>
      <c r="T143" s="2">
        <v>290.44</v>
      </c>
      <c r="U143" s="2">
        <v>331.51</v>
      </c>
      <c r="V143" s="2">
        <v>372.58</v>
      </c>
      <c r="W143" s="2">
        <v>413.65</v>
      </c>
      <c r="X143" s="2">
        <v>454.72</v>
      </c>
      <c r="Y143" s="2">
        <v>495.79</v>
      </c>
      <c r="Z143" s="2">
        <v>536.86</v>
      </c>
      <c r="AA143" s="2">
        <v>577.92999999999995</v>
      </c>
      <c r="AB143" s="2">
        <v>619</v>
      </c>
    </row>
    <row r="144" spans="1:28" x14ac:dyDescent="0.3">
      <c r="A144" s="6">
        <v>143</v>
      </c>
      <c r="B144" s="1" t="s">
        <v>404</v>
      </c>
      <c r="C144" s="1" t="s">
        <v>405</v>
      </c>
      <c r="D144" s="1" t="s">
        <v>406</v>
      </c>
      <c r="S144" s="2">
        <v>249.37</v>
      </c>
      <c r="T144" s="2">
        <v>293.55110000000002</v>
      </c>
      <c r="U144" s="2">
        <v>337.73219999999998</v>
      </c>
      <c r="V144" s="2">
        <v>381.91329999999999</v>
      </c>
      <c r="W144" s="2">
        <v>426.09440000000001</v>
      </c>
      <c r="X144" s="2">
        <v>470.2756</v>
      </c>
      <c r="Y144" s="2">
        <v>514.45669999999996</v>
      </c>
      <c r="Z144" s="2">
        <v>558.63779999999997</v>
      </c>
      <c r="AA144" s="2">
        <v>602.81889999999999</v>
      </c>
      <c r="AB144" s="2">
        <v>647</v>
      </c>
    </row>
    <row r="145" spans="1:28" x14ac:dyDescent="0.3">
      <c r="A145" s="6">
        <v>144</v>
      </c>
      <c r="B145" s="1" t="s">
        <v>407</v>
      </c>
      <c r="C145" s="1" t="s">
        <v>379</v>
      </c>
      <c r="D145" s="1" t="s">
        <v>408</v>
      </c>
      <c r="S145" s="2">
        <v>249.37</v>
      </c>
      <c r="T145" s="2">
        <v>292.10669999999999</v>
      </c>
      <c r="U145" s="2">
        <v>334.8433</v>
      </c>
      <c r="V145" s="2">
        <v>377.58</v>
      </c>
      <c r="W145" s="2">
        <v>420.31670000000003</v>
      </c>
      <c r="X145" s="2">
        <v>463.05329999999998</v>
      </c>
      <c r="Y145" s="2">
        <v>505.79</v>
      </c>
      <c r="Z145" s="2">
        <v>548.52670000000001</v>
      </c>
      <c r="AA145" s="2">
        <v>591.26329999999996</v>
      </c>
      <c r="AB145" s="2">
        <v>634</v>
      </c>
    </row>
    <row r="146" spans="1:28" x14ac:dyDescent="0.3">
      <c r="A146" s="6">
        <v>145</v>
      </c>
      <c r="B146" s="1" t="s">
        <v>409</v>
      </c>
      <c r="C146" s="1" t="s">
        <v>390</v>
      </c>
      <c r="D146" s="1" t="s">
        <v>410</v>
      </c>
      <c r="S146" s="2">
        <v>249.37</v>
      </c>
      <c r="T146" s="2">
        <v>296.21780000000001</v>
      </c>
      <c r="U146" s="2">
        <v>343.06560000000002</v>
      </c>
      <c r="V146" s="2">
        <v>389.91329999999999</v>
      </c>
      <c r="W146" s="2">
        <v>436.7611</v>
      </c>
      <c r="X146" s="2">
        <v>483.60890000000001</v>
      </c>
      <c r="Y146" s="2">
        <v>530.45669999999996</v>
      </c>
      <c r="Z146" s="2">
        <v>577.30439999999999</v>
      </c>
      <c r="AA146" s="2">
        <v>624.15219999999999</v>
      </c>
      <c r="AB146" s="2">
        <v>671</v>
      </c>
    </row>
    <row r="147" spans="1:28" x14ac:dyDescent="0.3">
      <c r="A147" s="6">
        <v>146</v>
      </c>
      <c r="B147" s="1" t="s">
        <v>411</v>
      </c>
      <c r="C147" s="1" t="s">
        <v>412</v>
      </c>
      <c r="D147" s="1" t="s">
        <v>413</v>
      </c>
      <c r="S147" s="2">
        <v>249.37</v>
      </c>
      <c r="T147" s="2">
        <v>294.88440000000003</v>
      </c>
      <c r="U147" s="2">
        <v>340.39890000000003</v>
      </c>
      <c r="V147" s="2">
        <v>385.91329999999999</v>
      </c>
      <c r="W147" s="2">
        <v>431.42779999999999</v>
      </c>
      <c r="X147" s="2">
        <v>476.94220000000001</v>
      </c>
      <c r="Y147" s="2">
        <v>522.45669999999996</v>
      </c>
      <c r="Z147" s="2">
        <v>567.97109999999998</v>
      </c>
      <c r="AA147" s="2">
        <v>613.48559999999998</v>
      </c>
      <c r="AB147" s="2">
        <v>659</v>
      </c>
    </row>
    <row r="148" spans="1:28" x14ac:dyDescent="0.3">
      <c r="A148" s="6">
        <v>147</v>
      </c>
      <c r="B148" s="1" t="s">
        <v>414</v>
      </c>
      <c r="C148" s="1" t="s">
        <v>415</v>
      </c>
      <c r="D148" s="1" t="s">
        <v>416</v>
      </c>
      <c r="S148" s="2">
        <v>249.37</v>
      </c>
      <c r="T148" s="2">
        <v>298.77330000000001</v>
      </c>
      <c r="U148" s="2">
        <v>348.17669999999998</v>
      </c>
      <c r="V148" s="2">
        <v>397.58</v>
      </c>
      <c r="W148" s="2">
        <v>446.98329999999999</v>
      </c>
      <c r="X148" s="2">
        <v>496.38670000000002</v>
      </c>
      <c r="Y148" s="2">
        <v>545.79</v>
      </c>
      <c r="Z148" s="2">
        <v>595.19330000000002</v>
      </c>
      <c r="AA148" s="2">
        <v>644.59670000000006</v>
      </c>
      <c r="AB148" s="2">
        <v>694</v>
      </c>
    </row>
    <row r="149" spans="1:28" x14ac:dyDescent="0.3">
      <c r="A149" s="6">
        <v>148</v>
      </c>
      <c r="B149" s="1" t="s">
        <v>417</v>
      </c>
      <c r="C149" s="1" t="s">
        <v>418</v>
      </c>
      <c r="D149" s="1" t="s">
        <v>419</v>
      </c>
      <c r="S149" s="2">
        <v>244.27</v>
      </c>
      <c r="T149" s="2">
        <v>295.4622</v>
      </c>
      <c r="U149" s="2">
        <v>346.65440000000001</v>
      </c>
      <c r="V149" s="2">
        <v>397.8467</v>
      </c>
      <c r="W149" s="2">
        <v>449.03890000000001</v>
      </c>
      <c r="X149" s="2">
        <v>500.23110000000003</v>
      </c>
      <c r="Y149" s="2">
        <v>551.42330000000004</v>
      </c>
      <c r="Z149" s="2">
        <v>602.61559999999997</v>
      </c>
      <c r="AA149" s="2">
        <v>653.80780000000004</v>
      </c>
      <c r="AB149" s="2">
        <v>705</v>
      </c>
    </row>
    <row r="150" spans="1:28" x14ac:dyDescent="0.3">
      <c r="A150" s="6">
        <v>149</v>
      </c>
      <c r="B150" s="1" t="s">
        <v>420</v>
      </c>
      <c r="C150" s="1" t="s">
        <v>421</v>
      </c>
      <c r="D150" s="1" t="s">
        <v>422</v>
      </c>
      <c r="S150" s="2">
        <v>247.571</v>
      </c>
      <c r="T150" s="2">
        <v>284.39640000000003</v>
      </c>
      <c r="U150" s="2">
        <v>321.22190000000001</v>
      </c>
      <c r="V150" s="2">
        <v>358.04730000000001</v>
      </c>
      <c r="W150" s="2">
        <v>394.87279999999998</v>
      </c>
      <c r="X150" s="2">
        <v>431.69819999999999</v>
      </c>
      <c r="Y150" s="2">
        <v>468.52370000000002</v>
      </c>
      <c r="Z150" s="2">
        <v>505.34910000000002</v>
      </c>
      <c r="AA150" s="2">
        <v>542.17460000000005</v>
      </c>
      <c r="AB150" s="2">
        <v>579</v>
      </c>
    </row>
    <row r="151" spans="1:28" x14ac:dyDescent="0.3">
      <c r="A151" s="6">
        <v>150</v>
      </c>
      <c r="B151" s="1" t="s">
        <v>423</v>
      </c>
      <c r="C151" s="1" t="s">
        <v>424</v>
      </c>
      <c r="D151" s="1" t="s">
        <v>425</v>
      </c>
      <c r="S151" s="2">
        <v>263.56799999999998</v>
      </c>
      <c r="T151" s="2">
        <v>300.72710000000001</v>
      </c>
      <c r="U151" s="2">
        <v>337.88619999999997</v>
      </c>
      <c r="V151" s="2">
        <v>375.0453</v>
      </c>
      <c r="W151" s="2">
        <v>412.20440000000002</v>
      </c>
      <c r="X151" s="2">
        <v>449.36360000000002</v>
      </c>
      <c r="Y151" s="2">
        <v>486.52269999999999</v>
      </c>
      <c r="Z151" s="2">
        <v>523.68179999999995</v>
      </c>
      <c r="AA151" s="2">
        <v>560.84090000000003</v>
      </c>
      <c r="AB151" s="2">
        <v>598</v>
      </c>
    </row>
    <row r="152" spans="1:28" x14ac:dyDescent="0.3">
      <c r="A152" s="6">
        <v>151</v>
      </c>
      <c r="B152" s="1" t="s">
        <v>426</v>
      </c>
      <c r="C152" s="1" t="s">
        <v>427</v>
      </c>
      <c r="D152" s="1" t="s">
        <v>428</v>
      </c>
      <c r="S152" s="2">
        <v>267.76</v>
      </c>
      <c r="T152" s="2">
        <v>306.34219999999999</v>
      </c>
      <c r="U152" s="2">
        <v>344.92439999999999</v>
      </c>
      <c r="V152" s="2">
        <v>383.50670000000002</v>
      </c>
      <c r="W152" s="2">
        <v>422.08890000000002</v>
      </c>
      <c r="X152" s="2">
        <v>460.67110000000002</v>
      </c>
      <c r="Y152" s="2">
        <v>499.25330000000002</v>
      </c>
      <c r="Z152" s="2">
        <v>537.8356</v>
      </c>
      <c r="AA152" s="2">
        <v>576.41780000000006</v>
      </c>
      <c r="AB152" s="2">
        <v>615</v>
      </c>
    </row>
    <row r="153" spans="1:28" x14ac:dyDescent="0.3">
      <c r="A153" s="6">
        <v>152</v>
      </c>
      <c r="B153" s="1" t="s">
        <v>429</v>
      </c>
      <c r="C153" s="1" t="s">
        <v>430</v>
      </c>
      <c r="D153" s="1" t="s">
        <v>431</v>
      </c>
      <c r="S153" s="2">
        <v>279.01</v>
      </c>
      <c r="T153" s="2">
        <v>318.34219999999999</v>
      </c>
      <c r="U153" s="2">
        <v>357.67439999999999</v>
      </c>
      <c r="V153" s="2">
        <v>397.00670000000002</v>
      </c>
      <c r="W153" s="2">
        <v>436.33890000000002</v>
      </c>
      <c r="X153" s="2">
        <v>475.67110000000002</v>
      </c>
      <c r="Y153" s="2">
        <v>515.00329999999997</v>
      </c>
      <c r="Z153" s="2">
        <v>554.3356</v>
      </c>
      <c r="AA153" s="2">
        <v>593.66780000000006</v>
      </c>
      <c r="AB153" s="2">
        <v>633</v>
      </c>
    </row>
    <row r="154" spans="1:28" x14ac:dyDescent="0.3">
      <c r="A154" s="6">
        <v>153</v>
      </c>
      <c r="B154" s="1" t="s">
        <v>432</v>
      </c>
      <c r="C154" s="1" t="s">
        <v>433</v>
      </c>
      <c r="D154" s="1" t="s">
        <v>434</v>
      </c>
      <c r="S154" s="2">
        <v>283.072</v>
      </c>
      <c r="T154" s="2">
        <v>323.61959999999999</v>
      </c>
      <c r="U154" s="2">
        <v>364.1671</v>
      </c>
      <c r="V154" s="2">
        <v>404.71469999999999</v>
      </c>
      <c r="W154" s="2">
        <v>445.26220000000001</v>
      </c>
      <c r="X154" s="2">
        <v>485.8098</v>
      </c>
      <c r="Y154" s="2">
        <v>526.35730000000001</v>
      </c>
      <c r="Z154" s="2">
        <v>566.9049</v>
      </c>
      <c r="AA154" s="2">
        <v>607.45240000000001</v>
      </c>
      <c r="AB154" s="2">
        <v>648</v>
      </c>
    </row>
    <row r="155" spans="1:28" x14ac:dyDescent="0.3">
      <c r="A155" s="6">
        <v>154</v>
      </c>
      <c r="B155" s="1" t="s">
        <v>435</v>
      </c>
      <c r="C155" s="1" t="s">
        <v>436</v>
      </c>
      <c r="D155" s="1" t="s">
        <v>437</v>
      </c>
      <c r="S155" s="2">
        <v>291.30799999999999</v>
      </c>
      <c r="T155" s="2">
        <v>332.49599999999998</v>
      </c>
      <c r="U155" s="2">
        <v>373.68400000000003</v>
      </c>
      <c r="V155" s="2">
        <v>414.87200000000001</v>
      </c>
      <c r="W155" s="2">
        <v>456.06</v>
      </c>
      <c r="X155" s="2">
        <v>497.24799999999999</v>
      </c>
      <c r="Y155" s="2">
        <v>538.43600000000004</v>
      </c>
      <c r="Z155" s="2">
        <v>579.62400000000002</v>
      </c>
      <c r="AA155" s="2">
        <v>620.81200000000001</v>
      </c>
      <c r="AB155" s="2">
        <v>662</v>
      </c>
    </row>
    <row r="156" spans="1:28" x14ac:dyDescent="0.3">
      <c r="A156" s="6">
        <v>155</v>
      </c>
      <c r="B156" s="1" t="s">
        <v>438</v>
      </c>
      <c r="C156" s="1" t="s">
        <v>439</v>
      </c>
      <c r="D156" s="1" t="s">
        <v>440</v>
      </c>
      <c r="S156" s="2">
        <v>313.35000000000002</v>
      </c>
      <c r="T156" s="2">
        <v>358.64440000000002</v>
      </c>
      <c r="U156" s="2">
        <v>403.93889999999999</v>
      </c>
      <c r="V156" s="2">
        <v>449.23329999999999</v>
      </c>
      <c r="W156" s="2">
        <v>494.52780000000001</v>
      </c>
      <c r="X156" s="2">
        <v>539.82219999999995</v>
      </c>
      <c r="Y156" s="2">
        <v>585.11670000000004</v>
      </c>
      <c r="Z156" s="2">
        <v>630.41110000000003</v>
      </c>
      <c r="AA156" s="2">
        <v>675.7056</v>
      </c>
      <c r="AB156" s="2">
        <v>721</v>
      </c>
    </row>
    <row r="157" spans="1:28" x14ac:dyDescent="0.3">
      <c r="A157" s="6">
        <v>156</v>
      </c>
      <c r="B157" s="1" t="s">
        <v>441</v>
      </c>
      <c r="C157" s="1" t="s">
        <v>442</v>
      </c>
      <c r="D157" s="1" t="s">
        <v>443</v>
      </c>
      <c r="S157" s="2">
        <v>317.14999999999998</v>
      </c>
      <c r="T157" s="2">
        <v>363.12220000000002</v>
      </c>
      <c r="U157" s="2">
        <v>409.09440000000001</v>
      </c>
      <c r="V157" s="2">
        <v>455.06670000000003</v>
      </c>
      <c r="W157" s="2">
        <v>501.03890000000001</v>
      </c>
      <c r="X157" s="2">
        <v>547.01110000000006</v>
      </c>
      <c r="Y157" s="2">
        <v>592.98329999999999</v>
      </c>
      <c r="Z157" s="2">
        <v>638.9556</v>
      </c>
      <c r="AA157" s="2">
        <v>684.92780000000005</v>
      </c>
      <c r="AB157" s="2">
        <v>730.9</v>
      </c>
    </row>
    <row r="158" spans="1:28" x14ac:dyDescent="0.3">
      <c r="A158" s="6">
        <v>157</v>
      </c>
      <c r="B158" s="1" t="s">
        <v>444</v>
      </c>
      <c r="C158" s="1" t="s">
        <v>445</v>
      </c>
      <c r="D158" s="1" t="s">
        <v>446</v>
      </c>
      <c r="S158" s="2">
        <v>320.64999999999998</v>
      </c>
      <c r="T158" s="2">
        <v>367.27780000000001</v>
      </c>
      <c r="U158" s="2">
        <v>413.90559999999999</v>
      </c>
      <c r="V158" s="2">
        <v>460.5333</v>
      </c>
      <c r="W158" s="2">
        <v>507.16109999999998</v>
      </c>
      <c r="X158" s="2">
        <v>553.78890000000001</v>
      </c>
      <c r="Y158" s="2">
        <v>600.41669999999999</v>
      </c>
      <c r="Z158" s="2">
        <v>647.0444</v>
      </c>
      <c r="AA158" s="2">
        <v>693.67219999999998</v>
      </c>
      <c r="AB158" s="2">
        <v>740.3</v>
      </c>
    </row>
    <row r="159" spans="1:28" x14ac:dyDescent="0.3">
      <c r="A159" s="6">
        <v>158</v>
      </c>
      <c r="B159" s="1" t="s">
        <v>447</v>
      </c>
      <c r="C159" s="1" t="s">
        <v>448</v>
      </c>
      <c r="D159" s="1" t="s">
        <v>449</v>
      </c>
      <c r="S159" s="2">
        <v>323.75</v>
      </c>
      <c r="T159" s="2">
        <v>371.0333</v>
      </c>
      <c r="U159" s="2">
        <v>418.31670000000003</v>
      </c>
      <c r="V159" s="2">
        <v>465.6</v>
      </c>
      <c r="W159" s="2">
        <v>512.88329999999996</v>
      </c>
      <c r="X159" s="2">
        <v>560.16669999999999</v>
      </c>
      <c r="Y159" s="2">
        <v>607.45000000000005</v>
      </c>
      <c r="Z159" s="2">
        <v>654.73329999999999</v>
      </c>
      <c r="AA159" s="2">
        <v>702.01670000000001</v>
      </c>
      <c r="AB159" s="2">
        <v>749.3</v>
      </c>
    </row>
    <row r="160" spans="1:28" x14ac:dyDescent="0.3">
      <c r="A160" s="6">
        <v>159</v>
      </c>
      <c r="B160" s="1" t="s">
        <v>450</v>
      </c>
      <c r="C160" s="1" t="s">
        <v>451</v>
      </c>
      <c r="D160" s="1" t="s">
        <v>452</v>
      </c>
      <c r="S160" s="2">
        <v>279.69</v>
      </c>
      <c r="T160" s="2">
        <v>303.48</v>
      </c>
      <c r="U160" s="2">
        <v>327.27</v>
      </c>
      <c r="V160" s="2">
        <v>351.06</v>
      </c>
      <c r="W160" s="2">
        <v>374.85</v>
      </c>
      <c r="X160" s="2">
        <v>398.64</v>
      </c>
      <c r="Y160" s="2">
        <v>422.43</v>
      </c>
      <c r="Z160" s="2">
        <v>446.22</v>
      </c>
      <c r="AA160" s="2">
        <v>470.01</v>
      </c>
      <c r="AB160" s="2">
        <v>493.8</v>
      </c>
    </row>
    <row r="161" spans="1:28" x14ac:dyDescent="0.3">
      <c r="A161" s="6">
        <v>160</v>
      </c>
      <c r="B161" s="1" t="s">
        <v>453</v>
      </c>
      <c r="C161" s="1" t="s">
        <v>454</v>
      </c>
      <c r="D161" s="1" t="s">
        <v>455</v>
      </c>
      <c r="S161" s="2">
        <v>283.83999999999997</v>
      </c>
      <c r="T161" s="2">
        <v>321.41329999999999</v>
      </c>
      <c r="U161" s="2">
        <v>358.98669999999998</v>
      </c>
      <c r="V161" s="2">
        <v>396.56</v>
      </c>
      <c r="W161" s="2">
        <v>434.13330000000002</v>
      </c>
      <c r="X161" s="2">
        <v>471.70670000000001</v>
      </c>
      <c r="Y161" s="2">
        <v>509.28</v>
      </c>
      <c r="Z161" s="2">
        <v>546.85329999999999</v>
      </c>
      <c r="AA161" s="2">
        <v>584.42669999999998</v>
      </c>
      <c r="AB161" s="2">
        <v>622</v>
      </c>
    </row>
    <row r="162" spans="1:28" x14ac:dyDescent="0.3">
      <c r="A162" s="6">
        <v>161</v>
      </c>
      <c r="B162" s="1" t="s">
        <v>456</v>
      </c>
      <c r="C162" s="1" t="s">
        <v>457</v>
      </c>
      <c r="D162" s="1" t="s">
        <v>458</v>
      </c>
      <c r="S162" s="2">
        <v>283.5</v>
      </c>
      <c r="T162" s="2">
        <v>324.11110000000002</v>
      </c>
      <c r="U162" s="2">
        <v>364.72219999999999</v>
      </c>
      <c r="V162" s="2">
        <v>405.33330000000001</v>
      </c>
      <c r="W162" s="2">
        <v>445.94439999999997</v>
      </c>
      <c r="X162" s="2">
        <v>486.55560000000003</v>
      </c>
      <c r="Y162" s="2">
        <v>527.16669999999999</v>
      </c>
      <c r="Z162" s="2">
        <v>567.77779999999996</v>
      </c>
      <c r="AA162" s="2">
        <v>608.38890000000004</v>
      </c>
      <c r="AB162" s="2">
        <v>649</v>
      </c>
    </row>
    <row r="163" spans="1:28" x14ac:dyDescent="0.3">
      <c r="A163" s="6">
        <v>162</v>
      </c>
      <c r="B163" s="1" t="s">
        <v>459</v>
      </c>
      <c r="C163" s="1" t="s">
        <v>460</v>
      </c>
      <c r="D163" s="1" t="s">
        <v>461</v>
      </c>
      <c r="S163" s="2">
        <v>251.47</v>
      </c>
      <c r="T163" s="2">
        <v>298.19560000000001</v>
      </c>
      <c r="U163" s="2">
        <v>344.92110000000002</v>
      </c>
      <c r="V163" s="2">
        <v>391.64670000000001</v>
      </c>
      <c r="W163" s="2">
        <v>438.37220000000002</v>
      </c>
      <c r="X163" s="2">
        <v>485.09780000000001</v>
      </c>
      <c r="Y163" s="2">
        <v>531.82330000000002</v>
      </c>
      <c r="Z163" s="2">
        <v>578.5489</v>
      </c>
      <c r="AA163" s="2">
        <v>625.27440000000001</v>
      </c>
      <c r="AB163" s="2">
        <v>672</v>
      </c>
    </row>
    <row r="164" spans="1:28" x14ac:dyDescent="0.3">
      <c r="A164" s="6">
        <v>163</v>
      </c>
      <c r="B164" s="1" t="s">
        <v>462</v>
      </c>
      <c r="C164" s="1" t="s">
        <v>463</v>
      </c>
      <c r="D164" s="1" t="s">
        <v>464</v>
      </c>
      <c r="S164" s="2">
        <v>333.99</v>
      </c>
      <c r="T164" s="2">
        <v>374.10219999999998</v>
      </c>
      <c r="U164" s="2">
        <v>414.21440000000001</v>
      </c>
      <c r="V164" s="2">
        <v>454.32670000000002</v>
      </c>
      <c r="W164" s="2">
        <v>494.43889999999999</v>
      </c>
      <c r="X164" s="2">
        <v>534.55110000000002</v>
      </c>
      <c r="Y164" s="2">
        <v>574.66330000000005</v>
      </c>
      <c r="Z164" s="2">
        <v>614.77560000000005</v>
      </c>
      <c r="AA164" s="2">
        <v>654.88779999999997</v>
      </c>
      <c r="AB164" s="2">
        <v>695</v>
      </c>
    </row>
    <row r="165" spans="1:28" x14ac:dyDescent="0.3">
      <c r="A165" s="6">
        <v>164</v>
      </c>
      <c r="B165" s="1" t="s">
        <v>465</v>
      </c>
      <c r="C165" s="1" t="s">
        <v>466</v>
      </c>
      <c r="D165" s="1" t="s">
        <v>467</v>
      </c>
      <c r="S165" s="2">
        <v>185.3</v>
      </c>
      <c r="T165" s="2">
        <v>231.4333</v>
      </c>
      <c r="U165" s="2">
        <v>277.56670000000003</v>
      </c>
      <c r="V165" s="2">
        <v>323.7</v>
      </c>
      <c r="W165" s="2">
        <v>369.83330000000001</v>
      </c>
      <c r="X165" s="2">
        <v>415.9667</v>
      </c>
      <c r="Y165" s="2">
        <v>462.1</v>
      </c>
      <c r="Z165" s="2">
        <v>508.23329999999999</v>
      </c>
      <c r="AA165" s="2">
        <v>554.36670000000004</v>
      </c>
      <c r="AB165" s="2">
        <v>600.5</v>
      </c>
    </row>
    <row r="166" spans="1:28" x14ac:dyDescent="0.3">
      <c r="A166" s="6">
        <v>165</v>
      </c>
      <c r="B166" s="1" t="s">
        <v>468</v>
      </c>
      <c r="C166" s="1" t="s">
        <v>469</v>
      </c>
      <c r="D166" s="1" t="s">
        <v>470</v>
      </c>
      <c r="S166" s="2">
        <v>198.15</v>
      </c>
      <c r="T166" s="2">
        <v>245.0111</v>
      </c>
      <c r="U166" s="2">
        <v>291.87220000000002</v>
      </c>
      <c r="V166" s="2">
        <v>338.73329999999999</v>
      </c>
      <c r="W166" s="2">
        <v>385.59440000000001</v>
      </c>
      <c r="X166" s="2">
        <v>432.4556</v>
      </c>
      <c r="Y166" s="2">
        <v>479.31670000000003</v>
      </c>
      <c r="Z166" s="2">
        <v>526.17780000000005</v>
      </c>
      <c r="AA166" s="2">
        <v>573.03890000000001</v>
      </c>
      <c r="AB166" s="2">
        <v>619.9</v>
      </c>
    </row>
    <row r="167" spans="1:28" x14ac:dyDescent="0.3">
      <c r="A167" s="6">
        <v>166</v>
      </c>
      <c r="B167" s="1" t="s">
        <v>471</v>
      </c>
      <c r="C167" s="1" t="s">
        <v>472</v>
      </c>
      <c r="D167" s="1" t="s">
        <v>473</v>
      </c>
      <c r="S167" s="2">
        <v>212</v>
      </c>
      <c r="T167" s="2">
        <v>259.33330000000001</v>
      </c>
      <c r="U167" s="2">
        <v>306.66669999999999</v>
      </c>
      <c r="V167" s="2">
        <v>354</v>
      </c>
      <c r="W167" s="2">
        <v>401.33330000000001</v>
      </c>
      <c r="X167" s="2">
        <v>448.66669999999999</v>
      </c>
      <c r="Y167" s="2">
        <v>496</v>
      </c>
      <c r="Z167" s="2">
        <v>543.33330000000001</v>
      </c>
      <c r="AA167" s="2">
        <v>590.66669999999999</v>
      </c>
      <c r="AB167" s="2">
        <v>638</v>
      </c>
    </row>
    <row r="168" spans="1:28" x14ac:dyDescent="0.3">
      <c r="A168" s="6">
        <v>167</v>
      </c>
      <c r="B168" s="1" t="s">
        <v>474</v>
      </c>
      <c r="C168" s="1" t="s">
        <v>475</v>
      </c>
      <c r="D168" s="1" t="s">
        <v>476</v>
      </c>
      <c r="S168" s="2">
        <v>225.15</v>
      </c>
      <c r="T168" s="2">
        <v>272.8</v>
      </c>
      <c r="U168" s="2">
        <v>320.45</v>
      </c>
      <c r="V168" s="2">
        <v>368.1</v>
      </c>
      <c r="W168" s="2">
        <v>415.75</v>
      </c>
      <c r="X168" s="2">
        <v>463.4</v>
      </c>
      <c r="Y168" s="2">
        <v>511.05</v>
      </c>
      <c r="Z168" s="2">
        <v>558.70000000000005</v>
      </c>
      <c r="AA168" s="2">
        <v>606.35</v>
      </c>
      <c r="AB168" s="2">
        <v>654</v>
      </c>
    </row>
    <row r="169" spans="1:28" x14ac:dyDescent="0.3">
      <c r="A169" s="6">
        <v>168</v>
      </c>
      <c r="B169" s="1" t="s">
        <v>477</v>
      </c>
      <c r="C169" s="1" t="s">
        <v>478</v>
      </c>
      <c r="D169" s="1" t="s">
        <v>479</v>
      </c>
      <c r="S169" s="2">
        <v>237.15</v>
      </c>
      <c r="T169" s="2">
        <v>285.13330000000002</v>
      </c>
      <c r="U169" s="2">
        <v>333.11669999999998</v>
      </c>
      <c r="V169" s="2">
        <v>381.1</v>
      </c>
      <c r="W169" s="2">
        <v>429.08330000000001</v>
      </c>
      <c r="X169" s="2">
        <v>477.06670000000003</v>
      </c>
      <c r="Y169" s="2">
        <v>525.04999999999995</v>
      </c>
      <c r="Z169" s="2">
        <v>573.03330000000005</v>
      </c>
      <c r="AA169" s="2">
        <v>621.01670000000001</v>
      </c>
      <c r="AB169" s="2">
        <v>669</v>
      </c>
    </row>
    <row r="170" spans="1:28" x14ac:dyDescent="0.3">
      <c r="A170" s="6">
        <v>169</v>
      </c>
      <c r="B170" s="1" t="s">
        <v>480</v>
      </c>
      <c r="C170" s="1" t="s">
        <v>481</v>
      </c>
      <c r="D170" s="1" t="s">
        <v>482</v>
      </c>
      <c r="S170" s="2">
        <v>351.9</v>
      </c>
      <c r="T170" s="2">
        <v>400.4667</v>
      </c>
      <c r="U170" s="2">
        <v>449.0333</v>
      </c>
      <c r="V170" s="2">
        <v>497.6</v>
      </c>
      <c r="W170" s="2">
        <v>546.16669999999999</v>
      </c>
      <c r="X170" s="2">
        <v>594.73329999999999</v>
      </c>
      <c r="Y170" s="2">
        <v>643.29999999999995</v>
      </c>
      <c r="Z170" s="2">
        <v>691.86670000000004</v>
      </c>
      <c r="AA170" s="2">
        <v>740.43330000000003</v>
      </c>
      <c r="AB170" s="2">
        <v>789</v>
      </c>
    </row>
    <row r="171" spans="1:28" x14ac:dyDescent="0.3">
      <c r="A171" s="6">
        <v>170</v>
      </c>
      <c r="B171" s="1" t="s">
        <v>483</v>
      </c>
      <c r="C171" s="1" t="s">
        <v>484</v>
      </c>
      <c r="D171" s="1" t="s">
        <v>485</v>
      </c>
      <c r="S171" s="2">
        <v>308.2</v>
      </c>
      <c r="T171" s="2">
        <v>362.5</v>
      </c>
      <c r="U171" s="2">
        <v>416.8</v>
      </c>
      <c r="V171" s="2">
        <v>471.1</v>
      </c>
      <c r="W171" s="2">
        <v>525.4</v>
      </c>
      <c r="X171" s="2">
        <v>579.70000000000005</v>
      </c>
      <c r="Y171" s="2">
        <v>634</v>
      </c>
      <c r="Z171" s="2">
        <v>688.3</v>
      </c>
      <c r="AA171" s="2">
        <v>742.6</v>
      </c>
      <c r="AB171" s="2">
        <v>796.9</v>
      </c>
    </row>
    <row r="172" spans="1:28" x14ac:dyDescent="0.3">
      <c r="A172" s="6">
        <v>171</v>
      </c>
      <c r="B172" s="1" t="s">
        <v>486</v>
      </c>
      <c r="C172" s="1" t="s">
        <v>487</v>
      </c>
      <c r="D172" s="1" t="s">
        <v>488</v>
      </c>
      <c r="S172" s="2">
        <v>349.65</v>
      </c>
      <c r="T172" s="2">
        <v>396.6</v>
      </c>
      <c r="U172" s="2">
        <v>443.55</v>
      </c>
      <c r="V172" s="2">
        <v>490.5</v>
      </c>
      <c r="W172" s="2">
        <v>537.45000000000005</v>
      </c>
      <c r="X172" s="2">
        <v>584.4</v>
      </c>
      <c r="Y172" s="2">
        <v>631.35</v>
      </c>
      <c r="Z172" s="2">
        <v>678.3</v>
      </c>
      <c r="AA172" s="2">
        <v>725.25</v>
      </c>
      <c r="AB172" s="2">
        <v>772.2</v>
      </c>
    </row>
    <row r="173" spans="1:28" x14ac:dyDescent="0.3">
      <c r="A173" s="6">
        <v>172</v>
      </c>
      <c r="B173" s="1" t="s">
        <v>489</v>
      </c>
      <c r="C173" s="1" t="s">
        <v>490</v>
      </c>
      <c r="D173" s="1" t="s">
        <v>491</v>
      </c>
      <c r="F173" s="12"/>
      <c r="S173" s="2">
        <v>298.55</v>
      </c>
      <c r="T173" s="2">
        <v>360.4889</v>
      </c>
      <c r="U173" s="2">
        <v>422.42779999999999</v>
      </c>
      <c r="V173" s="2">
        <v>484.36669999999998</v>
      </c>
      <c r="W173" s="2">
        <v>546.30560000000003</v>
      </c>
      <c r="X173" s="2">
        <v>608.24440000000004</v>
      </c>
      <c r="Y173" s="2">
        <v>670.18330000000003</v>
      </c>
      <c r="Z173" s="2">
        <v>732.12220000000002</v>
      </c>
      <c r="AA173" s="2">
        <v>794.06110000000001</v>
      </c>
      <c r="AB173" s="2">
        <v>856</v>
      </c>
    </row>
    <row r="174" spans="1:28" x14ac:dyDescent="0.3">
      <c r="A174" s="6">
        <v>173</v>
      </c>
      <c r="B174" s="1" t="s">
        <v>492</v>
      </c>
      <c r="C174" s="1" t="s">
        <v>493</v>
      </c>
      <c r="D174" s="1" t="s">
        <v>494</v>
      </c>
      <c r="S174" s="2">
        <v>369.43</v>
      </c>
      <c r="T174" s="2">
        <v>415.49329999999998</v>
      </c>
      <c r="U174" s="2">
        <v>461.55669999999998</v>
      </c>
      <c r="V174" s="2">
        <v>507.62</v>
      </c>
      <c r="W174" s="2">
        <v>553.68330000000003</v>
      </c>
      <c r="X174" s="2">
        <v>599.74670000000003</v>
      </c>
      <c r="Y174" s="2">
        <v>645.80999999999995</v>
      </c>
      <c r="Z174" s="2">
        <v>691.87329999999997</v>
      </c>
      <c r="AA174" s="2">
        <v>737.93669999999997</v>
      </c>
      <c r="AB174" s="2">
        <v>784</v>
      </c>
    </row>
    <row r="175" spans="1:28" x14ac:dyDescent="0.3">
      <c r="A175" s="6">
        <v>174</v>
      </c>
      <c r="B175" s="1" t="s">
        <v>495</v>
      </c>
      <c r="C175" s="1" t="s">
        <v>496</v>
      </c>
      <c r="D175" s="1" t="s">
        <v>497</v>
      </c>
      <c r="F175" s="12"/>
      <c r="S175" s="2">
        <v>344.82</v>
      </c>
      <c r="T175" s="2">
        <v>401.84</v>
      </c>
      <c r="U175" s="2">
        <v>458.86</v>
      </c>
      <c r="V175" s="2">
        <v>515.88</v>
      </c>
      <c r="W175" s="2">
        <v>572.9</v>
      </c>
      <c r="X175" s="2">
        <v>629.91999999999996</v>
      </c>
      <c r="Y175" s="2">
        <v>686.94</v>
      </c>
      <c r="Z175" s="2">
        <v>743.96</v>
      </c>
      <c r="AA175" s="2">
        <v>800.98</v>
      </c>
      <c r="AB175" s="2">
        <v>858</v>
      </c>
    </row>
    <row r="176" spans="1:28" x14ac:dyDescent="0.3">
      <c r="A176" s="6">
        <v>175</v>
      </c>
      <c r="B176" s="1" t="s">
        <v>498</v>
      </c>
      <c r="C176" s="1" t="s">
        <v>499</v>
      </c>
      <c r="D176" s="1" t="s">
        <v>500</v>
      </c>
      <c r="S176" s="2">
        <v>369.12</v>
      </c>
      <c r="T176" s="2">
        <v>420.77330000000001</v>
      </c>
      <c r="U176" s="2">
        <v>472.42669999999998</v>
      </c>
      <c r="V176" s="2">
        <v>524.08000000000004</v>
      </c>
      <c r="W176" s="2">
        <v>575.73329999999999</v>
      </c>
      <c r="X176" s="2">
        <v>627.38670000000002</v>
      </c>
      <c r="Y176" s="2">
        <v>679.04</v>
      </c>
      <c r="Z176" s="2">
        <v>730.69330000000002</v>
      </c>
      <c r="AA176" s="2">
        <v>782.34670000000006</v>
      </c>
      <c r="AB176" s="2">
        <v>834</v>
      </c>
    </row>
    <row r="177" spans="1:28" x14ac:dyDescent="0.3">
      <c r="A177" s="6">
        <v>176</v>
      </c>
      <c r="B177" s="1" t="s">
        <v>501</v>
      </c>
      <c r="C177" s="1" t="s">
        <v>502</v>
      </c>
      <c r="D177" s="1" t="s">
        <v>503</v>
      </c>
      <c r="S177" s="2">
        <v>348.02</v>
      </c>
      <c r="T177" s="2">
        <v>407.12889999999999</v>
      </c>
      <c r="U177" s="2">
        <v>466.23779999999999</v>
      </c>
      <c r="V177" s="2">
        <v>525.34670000000006</v>
      </c>
      <c r="W177" s="2">
        <v>584.4556</v>
      </c>
      <c r="X177" s="2">
        <v>643.56439999999998</v>
      </c>
      <c r="Y177" s="2">
        <v>702.67330000000004</v>
      </c>
      <c r="Z177" s="2">
        <v>761.78219999999999</v>
      </c>
      <c r="AA177" s="2">
        <v>820.89110000000005</v>
      </c>
      <c r="AB177" s="2">
        <v>880</v>
      </c>
    </row>
    <row r="178" spans="1:28" x14ac:dyDescent="0.3">
      <c r="A178" s="6">
        <v>177</v>
      </c>
      <c r="B178" s="1" t="s">
        <v>504</v>
      </c>
      <c r="C178" s="1" t="s">
        <v>505</v>
      </c>
      <c r="D178" s="1" t="s">
        <v>506</v>
      </c>
      <c r="S178" s="2">
        <v>371.1</v>
      </c>
      <c r="T178" s="2">
        <v>423.5333</v>
      </c>
      <c r="U178" s="2">
        <v>475.9667</v>
      </c>
      <c r="V178" s="2">
        <v>528.4</v>
      </c>
      <c r="W178" s="2">
        <v>580.83330000000001</v>
      </c>
      <c r="X178" s="2">
        <v>633.26670000000001</v>
      </c>
      <c r="Y178" s="2">
        <v>685.7</v>
      </c>
      <c r="Z178" s="2">
        <v>738.13329999999996</v>
      </c>
      <c r="AA178" s="2">
        <v>790.56669999999997</v>
      </c>
      <c r="AB178" s="2">
        <v>843</v>
      </c>
    </row>
    <row r="179" spans="1:28" x14ac:dyDescent="0.3">
      <c r="A179" s="6">
        <v>178</v>
      </c>
      <c r="B179" s="1" t="s">
        <v>507</v>
      </c>
      <c r="C179" s="1" t="s">
        <v>508</v>
      </c>
      <c r="D179" s="1" t="s">
        <v>509</v>
      </c>
      <c r="S179" s="2">
        <v>357.72</v>
      </c>
      <c r="T179" s="2">
        <v>413.08440000000002</v>
      </c>
      <c r="U179" s="2">
        <v>468.44889999999998</v>
      </c>
      <c r="V179" s="2">
        <v>523.81330000000003</v>
      </c>
      <c r="W179" s="2">
        <v>579.17780000000005</v>
      </c>
      <c r="X179" s="2">
        <v>634.54219999999998</v>
      </c>
      <c r="Y179" s="2">
        <v>689.9067</v>
      </c>
      <c r="Z179" s="2">
        <v>745.27110000000005</v>
      </c>
      <c r="AA179" s="2">
        <v>800.63559999999995</v>
      </c>
      <c r="AB179" s="2">
        <v>856</v>
      </c>
    </row>
    <row r="180" spans="1:28" x14ac:dyDescent="0.3">
      <c r="A180" s="6">
        <v>179</v>
      </c>
      <c r="B180" s="1" t="s">
        <v>510</v>
      </c>
      <c r="C180" s="1" t="s">
        <v>511</v>
      </c>
      <c r="D180" s="1" t="s">
        <v>512</v>
      </c>
      <c r="F180" s="12"/>
      <c r="S180" s="2">
        <v>359.77</v>
      </c>
      <c r="T180" s="2">
        <v>416.01780000000002</v>
      </c>
      <c r="U180" s="2">
        <v>472.26560000000001</v>
      </c>
      <c r="V180" s="2">
        <v>528.51329999999996</v>
      </c>
      <c r="W180" s="2">
        <v>584.76110000000006</v>
      </c>
      <c r="X180" s="2">
        <v>641.00890000000004</v>
      </c>
      <c r="Y180" s="2">
        <v>697.25670000000002</v>
      </c>
      <c r="Z180" s="2">
        <v>753.50440000000003</v>
      </c>
      <c r="AA180" s="2">
        <v>809.75220000000002</v>
      </c>
      <c r="AB180" s="2">
        <v>866</v>
      </c>
    </row>
    <row r="181" spans="1:28" x14ac:dyDescent="0.3">
      <c r="A181" s="6">
        <v>180</v>
      </c>
      <c r="B181" s="9" t="s">
        <v>513</v>
      </c>
      <c r="C181" s="9" t="s">
        <v>514</v>
      </c>
      <c r="D181" s="9" t="s">
        <v>515</v>
      </c>
      <c r="S181" s="3">
        <v>358.32</v>
      </c>
      <c r="T181" s="3">
        <v>417.28440000000001</v>
      </c>
      <c r="U181" s="3">
        <v>476.24889999999999</v>
      </c>
      <c r="V181" s="3">
        <v>535.2133</v>
      </c>
      <c r="W181" s="3">
        <v>594.17780000000005</v>
      </c>
      <c r="X181" s="3">
        <v>653.1422</v>
      </c>
      <c r="Y181" s="3">
        <v>712.10670000000005</v>
      </c>
      <c r="Z181" s="3">
        <v>771.0711</v>
      </c>
      <c r="AA181" s="3">
        <v>830.03560000000004</v>
      </c>
      <c r="AB181" s="3">
        <v>889</v>
      </c>
    </row>
    <row r="182" spans="1:28" x14ac:dyDescent="0.3">
      <c r="A182" s="6">
        <v>181</v>
      </c>
      <c r="B182" s="1" t="s">
        <v>516</v>
      </c>
      <c r="C182" s="1" t="s">
        <v>517</v>
      </c>
      <c r="D182" s="1" t="s">
        <v>518</v>
      </c>
      <c r="S182" s="2">
        <v>263.75</v>
      </c>
      <c r="T182" s="2">
        <v>323.88889999999998</v>
      </c>
      <c r="U182" s="2">
        <v>384.02780000000001</v>
      </c>
      <c r="V182" s="2">
        <v>444.16669999999999</v>
      </c>
      <c r="W182" s="2">
        <v>504.30560000000003</v>
      </c>
      <c r="X182" s="2">
        <v>564.44439999999997</v>
      </c>
      <c r="Y182" s="2">
        <v>624.58330000000001</v>
      </c>
      <c r="Z182" s="2">
        <v>684.72220000000004</v>
      </c>
      <c r="AA182" s="2">
        <v>744.86109999999996</v>
      </c>
      <c r="AB182" s="2">
        <v>805</v>
      </c>
    </row>
    <row r="183" spans="1:28" x14ac:dyDescent="0.3">
      <c r="A183" s="6">
        <v>182</v>
      </c>
      <c r="B183" s="1" t="s">
        <v>519</v>
      </c>
      <c r="C183" s="1" t="s">
        <v>520</v>
      </c>
      <c r="D183" s="1" t="s">
        <v>521</v>
      </c>
      <c r="S183" s="2">
        <v>286.05</v>
      </c>
      <c r="T183" s="2">
        <v>347.71109999999999</v>
      </c>
      <c r="U183" s="2">
        <v>409.37220000000002</v>
      </c>
      <c r="V183" s="2">
        <v>471.0333</v>
      </c>
      <c r="W183" s="2">
        <v>532.69439999999997</v>
      </c>
      <c r="X183" s="2">
        <v>594.35559999999998</v>
      </c>
      <c r="Y183" s="2">
        <v>656.01670000000001</v>
      </c>
      <c r="Z183" s="2">
        <v>717.67780000000005</v>
      </c>
      <c r="AA183" s="2">
        <v>779.33889999999997</v>
      </c>
      <c r="AB183" s="2">
        <v>841</v>
      </c>
    </row>
    <row r="184" spans="1:28" x14ac:dyDescent="0.3">
      <c r="A184" s="6">
        <v>183</v>
      </c>
      <c r="B184" s="1" t="s">
        <v>522</v>
      </c>
      <c r="C184" s="1" t="s">
        <v>523</v>
      </c>
      <c r="D184" s="1" t="s">
        <v>524</v>
      </c>
      <c r="S184" s="2">
        <v>275.95</v>
      </c>
      <c r="T184" s="2">
        <v>336.17779999999999</v>
      </c>
      <c r="U184" s="2">
        <v>396.40559999999999</v>
      </c>
      <c r="V184" s="2">
        <v>456.63330000000002</v>
      </c>
      <c r="W184" s="2">
        <v>516.86109999999996</v>
      </c>
      <c r="X184" s="2">
        <v>577.08889999999997</v>
      </c>
      <c r="Y184" s="2">
        <v>637.31669999999997</v>
      </c>
      <c r="Z184" s="2">
        <v>697.5444</v>
      </c>
      <c r="AA184" s="2">
        <v>757.7722</v>
      </c>
      <c r="AB184" s="2">
        <v>818</v>
      </c>
    </row>
    <row r="185" spans="1:28" x14ac:dyDescent="0.3">
      <c r="A185" s="6">
        <v>184</v>
      </c>
      <c r="B185" s="1" t="s">
        <v>525</v>
      </c>
      <c r="C185" s="1" t="s">
        <v>526</v>
      </c>
      <c r="D185" s="1" t="s">
        <v>527</v>
      </c>
      <c r="S185" s="2">
        <v>442.1</v>
      </c>
      <c r="T185" s="2">
        <v>486.64440000000002</v>
      </c>
      <c r="U185" s="2">
        <v>531.18889999999999</v>
      </c>
      <c r="V185" s="2">
        <v>575.73329999999999</v>
      </c>
      <c r="W185" s="2">
        <v>620.27779999999996</v>
      </c>
      <c r="X185" s="2">
        <v>664.82219999999995</v>
      </c>
      <c r="Y185" s="2">
        <v>709.36670000000004</v>
      </c>
      <c r="Z185" s="2">
        <v>753.91110000000003</v>
      </c>
      <c r="AA185" s="2">
        <v>798.4556</v>
      </c>
      <c r="AB185" s="2">
        <v>843</v>
      </c>
    </row>
    <row r="186" spans="1:28" x14ac:dyDescent="0.3">
      <c r="A186" s="6">
        <v>185</v>
      </c>
      <c r="B186" s="1" t="s">
        <v>528</v>
      </c>
      <c r="C186" s="1" t="s">
        <v>529</v>
      </c>
      <c r="D186" s="1" t="s">
        <v>530</v>
      </c>
      <c r="S186" s="2">
        <v>347.57</v>
      </c>
      <c r="T186" s="2">
        <v>399.50670000000002</v>
      </c>
      <c r="U186" s="2">
        <v>451.44330000000002</v>
      </c>
      <c r="V186" s="2">
        <v>503.38</v>
      </c>
      <c r="W186" s="2">
        <v>555.31669999999997</v>
      </c>
      <c r="X186" s="2">
        <v>607.25329999999997</v>
      </c>
      <c r="Y186" s="2">
        <v>659.19</v>
      </c>
      <c r="Z186" s="2">
        <v>711.12670000000003</v>
      </c>
      <c r="AA186" s="2">
        <v>763.06330000000003</v>
      </c>
      <c r="AB186" s="2">
        <v>815</v>
      </c>
    </row>
    <row r="187" spans="1:28" x14ac:dyDescent="0.3">
      <c r="A187" s="6">
        <v>186</v>
      </c>
      <c r="B187" s="1" t="s">
        <v>531</v>
      </c>
      <c r="C187" s="1" t="s">
        <v>415</v>
      </c>
      <c r="D187" s="1" t="s">
        <v>532</v>
      </c>
      <c r="S187" s="2">
        <v>395.4</v>
      </c>
      <c r="T187" s="2">
        <v>432.8</v>
      </c>
      <c r="U187" s="2">
        <v>470.2</v>
      </c>
      <c r="V187" s="2">
        <v>507.6</v>
      </c>
      <c r="W187" s="2">
        <v>545</v>
      </c>
      <c r="X187" s="2">
        <v>582.4</v>
      </c>
      <c r="Y187" s="2">
        <v>619.79999999999995</v>
      </c>
      <c r="Z187" s="2">
        <v>657.2</v>
      </c>
      <c r="AA187" s="2">
        <v>694.6</v>
      </c>
      <c r="AB187" s="2">
        <v>732</v>
      </c>
    </row>
    <row r="188" spans="1:28" x14ac:dyDescent="0.3">
      <c r="A188" s="6">
        <v>187</v>
      </c>
      <c r="B188" s="1" t="s">
        <v>533</v>
      </c>
      <c r="C188" s="1" t="s">
        <v>534</v>
      </c>
      <c r="D188" s="1" t="s">
        <v>535</v>
      </c>
      <c r="S188" s="2">
        <v>244.27</v>
      </c>
      <c r="T188" s="2">
        <v>295.4622</v>
      </c>
      <c r="U188" s="2">
        <v>346.65440000000001</v>
      </c>
      <c r="V188" s="2">
        <v>397.8467</v>
      </c>
      <c r="W188" s="2">
        <v>449.03890000000001</v>
      </c>
      <c r="X188" s="2">
        <v>500.23110000000003</v>
      </c>
      <c r="Y188" s="2">
        <v>551.42330000000004</v>
      </c>
      <c r="Z188" s="2">
        <v>602.61559999999997</v>
      </c>
      <c r="AA188" s="2">
        <v>653.80780000000004</v>
      </c>
      <c r="AB188" s="2">
        <v>705</v>
      </c>
    </row>
    <row r="189" spans="1:28" x14ac:dyDescent="0.3">
      <c r="A189" s="6">
        <v>188</v>
      </c>
      <c r="B189" s="1" t="s">
        <v>536</v>
      </c>
      <c r="C189" s="1" t="s">
        <v>537</v>
      </c>
      <c r="D189" s="1" t="s">
        <v>538</v>
      </c>
      <c r="S189" s="2">
        <v>259.35000000000002</v>
      </c>
      <c r="T189" s="2">
        <v>309.08890000000002</v>
      </c>
      <c r="U189" s="2">
        <v>358.82780000000002</v>
      </c>
      <c r="V189" s="2">
        <v>408.56670000000003</v>
      </c>
      <c r="W189" s="2">
        <v>458.30560000000003</v>
      </c>
      <c r="X189" s="2">
        <v>508.0444</v>
      </c>
      <c r="Y189" s="2">
        <v>557.78330000000005</v>
      </c>
      <c r="Z189" s="2">
        <v>607.5222</v>
      </c>
      <c r="AA189" s="2">
        <v>657.26110000000006</v>
      </c>
      <c r="AB189" s="2">
        <v>707</v>
      </c>
    </row>
    <row r="190" spans="1:28" x14ac:dyDescent="0.3">
      <c r="A190" s="6">
        <v>189</v>
      </c>
      <c r="B190" s="1" t="s">
        <v>539</v>
      </c>
      <c r="C190" s="1" t="s">
        <v>540</v>
      </c>
      <c r="D190" s="1" t="s">
        <v>541</v>
      </c>
      <c r="S190" s="2">
        <v>259.35000000000002</v>
      </c>
      <c r="T190" s="2">
        <v>312.75560000000002</v>
      </c>
      <c r="U190" s="2">
        <v>366.16109999999998</v>
      </c>
      <c r="V190" s="2">
        <v>419.56670000000003</v>
      </c>
      <c r="W190" s="2">
        <v>472.97219999999999</v>
      </c>
      <c r="X190" s="2">
        <v>526.37779999999998</v>
      </c>
      <c r="Y190" s="2">
        <v>579.78330000000005</v>
      </c>
      <c r="Z190" s="2">
        <v>633.18889999999999</v>
      </c>
      <c r="AA190" s="2">
        <v>686.59439999999995</v>
      </c>
      <c r="AB190" s="2">
        <v>740</v>
      </c>
    </row>
    <row r="191" spans="1:28" x14ac:dyDescent="0.3">
      <c r="A191" s="6">
        <v>190</v>
      </c>
      <c r="B191" s="1" t="s">
        <v>542</v>
      </c>
      <c r="C191" s="1" t="s">
        <v>543</v>
      </c>
      <c r="D191" s="1" t="s">
        <v>544</v>
      </c>
      <c r="S191" s="2">
        <v>263.95</v>
      </c>
      <c r="T191" s="2">
        <v>313.28890000000001</v>
      </c>
      <c r="U191" s="2">
        <v>362.62779999999998</v>
      </c>
      <c r="V191" s="2">
        <v>411.9667</v>
      </c>
      <c r="W191" s="2">
        <v>461.30560000000003</v>
      </c>
      <c r="X191" s="2">
        <v>510.64440000000002</v>
      </c>
      <c r="Y191" s="2">
        <v>559.98329999999999</v>
      </c>
      <c r="Z191" s="2">
        <v>609.32219999999995</v>
      </c>
      <c r="AA191" s="2">
        <v>658.66110000000003</v>
      </c>
      <c r="AB191" s="2">
        <v>708</v>
      </c>
    </row>
    <row r="192" spans="1:28" x14ac:dyDescent="0.3">
      <c r="A192" s="6">
        <v>191</v>
      </c>
      <c r="B192" s="1" t="s">
        <v>545</v>
      </c>
      <c r="C192" s="1" t="s">
        <v>546</v>
      </c>
      <c r="D192" s="1" t="s">
        <v>547</v>
      </c>
      <c r="S192" s="2">
        <v>263.95</v>
      </c>
      <c r="T192" s="2">
        <v>316.84440000000001</v>
      </c>
      <c r="U192" s="2">
        <v>369.7389</v>
      </c>
      <c r="V192" s="2">
        <v>422.63330000000002</v>
      </c>
      <c r="W192" s="2">
        <v>475.52780000000001</v>
      </c>
      <c r="X192" s="2">
        <v>528.42219999999998</v>
      </c>
      <c r="Y192" s="2">
        <v>581.31669999999997</v>
      </c>
      <c r="Z192" s="2">
        <v>634.21109999999999</v>
      </c>
      <c r="AA192" s="2">
        <v>687.10559999999998</v>
      </c>
      <c r="AB192" s="2">
        <v>740</v>
      </c>
    </row>
    <row r="193" spans="1:28" x14ac:dyDescent="0.3">
      <c r="A193" s="6">
        <v>192</v>
      </c>
      <c r="B193" s="1" t="s">
        <v>548</v>
      </c>
      <c r="C193" s="1" t="s">
        <v>549</v>
      </c>
      <c r="D193" s="1" t="s">
        <v>550</v>
      </c>
      <c r="S193" s="2">
        <v>263.95</v>
      </c>
      <c r="T193" s="2">
        <v>315.9556</v>
      </c>
      <c r="U193" s="2">
        <v>367.96109999999999</v>
      </c>
      <c r="V193" s="2">
        <v>419.9667</v>
      </c>
      <c r="W193" s="2">
        <v>471.97219999999999</v>
      </c>
      <c r="X193" s="2">
        <v>523.9778</v>
      </c>
      <c r="Y193" s="2">
        <v>575.98329999999999</v>
      </c>
      <c r="Z193" s="2">
        <v>627.98889999999994</v>
      </c>
      <c r="AA193" s="2">
        <v>679.99440000000004</v>
      </c>
      <c r="AB193" s="2">
        <v>732</v>
      </c>
    </row>
    <row r="194" spans="1:28" x14ac:dyDescent="0.3">
      <c r="A194" s="6">
        <v>193</v>
      </c>
      <c r="B194" s="1" t="s">
        <v>551</v>
      </c>
      <c r="C194" s="1" t="s">
        <v>552</v>
      </c>
      <c r="D194" s="1" t="s">
        <v>553</v>
      </c>
      <c r="S194" s="2">
        <v>263.95</v>
      </c>
      <c r="T194" s="2">
        <v>319.62220000000002</v>
      </c>
      <c r="U194" s="2">
        <v>375.2944</v>
      </c>
      <c r="V194" s="2">
        <v>430.9667</v>
      </c>
      <c r="W194" s="2">
        <v>486.63889999999998</v>
      </c>
      <c r="X194" s="2">
        <v>542.31110000000001</v>
      </c>
      <c r="Y194" s="2">
        <v>597.98329999999999</v>
      </c>
      <c r="Z194" s="2">
        <v>653.65560000000005</v>
      </c>
      <c r="AA194" s="2">
        <v>709.32780000000002</v>
      </c>
      <c r="AB194" s="2">
        <v>765</v>
      </c>
    </row>
    <row r="195" spans="1:28" x14ac:dyDescent="0.3">
      <c r="A195" s="6">
        <v>194</v>
      </c>
      <c r="B195" s="1" t="s">
        <v>554</v>
      </c>
      <c r="C195" s="1" t="s">
        <v>555</v>
      </c>
      <c r="D195" s="1" t="s">
        <v>556</v>
      </c>
      <c r="S195" s="2">
        <v>326.64999999999998</v>
      </c>
      <c r="T195" s="2">
        <v>374.55560000000003</v>
      </c>
      <c r="U195" s="2">
        <v>422.46109999999999</v>
      </c>
      <c r="V195" s="2">
        <v>470.36669999999998</v>
      </c>
      <c r="W195" s="2">
        <v>518.2722</v>
      </c>
      <c r="X195" s="2">
        <v>566.17780000000005</v>
      </c>
      <c r="Y195" s="2">
        <v>614.08330000000001</v>
      </c>
      <c r="Z195" s="2">
        <v>661.98889999999994</v>
      </c>
      <c r="AA195" s="2">
        <v>709.89440000000002</v>
      </c>
      <c r="AB195" s="2">
        <v>757.8</v>
      </c>
    </row>
    <row r="196" spans="1:28" x14ac:dyDescent="0.3">
      <c r="A196" s="6">
        <v>195</v>
      </c>
      <c r="B196" s="1" t="s">
        <v>557</v>
      </c>
      <c r="C196" s="1" t="s">
        <v>558</v>
      </c>
      <c r="D196" s="1" t="s">
        <v>559</v>
      </c>
      <c r="S196" s="2">
        <v>329.25</v>
      </c>
      <c r="T196" s="2">
        <v>377.76670000000001</v>
      </c>
      <c r="U196" s="2">
        <v>426.2833</v>
      </c>
      <c r="V196" s="2">
        <v>474.8</v>
      </c>
      <c r="W196" s="2">
        <v>523.31669999999997</v>
      </c>
      <c r="X196" s="2">
        <v>571.83330000000001</v>
      </c>
      <c r="Y196" s="2">
        <v>620.35</v>
      </c>
      <c r="Z196" s="2">
        <v>668.86670000000004</v>
      </c>
      <c r="AA196" s="2">
        <v>717.38329999999996</v>
      </c>
      <c r="AB196" s="2">
        <v>765.9</v>
      </c>
    </row>
    <row r="197" spans="1:28" x14ac:dyDescent="0.3">
      <c r="A197" s="6">
        <v>196</v>
      </c>
      <c r="B197" s="1" t="s">
        <v>560</v>
      </c>
      <c r="C197" s="1" t="s">
        <v>561</v>
      </c>
      <c r="D197" s="1" t="s">
        <v>562</v>
      </c>
      <c r="S197" s="2">
        <v>332.15</v>
      </c>
      <c r="T197" s="2">
        <v>381.21109999999999</v>
      </c>
      <c r="U197" s="2">
        <v>430.2722</v>
      </c>
      <c r="V197" s="2">
        <v>479.33330000000001</v>
      </c>
      <c r="W197" s="2">
        <v>528.39440000000002</v>
      </c>
      <c r="X197" s="2">
        <v>577.4556</v>
      </c>
      <c r="Y197" s="2">
        <v>626.51670000000001</v>
      </c>
      <c r="Z197" s="2">
        <v>675.57780000000002</v>
      </c>
      <c r="AA197" s="2">
        <v>724.63890000000004</v>
      </c>
      <c r="AB197" s="2">
        <v>773.7</v>
      </c>
    </row>
    <row r="198" spans="1:28" x14ac:dyDescent="0.3">
      <c r="A198" s="6">
        <v>197</v>
      </c>
      <c r="B198" s="1" t="s">
        <v>563</v>
      </c>
      <c r="C198" s="1" t="s">
        <v>564</v>
      </c>
      <c r="D198" s="1" t="s">
        <v>565</v>
      </c>
      <c r="S198" s="2">
        <v>334.35</v>
      </c>
      <c r="T198" s="2">
        <v>383.9889</v>
      </c>
      <c r="U198" s="2">
        <v>433.62779999999998</v>
      </c>
      <c r="V198" s="2">
        <v>483.26670000000001</v>
      </c>
      <c r="W198" s="2">
        <v>532.90560000000005</v>
      </c>
      <c r="X198" s="2">
        <v>582.5444</v>
      </c>
      <c r="Y198" s="2">
        <v>632.18330000000003</v>
      </c>
      <c r="Z198" s="2">
        <v>681.82219999999995</v>
      </c>
      <c r="AA198" s="2">
        <v>731.46109999999999</v>
      </c>
      <c r="AB198" s="2">
        <v>781.1</v>
      </c>
    </row>
    <row r="199" spans="1:28" x14ac:dyDescent="0.3">
      <c r="A199" s="6">
        <v>198</v>
      </c>
      <c r="B199" s="1" t="s">
        <v>566</v>
      </c>
      <c r="C199" s="1" t="s">
        <v>567</v>
      </c>
      <c r="D199" s="1" t="s">
        <v>568</v>
      </c>
      <c r="S199" s="2">
        <v>336.85</v>
      </c>
      <c r="T199" s="2">
        <v>387.0111</v>
      </c>
      <c r="U199" s="2">
        <v>437.17219999999998</v>
      </c>
      <c r="V199" s="2">
        <v>487.33330000000001</v>
      </c>
      <c r="W199" s="2">
        <v>537.49440000000004</v>
      </c>
      <c r="X199" s="2">
        <v>587.65560000000005</v>
      </c>
      <c r="Y199" s="2">
        <v>637.81669999999997</v>
      </c>
      <c r="Z199" s="2">
        <v>687.9778</v>
      </c>
      <c r="AA199" s="2">
        <v>738.13890000000004</v>
      </c>
      <c r="AB199" s="2">
        <v>788.3</v>
      </c>
    </row>
    <row r="200" spans="1:28" x14ac:dyDescent="0.3">
      <c r="A200" s="6">
        <v>199</v>
      </c>
      <c r="B200" s="1" t="s">
        <v>569</v>
      </c>
      <c r="C200" s="1" t="s">
        <v>570</v>
      </c>
      <c r="D200" s="1" t="s">
        <v>571</v>
      </c>
      <c r="S200" s="2">
        <v>338.65</v>
      </c>
      <c r="T200" s="2">
        <v>389.36669999999998</v>
      </c>
      <c r="U200" s="2">
        <v>440.08330000000001</v>
      </c>
      <c r="V200" s="2">
        <v>490.8</v>
      </c>
      <c r="W200" s="2">
        <v>541.51670000000001</v>
      </c>
      <c r="X200" s="2">
        <v>592.23329999999999</v>
      </c>
      <c r="Y200" s="2">
        <v>642.95000000000005</v>
      </c>
      <c r="Z200" s="2">
        <v>693.66669999999999</v>
      </c>
      <c r="AA200" s="2">
        <v>744.38329999999996</v>
      </c>
      <c r="AB200" s="2">
        <v>795.1</v>
      </c>
    </row>
    <row r="201" spans="1:28" x14ac:dyDescent="0.3">
      <c r="A201" s="6">
        <v>200</v>
      </c>
      <c r="B201" s="1" t="s">
        <v>572</v>
      </c>
      <c r="C201" s="1" t="s">
        <v>573</v>
      </c>
      <c r="D201" s="1" t="s">
        <v>574</v>
      </c>
      <c r="S201" s="2">
        <v>297.82</v>
      </c>
      <c r="T201" s="2">
        <v>339.06220000000002</v>
      </c>
      <c r="U201" s="2">
        <v>380.30439999999999</v>
      </c>
      <c r="V201" s="2">
        <v>421.54669999999999</v>
      </c>
      <c r="W201" s="2">
        <v>462.78890000000001</v>
      </c>
      <c r="X201" s="2">
        <v>504.03109999999998</v>
      </c>
      <c r="Y201" s="2">
        <v>545.27329999999995</v>
      </c>
      <c r="Z201" s="2">
        <v>586.51559999999995</v>
      </c>
      <c r="AA201" s="2">
        <v>627.75779999999997</v>
      </c>
      <c r="AB201" s="2">
        <v>669</v>
      </c>
    </row>
    <row r="202" spans="1:28" x14ac:dyDescent="0.3">
      <c r="A202" s="6">
        <v>201</v>
      </c>
      <c r="B202" s="1" t="s">
        <v>575</v>
      </c>
      <c r="C202" s="1" t="s">
        <v>576</v>
      </c>
      <c r="D202" s="1" t="s">
        <v>577</v>
      </c>
      <c r="S202" s="2">
        <v>328.84</v>
      </c>
      <c r="T202" s="2">
        <v>368.8578</v>
      </c>
      <c r="U202" s="2">
        <v>408.87560000000002</v>
      </c>
      <c r="V202" s="2">
        <v>448.89330000000001</v>
      </c>
      <c r="W202" s="2">
        <v>488.91109999999998</v>
      </c>
      <c r="X202" s="2">
        <v>528.9289</v>
      </c>
      <c r="Y202" s="2">
        <v>568.94669999999996</v>
      </c>
      <c r="Z202" s="2">
        <v>608.96439999999996</v>
      </c>
      <c r="AA202" s="2">
        <v>648.98220000000003</v>
      </c>
      <c r="AB202" s="2">
        <v>689</v>
      </c>
    </row>
    <row r="203" spans="1:28" x14ac:dyDescent="0.3">
      <c r="A203" s="6">
        <v>202</v>
      </c>
      <c r="B203" s="1" t="s">
        <v>578</v>
      </c>
      <c r="C203" s="1" t="s">
        <v>579</v>
      </c>
      <c r="D203" s="1" t="s">
        <v>580</v>
      </c>
      <c r="S203" s="2">
        <v>337.11</v>
      </c>
      <c r="T203" s="2">
        <v>377.54219999999998</v>
      </c>
      <c r="U203" s="2">
        <v>417.9744</v>
      </c>
      <c r="V203" s="2">
        <v>458.4067</v>
      </c>
      <c r="W203" s="2">
        <v>498.83890000000002</v>
      </c>
      <c r="X203" s="2">
        <v>539.27110000000005</v>
      </c>
      <c r="Y203" s="2">
        <v>579.70330000000001</v>
      </c>
      <c r="Z203" s="2">
        <v>620.13559999999995</v>
      </c>
      <c r="AA203" s="2">
        <v>660.56780000000003</v>
      </c>
      <c r="AB203" s="2">
        <v>701</v>
      </c>
    </row>
    <row r="204" spans="1:28" x14ac:dyDescent="0.3">
      <c r="A204" s="6">
        <v>203</v>
      </c>
      <c r="B204" s="1" t="s">
        <v>581</v>
      </c>
      <c r="C204" s="1" t="s">
        <v>582</v>
      </c>
      <c r="D204" s="1" t="s">
        <v>583</v>
      </c>
      <c r="S204" s="2">
        <v>334.1</v>
      </c>
      <c r="T204" s="2">
        <v>375.42219999999998</v>
      </c>
      <c r="U204" s="2">
        <v>416.74439999999998</v>
      </c>
      <c r="V204" s="2">
        <v>458.06670000000003</v>
      </c>
      <c r="W204" s="2">
        <v>499.38889999999998</v>
      </c>
      <c r="X204" s="2">
        <v>540.71109999999999</v>
      </c>
      <c r="Y204" s="2">
        <v>582.03330000000005</v>
      </c>
      <c r="Z204" s="2">
        <v>623.35559999999998</v>
      </c>
      <c r="AA204" s="2">
        <v>664.67780000000005</v>
      </c>
      <c r="AB204" s="2">
        <v>706</v>
      </c>
    </row>
    <row r="205" spans="1:28" x14ac:dyDescent="0.3">
      <c r="A205" s="6">
        <v>204</v>
      </c>
      <c r="B205" s="1" t="s">
        <v>584</v>
      </c>
      <c r="C205" s="1" t="s">
        <v>585</v>
      </c>
      <c r="D205" s="1" t="s">
        <v>586</v>
      </c>
      <c r="S205" s="2">
        <v>298.55</v>
      </c>
      <c r="T205" s="2">
        <v>360.4889</v>
      </c>
      <c r="U205" s="2">
        <v>422.42779999999999</v>
      </c>
      <c r="V205" s="2">
        <v>484.36669999999998</v>
      </c>
      <c r="W205" s="2">
        <v>546.30560000000003</v>
      </c>
      <c r="X205" s="2">
        <v>608.24440000000004</v>
      </c>
      <c r="Y205" s="2">
        <v>670.18330000000003</v>
      </c>
      <c r="Z205" s="2">
        <v>732.12220000000002</v>
      </c>
      <c r="AA205" s="2">
        <v>794.06110000000001</v>
      </c>
      <c r="AB205" s="2">
        <v>856</v>
      </c>
    </row>
    <row r="206" spans="1:28" x14ac:dyDescent="0.3">
      <c r="F206" s="1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1879-E97E-4D66-BC38-24B06821B422}">
  <dimension ref="A1:BY218"/>
  <sheetViews>
    <sheetView tabSelected="1" topLeftCell="AR1" zoomScale="70" zoomScaleNormal="70" workbookViewId="0">
      <selection activeCell="BX3" sqref="BX3"/>
    </sheetView>
  </sheetViews>
  <sheetFormatPr defaultRowHeight="14" x14ac:dyDescent="0.3"/>
  <cols>
    <col min="1" max="1" width="16.08203125" style="2" customWidth="1"/>
  </cols>
  <sheetData>
    <row r="1" spans="1:77" ht="21" x14ac:dyDescent="0.3">
      <c r="A1" s="5" t="s">
        <v>3</v>
      </c>
      <c r="B1" s="10" t="s">
        <v>587</v>
      </c>
      <c r="C1" s="10" t="s">
        <v>596</v>
      </c>
      <c r="AU1" t="s">
        <v>598</v>
      </c>
      <c r="AV1" t="s">
        <v>599</v>
      </c>
      <c r="AW1" t="s">
        <v>600</v>
      </c>
      <c r="AX1" t="s">
        <v>601</v>
      </c>
      <c r="AY1" t="s">
        <v>602</v>
      </c>
      <c r="AZ1" t="s">
        <v>603</v>
      </c>
      <c r="BA1" t="s">
        <v>604</v>
      </c>
      <c r="BB1" t="s">
        <v>605</v>
      </c>
      <c r="BC1" t="s">
        <v>606</v>
      </c>
      <c r="BD1" t="s">
        <v>607</v>
      </c>
      <c r="BE1" t="s">
        <v>617</v>
      </c>
      <c r="BF1" t="s">
        <v>618</v>
      </c>
      <c r="BG1" t="s">
        <v>619</v>
      </c>
      <c r="BH1" t="s">
        <v>620</v>
      </c>
      <c r="BI1" t="s">
        <v>621</v>
      </c>
      <c r="BJ1" t="s">
        <v>622</v>
      </c>
      <c r="BK1" t="s">
        <v>623</v>
      </c>
      <c r="BL1" t="s">
        <v>624</v>
      </c>
      <c r="BM1" t="s">
        <v>625</v>
      </c>
      <c r="BO1" t="s">
        <v>608</v>
      </c>
      <c r="BP1" t="s">
        <v>609</v>
      </c>
      <c r="BQ1" t="s">
        <v>610</v>
      </c>
      <c r="BR1" t="s">
        <v>611</v>
      </c>
      <c r="BS1" t="s">
        <v>612</v>
      </c>
      <c r="BT1" t="s">
        <v>613</v>
      </c>
      <c r="BU1" t="s">
        <v>614</v>
      </c>
      <c r="BV1" t="s">
        <v>615</v>
      </c>
      <c r="BW1" t="s">
        <v>616</v>
      </c>
      <c r="BX1" t="s">
        <v>598</v>
      </c>
      <c r="BY1" t="s">
        <v>626</v>
      </c>
    </row>
    <row r="2" spans="1:77" x14ac:dyDescent="0.3">
      <c r="A2" s="6" t="s">
        <v>6</v>
      </c>
      <c r="B2">
        <v>263.95</v>
      </c>
      <c r="C2">
        <v>720</v>
      </c>
      <c r="E2">
        <v>263.95</v>
      </c>
      <c r="F2">
        <v>314.62220000000002</v>
      </c>
      <c r="G2">
        <v>365.2944</v>
      </c>
      <c r="H2">
        <v>415.9667</v>
      </c>
      <c r="I2">
        <v>466.63889999999998</v>
      </c>
      <c r="J2">
        <v>517.31110000000001</v>
      </c>
      <c r="K2">
        <v>567.98329999999999</v>
      </c>
      <c r="L2">
        <v>618.65560000000005</v>
      </c>
      <c r="M2">
        <v>669.32780000000002</v>
      </c>
      <c r="N2">
        <v>720</v>
      </c>
      <c r="O2" s="13">
        <v>2.8878000000000001E-6</v>
      </c>
      <c r="P2">
        <v>5.2382100000000001E-3</v>
      </c>
      <c r="Q2">
        <v>0.91790799999999995</v>
      </c>
      <c r="R2">
        <v>37.723970000000001</v>
      </c>
      <c r="S2">
        <v>596.90039999999999</v>
      </c>
      <c r="T2">
        <v>4900.7070000000003</v>
      </c>
      <c r="U2">
        <v>25265.119999999999</v>
      </c>
      <c r="V2">
        <v>92983.09</v>
      </c>
      <c r="W2">
        <v>267413</v>
      </c>
      <c r="X2">
        <v>642482</v>
      </c>
      <c r="AA2">
        <f>1/E2</f>
        <v>3.7885963250615649E-3</v>
      </c>
      <c r="AB2">
        <f t="shared" ref="AB2:AJ2" si="0">1/F2</f>
        <v>3.178415254867584E-3</v>
      </c>
      <c r="AC2">
        <f t="shared" si="0"/>
        <v>2.7375180128685248E-3</v>
      </c>
      <c r="AD2">
        <f t="shared" si="0"/>
        <v>2.4040385925123333E-3</v>
      </c>
      <c r="AE2">
        <f t="shared" si="0"/>
        <v>2.1429846504438443E-3</v>
      </c>
      <c r="AF2">
        <f>1/J2</f>
        <v>1.9330727680113571E-3</v>
      </c>
      <c r="AG2">
        <f t="shared" si="0"/>
        <v>1.7606151448466883E-3</v>
      </c>
      <c r="AH2">
        <f t="shared" si="0"/>
        <v>1.6164082245436716E-3</v>
      </c>
      <c r="AI2">
        <f t="shared" si="0"/>
        <v>1.4940362554790045E-3</v>
      </c>
      <c r="AJ2">
        <f t="shared" si="0"/>
        <v>1.3888888888888889E-3</v>
      </c>
      <c r="AK2">
        <f>LN(O2)</f>
        <v>-12.755015591409293</v>
      </c>
      <c r="AL2">
        <f t="shared" ref="AL2:AS2" si="1">LN(P2)</f>
        <v>-5.2517754420622351</v>
      </c>
      <c r="AM2">
        <f t="shared" si="1"/>
        <v>-8.5658111248716168E-2</v>
      </c>
      <c r="AN2">
        <f t="shared" si="1"/>
        <v>3.630295701431614</v>
      </c>
      <c r="AO2">
        <f t="shared" si="1"/>
        <v>6.3917502653033793</v>
      </c>
      <c r="AP2">
        <f t="shared" si="1"/>
        <v>8.4971347594048208</v>
      </c>
      <c r="AQ2">
        <f t="shared" si="1"/>
        <v>10.1371800673684</v>
      </c>
      <c r="AR2">
        <f t="shared" si="1"/>
        <v>11.440172927645696</v>
      </c>
      <c r="AS2">
        <f t="shared" si="1"/>
        <v>12.496549558773406</v>
      </c>
      <c r="AT2">
        <f>LN(X2)</f>
        <v>13.373094079794866</v>
      </c>
      <c r="AU2">
        <f>RSQ(AK2:AT2, AA2:AJ2)</f>
        <v>0.99655410376133391</v>
      </c>
      <c r="AV2">
        <f>-SLOPE(AK2:AL2, AA2:AB2)</f>
        <v>12296.743566564142</v>
      </c>
      <c r="AW2">
        <f t="shared" ref="AW2:BD2" si="2">-SLOPE(AL2:AM2, AB2:AC2)</f>
        <v>11717.282030139218</v>
      </c>
      <c r="AX2">
        <f t="shared" si="2"/>
        <v>11142.977904637402</v>
      </c>
      <c r="AY2">
        <f t="shared" si="2"/>
        <v>10578.09946094314</v>
      </c>
      <c r="AZ2">
        <f t="shared" si="2"/>
        <v>10029.849047628755</v>
      </c>
      <c r="BA2">
        <f t="shared" si="2"/>
        <v>9509.8452470123902</v>
      </c>
      <c r="BB2">
        <f t="shared" si="2"/>
        <v>9035.5778872426145</v>
      </c>
      <c r="BC2">
        <f t="shared" si="2"/>
        <v>8632.504969904272</v>
      </c>
      <c r="BD2">
        <f t="shared" si="2"/>
        <v>8336.3430720846955</v>
      </c>
      <c r="BE2">
        <f>AV2*8.314</f>
        <v>102235.12601241429</v>
      </c>
      <c r="BF2">
        <f t="shared" ref="BF2:BM2" si="3">AW2*8.314</f>
        <v>97417.482798577461</v>
      </c>
      <c r="BG2">
        <f t="shared" si="3"/>
        <v>92642.718299155371</v>
      </c>
      <c r="BH2">
        <f t="shared" si="3"/>
        <v>87946.318918281264</v>
      </c>
      <c r="BI2">
        <f t="shared" si="3"/>
        <v>83388.164981985465</v>
      </c>
      <c r="BJ2">
        <f t="shared" si="3"/>
        <v>79064.853383661015</v>
      </c>
      <c r="BK2">
        <f t="shared" si="3"/>
        <v>75121.794554535096</v>
      </c>
      <c r="BL2">
        <f t="shared" si="3"/>
        <v>71770.646319784122</v>
      </c>
      <c r="BM2">
        <f t="shared" si="3"/>
        <v>69308.35630131216</v>
      </c>
      <c r="BO2">
        <v>104745</v>
      </c>
      <c r="BP2">
        <v>99588.160000000003</v>
      </c>
      <c r="BQ2">
        <v>94859.26</v>
      </c>
      <c r="BR2">
        <v>90315.59</v>
      </c>
      <c r="BS2">
        <v>85689.05</v>
      </c>
      <c r="BT2">
        <v>80659.38</v>
      </c>
      <c r="BU2">
        <v>74809.850000000006</v>
      </c>
      <c r="BV2">
        <v>67536.460000000006</v>
      </c>
      <c r="BW2">
        <v>57806.34</v>
      </c>
      <c r="BX2">
        <f>RSQ(BE2:BM205, BO2:BW205)</f>
        <v>0.97188895111029405</v>
      </c>
      <c r="BY2">
        <f>RSQ(BE2:BM2, BO2:BW2)</f>
        <v>0.95548595825852811</v>
      </c>
    </row>
    <row r="3" spans="1:77" x14ac:dyDescent="0.3">
      <c r="A3" s="6" t="s">
        <v>9</v>
      </c>
      <c r="B3">
        <v>300</v>
      </c>
      <c r="C3">
        <v>770</v>
      </c>
      <c r="E3">
        <v>300</v>
      </c>
      <c r="F3">
        <v>352.22219999999999</v>
      </c>
      <c r="G3">
        <v>404.44439999999997</v>
      </c>
      <c r="H3">
        <v>456.66669999999999</v>
      </c>
      <c r="I3">
        <v>508.88889999999998</v>
      </c>
      <c r="J3">
        <v>561.11109999999996</v>
      </c>
      <c r="K3">
        <v>613.33330000000001</v>
      </c>
      <c r="L3">
        <v>665.55560000000003</v>
      </c>
      <c r="M3">
        <v>717.77779999999996</v>
      </c>
      <c r="N3">
        <v>770</v>
      </c>
      <c r="O3" s="13">
        <v>8.54021E-5</v>
      </c>
      <c r="P3">
        <v>5.4683099999999998E-2</v>
      </c>
      <c r="Q3">
        <v>4.6983839999999999</v>
      </c>
      <c r="R3">
        <v>113.96339999999999</v>
      </c>
      <c r="S3">
        <v>1201.0509999999999</v>
      </c>
      <c r="T3">
        <v>7170.1859999999997</v>
      </c>
      <c r="U3">
        <v>28774.58</v>
      </c>
      <c r="V3">
        <v>87116.03</v>
      </c>
      <c r="W3">
        <v>215898</v>
      </c>
      <c r="X3">
        <v>466189</v>
      </c>
      <c r="AA3">
        <f t="shared" ref="AA3:AA66" si="4">1/E3</f>
        <v>3.3333333333333335E-3</v>
      </c>
      <c r="AB3">
        <f t="shared" ref="AB3:AB66" si="5">1/F3</f>
        <v>2.8391168983669967E-3</v>
      </c>
      <c r="AC3">
        <f t="shared" ref="AC3:AC66" si="6">1/G3</f>
        <v>2.4725277442338182E-3</v>
      </c>
      <c r="AD3">
        <f t="shared" ref="AD3:AD66" si="7">1/H3</f>
        <v>2.1897808620597913E-3</v>
      </c>
      <c r="AE3">
        <f t="shared" ref="AE3:AE66" si="8">1/I3</f>
        <v>1.9650654592780468E-3</v>
      </c>
      <c r="AF3">
        <f t="shared" ref="AF3:AF66" si="9">1/J3</f>
        <v>1.7821782531124407E-3</v>
      </c>
      <c r="AG3">
        <f t="shared" ref="AG3:AG66" si="10">1/K3</f>
        <v>1.6304348712192864E-3</v>
      </c>
      <c r="AH3">
        <f t="shared" ref="AH3:AH66" si="11">1/L3</f>
        <v>1.5025040732885425E-3</v>
      </c>
      <c r="AI3">
        <f t="shared" ref="AI3:AI66" si="12">1/M3</f>
        <v>1.3931888113563836E-3</v>
      </c>
      <c r="AJ3">
        <f t="shared" ref="AJ3:AJ66" si="13">1/N3</f>
        <v>1.2987012987012987E-3</v>
      </c>
      <c r="AK3">
        <f t="shared" ref="AK3:AK66" si="14">LN(O3)</f>
        <v>-9.3681398673081482</v>
      </c>
      <c r="AL3">
        <f t="shared" ref="AL3:AL66" si="15">LN(P3)</f>
        <v>-2.9062005752440108</v>
      </c>
      <c r="AM3">
        <f t="shared" ref="AM3:AM66" si="16">LN(Q3)</f>
        <v>1.5472186198057649</v>
      </c>
      <c r="AN3">
        <f t="shared" ref="AN3:AN66" si="17">LN(R3)</f>
        <v>4.7358773442144866</v>
      </c>
      <c r="AO3">
        <f t="shared" ref="AO3:AO66" si="18">LN(S3)</f>
        <v>7.09095228579121</v>
      </c>
      <c r="AP3">
        <f t="shared" ref="AP3:AP66" si="19">LN(T3)</f>
        <v>8.877686874679787</v>
      </c>
      <c r="AQ3">
        <f t="shared" ref="AQ3:AQ66" si="20">LN(U3)</f>
        <v>10.267247637480086</v>
      </c>
      <c r="AR3">
        <f t="shared" ref="AR3:AR66" si="21">LN(V3)</f>
        <v>11.374996187238869</v>
      </c>
      <c r="AS3">
        <f t="shared" ref="AS3:AS66" si="22">LN(W3)</f>
        <v>12.282561352912053</v>
      </c>
      <c r="AT3">
        <f t="shared" ref="AT3:AT66" si="23">LN(X3)</f>
        <v>13.052346410281832</v>
      </c>
      <c r="AU3">
        <f t="shared" ref="AU3:AU66" si="24">RSQ(AK3:AT3, AA3:AJ3)</f>
        <v>0.99383116881455003</v>
      </c>
      <c r="AV3">
        <f t="shared" ref="AV3:AV66" si="25">-SLOPE(AK3:AL3, AA3:AB3)</f>
        <v>13075.120200129095</v>
      </c>
      <c r="AW3">
        <f t="shared" ref="AW3:AW66" si="26">-SLOPE(AL3:AM3, AB3:AC3)</f>
        <v>12148.256828765559</v>
      </c>
      <c r="AX3">
        <f t="shared" ref="AX3:AX66" si="27">-SLOPE(AM3:AN3, AC3:AD3)</f>
        <v>11277.431955717004</v>
      </c>
      <c r="AY3">
        <f t="shared" ref="AY3:AY66" si="28">-SLOPE(AN3:AO3, AD3:AE3)</f>
        <v>10480.255970099641</v>
      </c>
      <c r="AZ3">
        <f t="shared" ref="AZ3:AZ66" si="29">-SLOPE(AO3:AP3, AE3:AF3)</f>
        <v>9769.598575805634</v>
      </c>
      <c r="BA3">
        <f t="shared" ref="BA3:BA66" si="30">-SLOPE(AP3:AQ3, AF3:AG3)</f>
        <v>9157.3071949768346</v>
      </c>
      <c r="BB3">
        <f t="shared" ref="BB3:BB66" si="31">-SLOPE(AQ3:AR3, AG3:AH3)</f>
        <v>8658.9669389732862</v>
      </c>
      <c r="BC3">
        <f t="shared" ref="BC3:BC66" si="32">-SLOPE(AR3:AS3, AH3:AI3)</f>
        <v>8302.273165081182</v>
      </c>
      <c r="BD3">
        <f t="shared" ref="BD3:BD66" si="33">-SLOPE(AS3:AT3, AI3:AJ3)</f>
        <v>8146.9501708631587</v>
      </c>
      <c r="BE3">
        <f t="shared" ref="BE3:BE66" si="34">AV3*8.314</f>
        <v>108706.5493438733</v>
      </c>
      <c r="BF3">
        <f t="shared" ref="BF3:BF66" si="35">AW3*8.314</f>
        <v>101000.60727435687</v>
      </c>
      <c r="BG3">
        <f t="shared" ref="BG3:BG66" si="36">AX3*8.314</f>
        <v>93760.569279831165</v>
      </c>
      <c r="BH3">
        <f t="shared" ref="BH3:BH66" si="37">AY3*8.314</f>
        <v>87132.848135408407</v>
      </c>
      <c r="BI3">
        <f t="shared" ref="BI3:BI66" si="38">AZ3*8.314</f>
        <v>81224.44255924804</v>
      </c>
      <c r="BJ3">
        <f t="shared" ref="BJ3:BJ66" si="39">BA3*8.314</f>
        <v>76133.852019037397</v>
      </c>
      <c r="BK3">
        <f t="shared" ref="BK3:BK66" si="40">BB3*8.314</f>
        <v>71990.651130623897</v>
      </c>
      <c r="BL3">
        <f t="shared" ref="BL3:BL66" si="41">BC3*8.314</f>
        <v>69025.099094484947</v>
      </c>
      <c r="BM3">
        <f t="shared" ref="BM3:BM66" si="42">BD3*8.314</f>
        <v>67733.743720556304</v>
      </c>
      <c r="BO3">
        <v>112267</v>
      </c>
      <c r="BP3">
        <v>104455</v>
      </c>
      <c r="BQ3">
        <v>97223.54</v>
      </c>
      <c r="BR3">
        <v>90389.09</v>
      </c>
      <c r="BS3">
        <v>83755.3</v>
      </c>
      <c r="BT3">
        <v>77089.289999999994</v>
      </c>
      <c r="BU3">
        <v>70082.429999999993</v>
      </c>
      <c r="BV3">
        <v>62265.919999999998</v>
      </c>
      <c r="BW3">
        <v>52787.79</v>
      </c>
      <c r="BY3">
        <f t="shared" ref="BY3:BY66" si="43">RSQ(BE3:BM3, BO3:BW3)</f>
        <v>0.95208036978508437</v>
      </c>
    </row>
    <row r="4" spans="1:77" x14ac:dyDescent="0.3">
      <c r="A4" s="6" t="s">
        <v>12</v>
      </c>
      <c r="B4">
        <v>300</v>
      </c>
      <c r="C4">
        <v>820</v>
      </c>
      <c r="E4">
        <v>300</v>
      </c>
      <c r="F4">
        <v>357.77780000000001</v>
      </c>
      <c r="G4">
        <v>415.55560000000003</v>
      </c>
      <c r="H4">
        <v>473.33330000000001</v>
      </c>
      <c r="I4">
        <v>531.11109999999996</v>
      </c>
      <c r="J4">
        <v>588.88890000000004</v>
      </c>
      <c r="K4">
        <v>646.66669999999999</v>
      </c>
      <c r="L4">
        <v>704.44439999999997</v>
      </c>
      <c r="M4">
        <v>762.22220000000004</v>
      </c>
      <c r="N4">
        <v>820</v>
      </c>
      <c r="O4" s="13">
        <v>6.4107700000000001E-6</v>
      </c>
      <c r="P4">
        <v>1.1780499999999999E-2</v>
      </c>
      <c r="Q4">
        <v>1.801628</v>
      </c>
      <c r="R4">
        <v>60.853810000000003</v>
      </c>
      <c r="S4">
        <v>780.75080000000003</v>
      </c>
      <c r="T4">
        <v>5253.7219999999998</v>
      </c>
      <c r="U4">
        <v>22707.02</v>
      </c>
      <c r="V4">
        <v>72036.67</v>
      </c>
      <c r="W4">
        <v>184015</v>
      </c>
      <c r="X4">
        <v>405830</v>
      </c>
      <c r="AA4">
        <f t="shared" si="4"/>
        <v>3.3333333333333335E-3</v>
      </c>
      <c r="AB4">
        <f t="shared" si="5"/>
        <v>2.7950308822962183E-3</v>
      </c>
      <c r="AC4">
        <f t="shared" si="6"/>
        <v>2.4064168549286784E-3</v>
      </c>
      <c r="AD4">
        <f t="shared" si="7"/>
        <v>2.1126762051180427E-3</v>
      </c>
      <c r="AE4">
        <f t="shared" si="8"/>
        <v>1.8828452276745864E-3</v>
      </c>
      <c r="AF4">
        <f t="shared" si="9"/>
        <v>1.6981131755072984E-3</v>
      </c>
      <c r="AG4">
        <f t="shared" si="10"/>
        <v>1.5463916728664087E-3</v>
      </c>
      <c r="AH4">
        <f t="shared" si="11"/>
        <v>1.4195584491834984E-3</v>
      </c>
      <c r="AI4">
        <f t="shared" si="12"/>
        <v>1.3119533910190492E-3</v>
      </c>
      <c r="AJ4">
        <f t="shared" si="13"/>
        <v>1.2195121951219512E-3</v>
      </c>
      <c r="AK4">
        <f t="shared" si="14"/>
        <v>-11.957531169441109</v>
      </c>
      <c r="AL4">
        <f t="shared" si="15"/>
        <v>-4.4413096568377206</v>
      </c>
      <c r="AM4">
        <f t="shared" si="16"/>
        <v>0.58869070058313755</v>
      </c>
      <c r="AN4">
        <f t="shared" si="17"/>
        <v>4.1084744304561696</v>
      </c>
      <c r="AO4">
        <f t="shared" si="18"/>
        <v>6.6602560208184425</v>
      </c>
      <c r="AP4">
        <f t="shared" si="19"/>
        <v>8.5666920567785958</v>
      </c>
      <c r="AQ4">
        <f t="shared" si="20"/>
        <v>10.030429406762551</v>
      </c>
      <c r="AR4">
        <f t="shared" si="21"/>
        <v>11.184930573901694</v>
      </c>
      <c r="AS4">
        <f t="shared" si="22"/>
        <v>12.122772555007536</v>
      </c>
      <c r="AT4">
        <f t="shared" si="23"/>
        <v>12.913689631684679</v>
      </c>
      <c r="AU4">
        <f t="shared" si="24"/>
        <v>0.99346785274917648</v>
      </c>
      <c r="AV4">
        <f t="shared" si="25"/>
        <v>13962.822383814771</v>
      </c>
      <c r="AW4">
        <f t="shared" si="26"/>
        <v>12943.434881890225</v>
      </c>
      <c r="AX4">
        <f t="shared" si="27"/>
        <v>11982.623896767825</v>
      </c>
      <c r="AY4">
        <f t="shared" si="28"/>
        <v>11102.861845462365</v>
      </c>
      <c r="AZ4">
        <f t="shared" si="29"/>
        <v>10320.006807663998</v>
      </c>
      <c r="BA4">
        <f t="shared" si="30"/>
        <v>9647.5273742080008</v>
      </c>
      <c r="BB4">
        <f t="shared" si="31"/>
        <v>9102.5137863361124</v>
      </c>
      <c r="BC4">
        <f t="shared" si="32"/>
        <v>8715.5938308454843</v>
      </c>
      <c r="BD4">
        <f t="shared" si="33"/>
        <v>8555.8940362212743</v>
      </c>
      <c r="BE4">
        <f t="shared" si="34"/>
        <v>116086.90529903601</v>
      </c>
      <c r="BF4">
        <f t="shared" si="35"/>
        <v>107611.71760803534</v>
      </c>
      <c r="BG4">
        <f t="shared" si="36"/>
        <v>99623.535077727705</v>
      </c>
      <c r="BH4">
        <f t="shared" si="37"/>
        <v>92309.193383174104</v>
      </c>
      <c r="BI4">
        <f t="shared" si="38"/>
        <v>85800.536598918479</v>
      </c>
      <c r="BJ4">
        <f t="shared" si="39"/>
        <v>80209.542589165314</v>
      </c>
      <c r="BK4">
        <f t="shared" si="40"/>
        <v>75678.299619598445</v>
      </c>
      <c r="BL4">
        <f t="shared" si="41"/>
        <v>72461.447109649351</v>
      </c>
      <c r="BM4">
        <f t="shared" si="42"/>
        <v>71133.703017143678</v>
      </c>
      <c r="BO4">
        <v>119966</v>
      </c>
      <c r="BP4">
        <v>111274</v>
      </c>
      <c r="BQ4">
        <v>103341</v>
      </c>
      <c r="BR4">
        <v>95919.7</v>
      </c>
      <c r="BS4">
        <v>88750.95</v>
      </c>
      <c r="BT4">
        <v>81538.89</v>
      </c>
      <c r="BU4">
        <v>73902.36</v>
      </c>
      <c r="BV4">
        <v>65276.83</v>
      </c>
      <c r="BW4">
        <v>54653</v>
      </c>
      <c r="BY4">
        <f t="shared" si="43"/>
        <v>0.94937745517358585</v>
      </c>
    </row>
    <row r="5" spans="1:77" x14ac:dyDescent="0.3">
      <c r="A5" s="6" t="s">
        <v>15</v>
      </c>
      <c r="B5">
        <v>300</v>
      </c>
      <c r="C5">
        <v>870</v>
      </c>
      <c r="E5">
        <v>300</v>
      </c>
      <c r="F5">
        <v>363.33330000000001</v>
      </c>
      <c r="G5">
        <v>426.66669999999999</v>
      </c>
      <c r="H5">
        <v>490</v>
      </c>
      <c r="I5">
        <v>553.33330000000001</v>
      </c>
      <c r="J5">
        <v>616.66669999999999</v>
      </c>
      <c r="K5">
        <v>680</v>
      </c>
      <c r="L5">
        <v>743.33330000000001</v>
      </c>
      <c r="M5">
        <v>806.66669999999999</v>
      </c>
      <c r="N5">
        <v>870</v>
      </c>
      <c r="O5">
        <v>1.4654800000000001E-4</v>
      </c>
      <c r="P5">
        <v>0.1219407</v>
      </c>
      <c r="Q5">
        <v>9.9088419999999999</v>
      </c>
      <c r="R5">
        <v>206.185</v>
      </c>
      <c r="S5">
        <v>1834.9639999999999</v>
      </c>
      <c r="T5">
        <v>9380.5499999999993</v>
      </c>
      <c r="U5">
        <v>32973.599999999999</v>
      </c>
      <c r="V5">
        <v>89433.54</v>
      </c>
      <c r="W5">
        <v>202322</v>
      </c>
      <c r="X5">
        <v>404237</v>
      </c>
      <c r="AA5">
        <f t="shared" si="4"/>
        <v>3.3333333333333335E-3</v>
      </c>
      <c r="AB5">
        <f t="shared" si="5"/>
        <v>2.7522938304856723E-3</v>
      </c>
      <c r="AC5">
        <f t="shared" si="6"/>
        <v>2.3437498168945455E-3</v>
      </c>
      <c r="AD5">
        <f t="shared" si="7"/>
        <v>2.0408163265306124E-3</v>
      </c>
      <c r="AE5">
        <f t="shared" si="8"/>
        <v>1.807229024531869E-3</v>
      </c>
      <c r="AF5">
        <f t="shared" si="9"/>
        <v>1.6216215339664036E-3</v>
      </c>
      <c r="AG5">
        <f t="shared" si="10"/>
        <v>1.4705882352941176E-3</v>
      </c>
      <c r="AH5">
        <f t="shared" si="11"/>
        <v>1.3452915401476026E-3</v>
      </c>
      <c r="AI5">
        <f t="shared" si="12"/>
        <v>1.2396693702615962E-3</v>
      </c>
      <c r="AJ5">
        <f t="shared" si="13"/>
        <v>1.1494252873563218E-3</v>
      </c>
      <c r="AK5">
        <f t="shared" si="14"/>
        <v>-8.8281575381198767</v>
      </c>
      <c r="AL5">
        <f t="shared" si="15"/>
        <v>-2.1042204179908151</v>
      </c>
      <c r="AM5">
        <f t="shared" si="16"/>
        <v>2.2934274898492242</v>
      </c>
      <c r="AN5">
        <f t="shared" si="17"/>
        <v>5.3287738240289642</v>
      </c>
      <c r="AO5">
        <f t="shared" si="18"/>
        <v>7.5147801417676146</v>
      </c>
      <c r="AP5">
        <f t="shared" si="19"/>
        <v>9.1463936756757391</v>
      </c>
      <c r="AQ5">
        <f t="shared" si="20"/>
        <v>10.403462520277849</v>
      </c>
      <c r="AR5">
        <f t="shared" si="21"/>
        <v>11.401251058589004</v>
      </c>
      <c r="AS5">
        <f t="shared" si="22"/>
        <v>12.217615766625157</v>
      </c>
      <c r="AT5">
        <f t="shared" si="23"/>
        <v>12.909756618604391</v>
      </c>
      <c r="AU5">
        <f t="shared" si="24"/>
        <v>0.99497541446025983</v>
      </c>
      <c r="AV5">
        <f t="shared" si="25"/>
        <v>11572.254704155568</v>
      </c>
      <c r="AW5">
        <f t="shared" si="26"/>
        <v>10764.196173588363</v>
      </c>
      <c r="AX5">
        <f t="shared" si="27"/>
        <v>10019.844060599531</v>
      </c>
      <c r="AY5">
        <f t="shared" si="28"/>
        <v>9358.4124609239643</v>
      </c>
      <c r="AZ5">
        <f t="shared" si="29"/>
        <v>8790.6664161953104</v>
      </c>
      <c r="BA5">
        <f t="shared" si="30"/>
        <v>8323.1238121185052</v>
      </c>
      <c r="BB5">
        <f t="shared" si="31"/>
        <v>7963.4066736109608</v>
      </c>
      <c r="BC5">
        <f t="shared" si="32"/>
        <v>7729.103737569686</v>
      </c>
      <c r="BD5">
        <f t="shared" si="33"/>
        <v>7669.6535628352103</v>
      </c>
      <c r="BE5">
        <f t="shared" si="34"/>
        <v>96211.7256103494</v>
      </c>
      <c r="BF5">
        <f t="shared" si="35"/>
        <v>89493.526987213656</v>
      </c>
      <c r="BG5">
        <f t="shared" si="36"/>
        <v>83304.983519824498</v>
      </c>
      <c r="BH5">
        <f t="shared" si="37"/>
        <v>77805.841200121838</v>
      </c>
      <c r="BI5">
        <f t="shared" si="38"/>
        <v>73085.600584247804</v>
      </c>
      <c r="BJ5">
        <f t="shared" si="39"/>
        <v>69198.451373953256</v>
      </c>
      <c r="BK5">
        <f t="shared" si="40"/>
        <v>66207.763084401522</v>
      </c>
      <c r="BL5">
        <f t="shared" si="41"/>
        <v>64259.768474154371</v>
      </c>
      <c r="BM5">
        <f t="shared" si="42"/>
        <v>63765.499721411936</v>
      </c>
      <c r="BO5">
        <v>99357.759999999995</v>
      </c>
      <c r="BP5">
        <v>92280.01</v>
      </c>
      <c r="BQ5">
        <v>86039.58</v>
      </c>
      <c r="BR5">
        <v>80326.69</v>
      </c>
      <c r="BS5">
        <v>74828.34</v>
      </c>
      <c r="BT5">
        <v>69195.88</v>
      </c>
      <c r="BU5">
        <v>62995.26</v>
      </c>
      <c r="BV5">
        <v>55609.56</v>
      </c>
      <c r="BW5">
        <v>45981.91</v>
      </c>
      <c r="BY5">
        <f t="shared" si="43"/>
        <v>0.91714920742930561</v>
      </c>
    </row>
    <row r="6" spans="1:77" x14ac:dyDescent="0.3">
      <c r="A6" s="6" t="s">
        <v>18</v>
      </c>
      <c r="B6">
        <v>300</v>
      </c>
      <c r="C6">
        <v>920</v>
      </c>
      <c r="E6">
        <v>300</v>
      </c>
      <c r="F6">
        <v>368.88889999999998</v>
      </c>
      <c r="G6">
        <v>437.77780000000001</v>
      </c>
      <c r="H6">
        <v>506.66669999999999</v>
      </c>
      <c r="I6">
        <v>575.55560000000003</v>
      </c>
      <c r="J6">
        <v>644.44439999999997</v>
      </c>
      <c r="K6">
        <v>713.33330000000001</v>
      </c>
      <c r="L6">
        <v>782.22220000000004</v>
      </c>
      <c r="M6">
        <v>851.11109999999996</v>
      </c>
      <c r="N6">
        <v>920</v>
      </c>
      <c r="O6">
        <v>4.6384300000000002E-4</v>
      </c>
      <c r="P6">
        <v>0.31652469999999999</v>
      </c>
      <c r="Q6">
        <v>20.507709999999999</v>
      </c>
      <c r="R6">
        <v>350.20589999999999</v>
      </c>
      <c r="S6">
        <v>2657.0219999999999</v>
      </c>
      <c r="T6">
        <v>11985.89</v>
      </c>
      <c r="U6">
        <v>38234.97</v>
      </c>
      <c r="V6">
        <v>96172.93</v>
      </c>
      <c r="W6">
        <v>205040</v>
      </c>
      <c r="X6">
        <v>390548</v>
      </c>
      <c r="AA6">
        <f t="shared" si="4"/>
        <v>3.3333333333333335E-3</v>
      </c>
      <c r="AB6">
        <f t="shared" si="5"/>
        <v>2.7108432918420697E-3</v>
      </c>
      <c r="AC6">
        <f t="shared" si="6"/>
        <v>2.2842638434383837E-3</v>
      </c>
      <c r="AD6">
        <f t="shared" si="7"/>
        <v>1.9736840806786789E-3</v>
      </c>
      <c r="AE6">
        <f t="shared" si="8"/>
        <v>1.7374516032855904E-3</v>
      </c>
      <c r="AF6">
        <f t="shared" si="9"/>
        <v>1.5517242449464997E-3</v>
      </c>
      <c r="AG6">
        <f t="shared" si="10"/>
        <v>1.4018692243864123E-3</v>
      </c>
      <c r="AH6">
        <f t="shared" si="11"/>
        <v>1.278409127227532E-3</v>
      </c>
      <c r="AI6">
        <f t="shared" si="12"/>
        <v>1.1749347411871376E-3</v>
      </c>
      <c r="AJ6">
        <f t="shared" si="13"/>
        <v>1.0869565217391304E-3</v>
      </c>
      <c r="AK6">
        <f t="shared" si="14"/>
        <v>-7.6759644250643451</v>
      </c>
      <c r="AL6">
        <f t="shared" si="15"/>
        <v>-1.1503539993687029</v>
      </c>
      <c r="AM6">
        <f t="shared" si="16"/>
        <v>3.0208009129983782</v>
      </c>
      <c r="AN6">
        <f t="shared" si="17"/>
        <v>5.8585212672255391</v>
      </c>
      <c r="AO6">
        <f t="shared" si="18"/>
        <v>7.8849612257405886</v>
      </c>
      <c r="AP6">
        <f t="shared" si="19"/>
        <v>9.3914854036024149</v>
      </c>
      <c r="AQ6">
        <f t="shared" si="20"/>
        <v>10.551505820856597</v>
      </c>
      <c r="AR6">
        <f t="shared" si="21"/>
        <v>11.473903204123985</v>
      </c>
      <c r="AS6">
        <f t="shared" si="22"/>
        <v>12.230960361037953</v>
      </c>
      <c r="AT6">
        <f t="shared" si="23"/>
        <v>12.875306160042102</v>
      </c>
      <c r="AU6">
        <f t="shared" si="24"/>
        <v>0.99585467667669736</v>
      </c>
      <c r="AV6">
        <f t="shared" si="25"/>
        <v>10483.076018473501</v>
      </c>
      <c r="AW6">
        <f t="shared" si="26"/>
        <v>9778.1431524094005</v>
      </c>
      <c r="AX6">
        <f t="shared" si="27"/>
        <v>9136.8488693923719</v>
      </c>
      <c r="AY6">
        <f t="shared" si="28"/>
        <v>8578.159874025594</v>
      </c>
      <c r="AZ6">
        <f t="shared" si="29"/>
        <v>8111.4822896005353</v>
      </c>
      <c r="BA6">
        <f t="shared" si="30"/>
        <v>7740.9513069270079</v>
      </c>
      <c r="BB6">
        <f t="shared" si="31"/>
        <v>7471.2186730288931</v>
      </c>
      <c r="BC6">
        <f t="shared" si="32"/>
        <v>7316.3725428477255</v>
      </c>
      <c r="BD6">
        <f t="shared" si="33"/>
        <v>7323.9240694674581</v>
      </c>
      <c r="BE6">
        <f t="shared" si="34"/>
        <v>87156.294017588691</v>
      </c>
      <c r="BF6">
        <f t="shared" si="35"/>
        <v>81295.482169131763</v>
      </c>
      <c r="BG6">
        <f t="shared" si="36"/>
        <v>75963.761500128181</v>
      </c>
      <c r="BH6">
        <f t="shared" si="37"/>
        <v>71318.821192648786</v>
      </c>
      <c r="BI6">
        <f t="shared" si="38"/>
        <v>67438.863755738857</v>
      </c>
      <c r="BJ6">
        <f t="shared" si="39"/>
        <v>64358.269165791142</v>
      </c>
      <c r="BK6">
        <f t="shared" si="40"/>
        <v>62115.712047562221</v>
      </c>
      <c r="BL6">
        <f t="shared" si="41"/>
        <v>60828.321321235991</v>
      </c>
      <c r="BM6">
        <f t="shared" si="42"/>
        <v>60891.10471355245</v>
      </c>
      <c r="BO6">
        <v>89918.39</v>
      </c>
      <c r="BP6">
        <v>83640.19</v>
      </c>
      <c r="BQ6">
        <v>78239.509999999995</v>
      </c>
      <c r="BR6">
        <v>73343.100000000006</v>
      </c>
      <c r="BS6">
        <v>68572.42</v>
      </c>
      <c r="BT6">
        <v>63506.400000000001</v>
      </c>
      <c r="BU6">
        <v>57628.08</v>
      </c>
      <c r="BV6">
        <v>50227.42</v>
      </c>
      <c r="BW6">
        <v>40144.44</v>
      </c>
      <c r="BY6">
        <f t="shared" si="43"/>
        <v>0.8690741783319087</v>
      </c>
    </row>
    <row r="7" spans="1:77" x14ac:dyDescent="0.3">
      <c r="A7" s="6" t="s">
        <v>21</v>
      </c>
      <c r="B7">
        <v>300</v>
      </c>
      <c r="C7">
        <v>963</v>
      </c>
      <c r="E7">
        <v>300</v>
      </c>
      <c r="F7">
        <v>373.66669999999999</v>
      </c>
      <c r="G7">
        <v>447.33330000000001</v>
      </c>
      <c r="H7">
        <v>521</v>
      </c>
      <c r="I7">
        <v>594.66669999999999</v>
      </c>
      <c r="J7">
        <v>668.33330000000001</v>
      </c>
      <c r="K7">
        <v>742</v>
      </c>
      <c r="L7">
        <v>815.66669999999999</v>
      </c>
      <c r="M7">
        <v>889.33330000000001</v>
      </c>
      <c r="N7">
        <v>963</v>
      </c>
      <c r="O7" s="13">
        <v>7.8438399999999999E-8</v>
      </c>
      <c r="P7">
        <v>1.21689E-3</v>
      </c>
      <c r="Q7">
        <v>0.55017199999999999</v>
      </c>
      <c r="R7">
        <v>31.206610000000001</v>
      </c>
      <c r="S7">
        <v>513.96969999999999</v>
      </c>
      <c r="T7">
        <v>3887.1759999999999</v>
      </c>
      <c r="U7">
        <v>17663.34</v>
      </c>
      <c r="V7">
        <v>56999.38</v>
      </c>
      <c r="W7">
        <v>145923</v>
      </c>
      <c r="X7">
        <v>321624</v>
      </c>
      <c r="AA7">
        <f t="shared" si="4"/>
        <v>3.3333333333333335E-3</v>
      </c>
      <c r="AB7">
        <f t="shared" si="5"/>
        <v>2.6761817416430206E-3</v>
      </c>
      <c r="AC7">
        <f t="shared" si="6"/>
        <v>2.2354696151616702E-3</v>
      </c>
      <c r="AD7">
        <f t="shared" si="7"/>
        <v>1.9193857965451055E-3</v>
      </c>
      <c r="AE7">
        <f t="shared" si="8"/>
        <v>1.681614255514896E-3</v>
      </c>
      <c r="AF7">
        <f t="shared" si="9"/>
        <v>1.496259426247353E-3</v>
      </c>
      <c r="AG7">
        <f t="shared" si="10"/>
        <v>1.3477088948787063E-3</v>
      </c>
      <c r="AH7">
        <f t="shared" si="11"/>
        <v>1.225990959297468E-3</v>
      </c>
      <c r="AI7">
        <f t="shared" si="12"/>
        <v>1.124437823254791E-3</v>
      </c>
      <c r="AJ7">
        <f t="shared" si="13"/>
        <v>1.0384215991692627E-3</v>
      </c>
      <c r="AK7">
        <f t="shared" si="14"/>
        <v>-16.360952233582548</v>
      </c>
      <c r="AL7">
        <f t="shared" si="15"/>
        <v>-6.7114568552573886</v>
      </c>
      <c r="AM7">
        <f t="shared" si="16"/>
        <v>-0.59752432237187436</v>
      </c>
      <c r="AN7">
        <f t="shared" si="17"/>
        <v>3.4406299313508524</v>
      </c>
      <c r="AO7">
        <f t="shared" si="18"/>
        <v>6.2421643143012373</v>
      </c>
      <c r="AP7">
        <f t="shared" si="19"/>
        <v>8.2654382089627347</v>
      </c>
      <c r="AQ7">
        <f t="shared" si="20"/>
        <v>9.7792465842483303</v>
      </c>
      <c r="AR7">
        <f t="shared" si="21"/>
        <v>10.950795669564547</v>
      </c>
      <c r="AS7">
        <f t="shared" si="22"/>
        <v>11.890834364307347</v>
      </c>
      <c r="AT7">
        <f t="shared" si="23"/>
        <v>12.681138440368175</v>
      </c>
      <c r="AU7">
        <f t="shared" si="24"/>
        <v>0.99382606362791504</v>
      </c>
      <c r="AV7">
        <f t="shared" si="25"/>
        <v>14683.819533183978</v>
      </c>
      <c r="AW7">
        <f t="shared" si="26"/>
        <v>13872.848432148232</v>
      </c>
      <c r="AX7">
        <f t="shared" si="27"/>
        <v>12775.580450137928</v>
      </c>
      <c r="AY7">
        <f t="shared" si="28"/>
        <v>11782.462992887966</v>
      </c>
      <c r="AZ7">
        <f t="shared" si="29"/>
        <v>10915.679416914909</v>
      </c>
      <c r="BA7">
        <f t="shared" si="30"/>
        <v>10190.528174745408</v>
      </c>
      <c r="BB7">
        <f t="shared" si="31"/>
        <v>9625.1146531670292</v>
      </c>
      <c r="BC7">
        <f t="shared" si="32"/>
        <v>9256.6190604665808</v>
      </c>
      <c r="BD7">
        <f t="shared" si="33"/>
        <v>9187.8489722474515</v>
      </c>
      <c r="BE7">
        <f t="shared" si="34"/>
        <v>122081.27559889159</v>
      </c>
      <c r="BF7">
        <f t="shared" si="35"/>
        <v>115338.8618648804</v>
      </c>
      <c r="BG7">
        <f t="shared" si="36"/>
        <v>106216.17586244673</v>
      </c>
      <c r="BH7">
        <f t="shared" si="37"/>
        <v>97959.397322870544</v>
      </c>
      <c r="BI7">
        <f t="shared" si="38"/>
        <v>90752.958672230554</v>
      </c>
      <c r="BJ7">
        <f t="shared" si="39"/>
        <v>84724.051244833332</v>
      </c>
      <c r="BK7">
        <f t="shared" si="40"/>
        <v>80023.203226430676</v>
      </c>
      <c r="BL7">
        <f t="shared" si="41"/>
        <v>76959.530868719157</v>
      </c>
      <c r="BM7">
        <f t="shared" si="42"/>
        <v>76387.776355265305</v>
      </c>
      <c r="BO7">
        <v>129484</v>
      </c>
      <c r="BP7">
        <v>119071</v>
      </c>
      <c r="BQ7">
        <v>110073</v>
      </c>
      <c r="BR7">
        <v>101992</v>
      </c>
      <c r="BS7">
        <v>94284.23</v>
      </c>
      <c r="BT7">
        <v>86363.94</v>
      </c>
      <c r="BU7">
        <v>77520.86</v>
      </c>
      <c r="BV7">
        <v>66770.52</v>
      </c>
      <c r="BW7">
        <v>52446.77</v>
      </c>
      <c r="BY7">
        <f t="shared" si="43"/>
        <v>0.92401766138362695</v>
      </c>
    </row>
    <row r="8" spans="1:77" x14ac:dyDescent="0.3">
      <c r="A8" s="6" t="s">
        <v>24</v>
      </c>
      <c r="B8">
        <v>300</v>
      </c>
      <c r="C8">
        <v>944</v>
      </c>
      <c r="E8">
        <v>300</v>
      </c>
      <c r="F8">
        <v>371.55560000000003</v>
      </c>
      <c r="G8">
        <v>443.11110000000002</v>
      </c>
      <c r="H8">
        <v>514.66669999999999</v>
      </c>
      <c r="I8">
        <v>586.22220000000004</v>
      </c>
      <c r="J8">
        <v>657.77779999999996</v>
      </c>
      <c r="K8">
        <v>729.33330000000001</v>
      </c>
      <c r="L8">
        <v>800.88890000000004</v>
      </c>
      <c r="M8">
        <v>872.44439999999997</v>
      </c>
      <c r="N8">
        <v>944</v>
      </c>
      <c r="O8">
        <v>1.7153999999999999E-2</v>
      </c>
      <c r="P8">
        <v>2.632171</v>
      </c>
      <c r="Q8">
        <v>67.837549999999993</v>
      </c>
      <c r="R8">
        <v>639.31179999999995</v>
      </c>
      <c r="S8">
        <v>3262.6860000000001</v>
      </c>
      <c r="T8">
        <v>11209.01</v>
      </c>
      <c r="U8">
        <v>29495.15</v>
      </c>
      <c r="V8">
        <v>64447.29</v>
      </c>
      <c r="W8">
        <v>123297</v>
      </c>
      <c r="X8">
        <v>214276</v>
      </c>
      <c r="AA8">
        <f t="shared" si="4"/>
        <v>3.3333333333333335E-3</v>
      </c>
      <c r="AB8">
        <f t="shared" si="5"/>
        <v>2.6913872378723398E-3</v>
      </c>
      <c r="AC8">
        <f t="shared" si="6"/>
        <v>2.2567703675218246E-3</v>
      </c>
      <c r="AD8">
        <f t="shared" si="7"/>
        <v>1.943005055504854E-3</v>
      </c>
      <c r="AE8">
        <f t="shared" si="8"/>
        <v>1.7058378205397201E-3</v>
      </c>
      <c r="AF8">
        <f t="shared" si="9"/>
        <v>1.52027021890979E-3</v>
      </c>
      <c r="AG8">
        <f t="shared" si="10"/>
        <v>1.3711152363398188E-3</v>
      </c>
      <c r="AH8">
        <f t="shared" si="11"/>
        <v>1.2486126352856182E-3</v>
      </c>
      <c r="AI8">
        <f t="shared" si="12"/>
        <v>1.1462048469793606E-3</v>
      </c>
      <c r="AJ8">
        <f t="shared" si="13"/>
        <v>1.0593220338983051E-3</v>
      </c>
      <c r="AK8">
        <f t="shared" si="14"/>
        <v>-4.0655238964139073</v>
      </c>
      <c r="AL8">
        <f t="shared" si="15"/>
        <v>0.96780898095750068</v>
      </c>
      <c r="AM8">
        <f t="shared" si="16"/>
        <v>4.2171158764447148</v>
      </c>
      <c r="AN8">
        <f t="shared" si="17"/>
        <v>6.4603922852904363</v>
      </c>
      <c r="AO8">
        <f t="shared" si="18"/>
        <v>8.0903060615001081</v>
      </c>
      <c r="AP8">
        <f t="shared" si="19"/>
        <v>9.3244731981609412</v>
      </c>
      <c r="AQ8">
        <f t="shared" si="20"/>
        <v>10.291981122031974</v>
      </c>
      <c r="AR8">
        <f t="shared" si="21"/>
        <v>11.073602959383985</v>
      </c>
      <c r="AS8">
        <f t="shared" si="22"/>
        <v>11.722351357956191</v>
      </c>
      <c r="AT8">
        <f t="shared" si="23"/>
        <v>12.275020182656204</v>
      </c>
      <c r="AU8">
        <f t="shared" si="24"/>
        <v>0.99840744076691545</v>
      </c>
      <c r="AV8">
        <f t="shared" si="25"/>
        <v>7840.7406991966764</v>
      </c>
      <c r="AW8">
        <f t="shared" si="26"/>
        <v>7476.2557948260783</v>
      </c>
      <c r="AX8">
        <f t="shared" si="27"/>
        <v>7149.5360478993607</v>
      </c>
      <c r="AY8">
        <f t="shared" si="28"/>
        <v>6872.4239098595845</v>
      </c>
      <c r="AZ8">
        <f t="shared" si="29"/>
        <v>6650.7683767023209</v>
      </c>
      <c r="BA8">
        <f t="shared" si="30"/>
        <v>6486.5947298619922</v>
      </c>
      <c r="BB8">
        <f t="shared" si="31"/>
        <v>6380.4509506388922</v>
      </c>
      <c r="BC8">
        <f t="shared" si="32"/>
        <v>6334.9517580838537</v>
      </c>
      <c r="BD8">
        <f t="shared" si="33"/>
        <v>6361.0834536908096</v>
      </c>
      <c r="BE8">
        <f t="shared" si="34"/>
        <v>65187.918173121165</v>
      </c>
      <c r="BF8">
        <f t="shared" si="35"/>
        <v>62157.590678184017</v>
      </c>
      <c r="BG8">
        <f t="shared" si="36"/>
        <v>59441.242702235286</v>
      </c>
      <c r="BH8">
        <f t="shared" si="37"/>
        <v>57137.332386572583</v>
      </c>
      <c r="BI8">
        <f t="shared" si="38"/>
        <v>55294.488283903098</v>
      </c>
      <c r="BJ8">
        <f t="shared" si="39"/>
        <v>53929.548584072603</v>
      </c>
      <c r="BK8">
        <f t="shared" si="40"/>
        <v>53047.069203611747</v>
      </c>
      <c r="BL8">
        <f t="shared" si="41"/>
        <v>52668.788916709163</v>
      </c>
      <c r="BM8">
        <f t="shared" si="42"/>
        <v>52886.047833985394</v>
      </c>
      <c r="BO8">
        <v>66742.19</v>
      </c>
      <c r="BP8">
        <v>63177.08</v>
      </c>
      <c r="BQ8">
        <v>60232</v>
      </c>
      <c r="BR8">
        <v>57668.34</v>
      </c>
      <c r="BS8">
        <v>55199.57</v>
      </c>
      <c r="BT8">
        <v>52504.93</v>
      </c>
      <c r="BU8">
        <v>49199.06</v>
      </c>
      <c r="BV8">
        <v>44791.02</v>
      </c>
      <c r="BW8">
        <v>38607.699999999997</v>
      </c>
      <c r="BY8">
        <f t="shared" si="43"/>
        <v>0.81049662570424597</v>
      </c>
    </row>
    <row r="9" spans="1:77" x14ac:dyDescent="0.3">
      <c r="A9" s="6" t="s">
        <v>27</v>
      </c>
      <c r="B9">
        <v>300</v>
      </c>
      <c r="C9">
        <v>900</v>
      </c>
      <c r="E9">
        <v>300</v>
      </c>
      <c r="F9">
        <v>366.66669999999999</v>
      </c>
      <c r="G9">
        <v>433.33330000000001</v>
      </c>
      <c r="H9">
        <v>500</v>
      </c>
      <c r="I9">
        <v>566.66669999999999</v>
      </c>
      <c r="J9">
        <v>633.33330000000001</v>
      </c>
      <c r="K9">
        <v>700</v>
      </c>
      <c r="L9">
        <v>766.66669999999999</v>
      </c>
      <c r="M9">
        <v>833.33330000000001</v>
      </c>
      <c r="N9">
        <v>900</v>
      </c>
      <c r="O9">
        <v>0.19348960000000001</v>
      </c>
      <c r="P9">
        <v>8.7193679999999993</v>
      </c>
      <c r="Q9">
        <v>113.78270000000001</v>
      </c>
      <c r="R9">
        <v>716.37339999999995</v>
      </c>
      <c r="S9">
        <v>2845.3</v>
      </c>
      <c r="T9">
        <v>8312.7029999999995</v>
      </c>
      <c r="U9">
        <v>19620.82</v>
      </c>
      <c r="V9">
        <v>39738.42</v>
      </c>
      <c r="W9">
        <v>71901.72</v>
      </c>
      <c r="X9">
        <v>119538</v>
      </c>
      <c r="AA9">
        <f t="shared" si="4"/>
        <v>3.3333333333333335E-3</v>
      </c>
      <c r="AB9">
        <f t="shared" si="5"/>
        <v>2.7272724793388657E-3</v>
      </c>
      <c r="AC9">
        <f t="shared" si="6"/>
        <v>2.3076924852071141E-3</v>
      </c>
      <c r="AD9">
        <f t="shared" si="7"/>
        <v>2E-3</v>
      </c>
      <c r="AE9">
        <f t="shared" si="8"/>
        <v>1.7647057785467189E-3</v>
      </c>
      <c r="AF9">
        <f t="shared" si="9"/>
        <v>1.5789474515235501E-3</v>
      </c>
      <c r="AG9">
        <f t="shared" si="10"/>
        <v>1.4285714285714286E-3</v>
      </c>
      <c r="AH9">
        <f t="shared" si="11"/>
        <v>1.304347769376184E-3</v>
      </c>
      <c r="AI9">
        <f t="shared" si="12"/>
        <v>1.2000000480000019E-3</v>
      </c>
      <c r="AJ9">
        <f t="shared" si="13"/>
        <v>1.1111111111111111E-3</v>
      </c>
      <c r="AK9">
        <f t="shared" si="14"/>
        <v>-1.6425315147267356</v>
      </c>
      <c r="AL9">
        <f t="shared" si="15"/>
        <v>2.1655467582300787</v>
      </c>
      <c r="AM9">
        <f t="shared" si="16"/>
        <v>4.7342904890462227</v>
      </c>
      <c r="AN9">
        <f t="shared" si="17"/>
        <v>6.5742015394022983</v>
      </c>
      <c r="AO9">
        <f t="shared" si="18"/>
        <v>7.9534237891558224</v>
      </c>
      <c r="AP9">
        <f t="shared" si="19"/>
        <v>9.0255401057185516</v>
      </c>
      <c r="AQ9">
        <f t="shared" si="20"/>
        <v>9.8843465263336707</v>
      </c>
      <c r="AR9">
        <f t="shared" si="21"/>
        <v>10.590073756885626</v>
      </c>
      <c r="AS9">
        <f t="shared" si="22"/>
        <v>11.183055465537056</v>
      </c>
      <c r="AT9">
        <f t="shared" si="23"/>
        <v>11.691389591436879</v>
      </c>
      <c r="AU9">
        <f t="shared" si="24"/>
        <v>0.99961012324070508</v>
      </c>
      <c r="AV9">
        <f t="shared" si="25"/>
        <v>6283.3265799271949</v>
      </c>
      <c r="AW9">
        <f t="shared" si="26"/>
        <v>6122.1787662486531</v>
      </c>
      <c r="AX9">
        <f t="shared" si="27"/>
        <v>5979.7074638257536</v>
      </c>
      <c r="AY9">
        <f t="shared" si="28"/>
        <v>5861.6919754120518</v>
      </c>
      <c r="AZ9">
        <f t="shared" si="29"/>
        <v>5771.5653114651968</v>
      </c>
      <c r="BA9">
        <f t="shared" si="30"/>
        <v>5711.0595409785219</v>
      </c>
      <c r="BB9">
        <f t="shared" si="31"/>
        <v>5681.1016123969739</v>
      </c>
      <c r="BC9">
        <f t="shared" si="32"/>
        <v>5682.7470770893106</v>
      </c>
      <c r="BD9">
        <f t="shared" si="33"/>
        <v>5718.7558282447471</v>
      </c>
      <c r="BE9">
        <f t="shared" si="34"/>
        <v>52239.577185514696</v>
      </c>
      <c r="BF9">
        <f t="shared" si="35"/>
        <v>50899.794262591306</v>
      </c>
      <c r="BG9">
        <f t="shared" si="36"/>
        <v>49715.287854247319</v>
      </c>
      <c r="BH9">
        <f t="shared" si="37"/>
        <v>48734.1070835758</v>
      </c>
      <c r="BI9">
        <f t="shared" si="38"/>
        <v>47984.793999521644</v>
      </c>
      <c r="BJ9">
        <f t="shared" si="39"/>
        <v>47481.749023695433</v>
      </c>
      <c r="BK9">
        <f t="shared" si="40"/>
        <v>47232.678805468444</v>
      </c>
      <c r="BL9">
        <f t="shared" si="41"/>
        <v>47246.359198920531</v>
      </c>
      <c r="BM9">
        <f t="shared" si="42"/>
        <v>47545.735956026831</v>
      </c>
      <c r="BO9">
        <v>53015.38</v>
      </c>
      <c r="BP9">
        <v>51170.62</v>
      </c>
      <c r="BQ9">
        <v>49688.44</v>
      </c>
      <c r="BR9">
        <v>48495.4</v>
      </c>
      <c r="BS9">
        <v>47389.77</v>
      </c>
      <c r="BT9">
        <v>46143.1</v>
      </c>
      <c r="BU9">
        <v>44484.2</v>
      </c>
      <c r="BV9">
        <v>42084.28</v>
      </c>
      <c r="BW9">
        <v>38543.339999999997</v>
      </c>
      <c r="BY9">
        <f t="shared" si="43"/>
        <v>0.69943961072090288</v>
      </c>
    </row>
    <row r="10" spans="1:77" x14ac:dyDescent="0.3">
      <c r="A10" s="6" t="s">
        <v>30</v>
      </c>
      <c r="B10">
        <v>300</v>
      </c>
      <c r="C10">
        <v>685</v>
      </c>
      <c r="E10">
        <v>300</v>
      </c>
      <c r="F10">
        <v>342.77780000000001</v>
      </c>
      <c r="G10">
        <v>385.55560000000003</v>
      </c>
      <c r="H10">
        <v>428.33330000000001</v>
      </c>
      <c r="I10">
        <v>471.11110000000002</v>
      </c>
      <c r="J10">
        <v>513.88890000000004</v>
      </c>
      <c r="K10">
        <v>556.66669999999999</v>
      </c>
      <c r="L10">
        <v>599.44439999999997</v>
      </c>
      <c r="M10">
        <v>642.22220000000004</v>
      </c>
      <c r="N10">
        <v>685</v>
      </c>
      <c r="O10">
        <v>1.5733E-2</v>
      </c>
      <c r="P10">
        <v>1.2891779999999999</v>
      </c>
      <c r="Q10">
        <v>34.172899999999998</v>
      </c>
      <c r="R10">
        <v>417.04059999999998</v>
      </c>
      <c r="S10">
        <v>2929.451</v>
      </c>
      <c r="T10">
        <v>13732.58</v>
      </c>
      <c r="U10">
        <v>47564.160000000003</v>
      </c>
      <c r="V10">
        <v>130862</v>
      </c>
      <c r="W10">
        <v>301601</v>
      </c>
      <c r="X10">
        <v>606316</v>
      </c>
      <c r="AA10">
        <f t="shared" si="4"/>
        <v>3.3333333333333335E-3</v>
      </c>
      <c r="AB10">
        <f t="shared" si="5"/>
        <v>2.9173417881788143E-3</v>
      </c>
      <c r="AC10">
        <f t="shared" si="6"/>
        <v>2.5936596433821734E-3</v>
      </c>
      <c r="AD10">
        <f t="shared" si="7"/>
        <v>2.3346305318778624E-3</v>
      </c>
      <c r="AE10">
        <f t="shared" si="8"/>
        <v>2.1226415594962629E-3</v>
      </c>
      <c r="AF10">
        <f t="shared" si="9"/>
        <v>1.9459459038714399E-3</v>
      </c>
      <c r="AG10">
        <f t="shared" si="10"/>
        <v>1.7964070780594563E-3</v>
      </c>
      <c r="AH10">
        <f t="shared" si="11"/>
        <v>1.6682114304512646E-3</v>
      </c>
      <c r="AI10">
        <f t="shared" si="12"/>
        <v>1.5570934794842033E-3</v>
      </c>
      <c r="AJ10">
        <f t="shared" si="13"/>
        <v>1.4598540145985401E-3</v>
      </c>
      <c r="AK10">
        <f t="shared" si="14"/>
        <v>-4.1519948617238507</v>
      </c>
      <c r="AL10">
        <f t="shared" si="15"/>
        <v>0.25400480596712316</v>
      </c>
      <c r="AM10">
        <f t="shared" si="16"/>
        <v>3.5314329322947682</v>
      </c>
      <c r="AN10">
        <f t="shared" si="17"/>
        <v>6.0331835791697301</v>
      </c>
      <c r="AO10">
        <f t="shared" si="18"/>
        <v>7.9825703124411325</v>
      </c>
      <c r="AP10">
        <f t="shared" si="19"/>
        <v>9.5275263907960195</v>
      </c>
      <c r="AQ10">
        <f t="shared" si="20"/>
        <v>10.769834815440467</v>
      </c>
      <c r="AR10">
        <f t="shared" si="21"/>
        <v>11.781898611816032</v>
      </c>
      <c r="AS10">
        <f t="shared" si="22"/>
        <v>12.616860230760309</v>
      </c>
      <c r="AT10">
        <f t="shared" si="23"/>
        <v>13.315156581287741</v>
      </c>
      <c r="AU10">
        <f t="shared" si="24"/>
        <v>0.99664163971649633</v>
      </c>
      <c r="AV10">
        <f t="shared" si="25"/>
        <v>10591.560619469739</v>
      </c>
      <c r="AW10">
        <f t="shared" si="26"/>
        <v>10125.452327272325</v>
      </c>
      <c r="AX10">
        <f t="shared" si="27"/>
        <v>9658.183330615042</v>
      </c>
      <c r="AY10">
        <f t="shared" si="28"/>
        <v>9195.698773247168</v>
      </c>
      <c r="AZ10">
        <f t="shared" si="29"/>
        <v>8743.5996821296194</v>
      </c>
      <c r="BA10">
        <f t="shared" si="30"/>
        <v>8307.5978288502301</v>
      </c>
      <c r="BB10">
        <f t="shared" si="31"/>
        <v>7894.6814128102651</v>
      </c>
      <c r="BC10">
        <f t="shared" si="32"/>
        <v>7514.1920065803251</v>
      </c>
      <c r="BD10">
        <f t="shared" si="33"/>
        <v>7181.2031395741178</v>
      </c>
      <c r="BE10">
        <f t="shared" si="34"/>
        <v>88058.23499027142</v>
      </c>
      <c r="BF10">
        <f t="shared" si="35"/>
        <v>84183.010648942116</v>
      </c>
      <c r="BG10">
        <f t="shared" si="36"/>
        <v>80298.136210733457</v>
      </c>
      <c r="BH10">
        <f t="shared" si="37"/>
        <v>76453.03960077696</v>
      </c>
      <c r="BI10">
        <f t="shared" si="38"/>
        <v>72694.287757225655</v>
      </c>
      <c r="BJ10">
        <f t="shared" si="39"/>
        <v>69069.368349060809</v>
      </c>
      <c r="BK10">
        <f t="shared" si="40"/>
        <v>65636.381266104538</v>
      </c>
      <c r="BL10">
        <f t="shared" si="41"/>
        <v>62472.992342708822</v>
      </c>
      <c r="BM10">
        <f t="shared" si="42"/>
        <v>59704.522902419216</v>
      </c>
      <c r="BO10">
        <v>89772.26</v>
      </c>
      <c r="BP10">
        <v>86069.09</v>
      </c>
      <c r="BQ10">
        <v>82330.98</v>
      </c>
      <c r="BR10">
        <v>78379.22</v>
      </c>
      <c r="BS10">
        <v>74010.28</v>
      </c>
      <c r="BT10">
        <v>68983.03</v>
      </c>
      <c r="BU10">
        <v>62997.53</v>
      </c>
      <c r="BV10">
        <v>55652.05</v>
      </c>
      <c r="BW10">
        <v>46331.09</v>
      </c>
      <c r="BY10">
        <f t="shared" si="43"/>
        <v>0.95398270591367662</v>
      </c>
    </row>
    <row r="11" spans="1:77" x14ac:dyDescent="0.3">
      <c r="A11" s="6" t="s">
        <v>33</v>
      </c>
      <c r="B11">
        <v>300</v>
      </c>
      <c r="C11">
        <v>700</v>
      </c>
      <c r="E11">
        <v>300</v>
      </c>
      <c r="F11">
        <v>344.44439999999997</v>
      </c>
      <c r="G11">
        <v>388.88889999999998</v>
      </c>
      <c r="H11">
        <v>433.33330000000001</v>
      </c>
      <c r="I11">
        <v>477.77780000000001</v>
      </c>
      <c r="J11">
        <v>522.22220000000004</v>
      </c>
      <c r="K11">
        <v>566.66669999999999</v>
      </c>
      <c r="L11">
        <v>611.11109999999996</v>
      </c>
      <c r="M11">
        <v>655.55560000000003</v>
      </c>
      <c r="N11">
        <v>700</v>
      </c>
      <c r="O11">
        <v>6.2350199999999995E-4</v>
      </c>
      <c r="P11">
        <v>0.1234605</v>
      </c>
      <c r="Q11">
        <v>5.6018350000000003</v>
      </c>
      <c r="R11">
        <v>95.317430000000002</v>
      </c>
      <c r="S11">
        <v>824.74969999999996</v>
      </c>
      <c r="T11">
        <v>4420.348</v>
      </c>
      <c r="U11">
        <v>16759.45</v>
      </c>
      <c r="V11">
        <v>49313.07</v>
      </c>
      <c r="W11">
        <v>120420</v>
      </c>
      <c r="X11">
        <v>256858</v>
      </c>
      <c r="AA11">
        <f t="shared" si="4"/>
        <v>3.3333333333333335E-3</v>
      </c>
      <c r="AB11">
        <f t="shared" si="5"/>
        <v>2.9032261810614428E-3</v>
      </c>
      <c r="AC11">
        <f t="shared" si="6"/>
        <v>2.5714284979591858E-3</v>
      </c>
      <c r="AD11">
        <f t="shared" si="7"/>
        <v>2.3076924852071141E-3</v>
      </c>
      <c r="AE11">
        <f t="shared" si="8"/>
        <v>2.093023158464039E-3</v>
      </c>
      <c r="AF11">
        <f t="shared" si="9"/>
        <v>1.9148936985061147E-3</v>
      </c>
      <c r="AG11">
        <f t="shared" si="10"/>
        <v>1.7647057785467189E-3</v>
      </c>
      <c r="AH11">
        <f t="shared" si="11"/>
        <v>1.636363666115703E-3</v>
      </c>
      <c r="AI11">
        <f t="shared" si="12"/>
        <v>1.5254236253950085E-3</v>
      </c>
      <c r="AJ11">
        <f t="shared" si="13"/>
        <v>1.4285714285714286E-3</v>
      </c>
      <c r="AK11">
        <f t="shared" si="14"/>
        <v>-7.3801585851508511</v>
      </c>
      <c r="AL11">
        <f t="shared" si="15"/>
        <v>-2.0918340121298851</v>
      </c>
      <c r="AM11">
        <f t="shared" si="16"/>
        <v>1.7230942226376342</v>
      </c>
      <c r="AN11">
        <f t="shared" si="17"/>
        <v>4.5572126900542242</v>
      </c>
      <c r="AO11">
        <f t="shared" si="18"/>
        <v>6.7150799463620343</v>
      </c>
      <c r="AP11">
        <f t="shared" si="19"/>
        <v>8.3939737050041359</v>
      </c>
      <c r="AQ11">
        <f t="shared" si="20"/>
        <v>9.7267175572684934</v>
      </c>
      <c r="AR11">
        <f t="shared" si="21"/>
        <v>10.805944436456787</v>
      </c>
      <c r="AS11">
        <f t="shared" si="22"/>
        <v>11.698740911018438</v>
      </c>
      <c r="AT11">
        <f t="shared" si="23"/>
        <v>12.456278681993979</v>
      </c>
      <c r="AU11">
        <f t="shared" si="24"/>
        <v>0.99460024118964607</v>
      </c>
      <c r="AV11">
        <f t="shared" si="25"/>
        <v>12295.365341141713</v>
      </c>
      <c r="AW11">
        <f t="shared" si="26"/>
        <v>11497.754291405927</v>
      </c>
      <c r="AX11">
        <f t="shared" si="27"/>
        <v>10746.042748742238</v>
      </c>
      <c r="AY11">
        <f t="shared" si="28"/>
        <v>10052.052098204194</v>
      </c>
      <c r="AZ11">
        <f t="shared" si="29"/>
        <v>9425.1324797070065</v>
      </c>
      <c r="BA11">
        <f t="shared" si="30"/>
        <v>8873.8418684050848</v>
      </c>
      <c r="BB11">
        <f t="shared" si="31"/>
        <v>8408.9848510821412</v>
      </c>
      <c r="BC11">
        <f t="shared" si="32"/>
        <v>8047.5585619206531</v>
      </c>
      <c r="BD11">
        <f t="shared" si="33"/>
        <v>7821.5858371847271</v>
      </c>
      <c r="BE11">
        <f t="shared" si="34"/>
        <v>102223.66744625221</v>
      </c>
      <c r="BF11">
        <f t="shared" si="35"/>
        <v>95592.329178748871</v>
      </c>
      <c r="BG11">
        <f t="shared" si="36"/>
        <v>89342.599413042975</v>
      </c>
      <c r="BH11">
        <f t="shared" si="37"/>
        <v>83572.761144469667</v>
      </c>
      <c r="BI11">
        <f t="shared" si="38"/>
        <v>78360.551436284048</v>
      </c>
      <c r="BJ11">
        <f t="shared" si="39"/>
        <v>73777.121293919874</v>
      </c>
      <c r="BK11">
        <f t="shared" si="40"/>
        <v>69912.30005189692</v>
      </c>
      <c r="BL11">
        <f t="shared" si="41"/>
        <v>66907.401883808314</v>
      </c>
      <c r="BM11">
        <f t="shared" si="42"/>
        <v>65028.664650353821</v>
      </c>
      <c r="BO11">
        <v>106572</v>
      </c>
      <c r="BP11">
        <v>100245</v>
      </c>
      <c r="BQ11">
        <v>93828.81</v>
      </c>
      <c r="BR11">
        <v>87363.55</v>
      </c>
      <c r="BS11">
        <v>80866.789999999994</v>
      </c>
      <c r="BT11">
        <v>74324.97</v>
      </c>
      <c r="BU11">
        <v>67676.31</v>
      </c>
      <c r="BV11">
        <v>60774.82</v>
      </c>
      <c r="BW11">
        <v>53302.33</v>
      </c>
      <c r="BY11">
        <f t="shared" si="43"/>
        <v>0.96837860366921058</v>
      </c>
    </row>
    <row r="12" spans="1:77" x14ac:dyDescent="0.3">
      <c r="A12" s="6" t="s">
        <v>36</v>
      </c>
      <c r="B12">
        <v>283.05</v>
      </c>
      <c r="C12">
        <v>800</v>
      </c>
      <c r="E12">
        <v>283.05</v>
      </c>
      <c r="F12">
        <v>340.4889</v>
      </c>
      <c r="G12">
        <v>397.92779999999999</v>
      </c>
      <c r="H12">
        <v>455.36669999999998</v>
      </c>
      <c r="I12">
        <v>512.80560000000003</v>
      </c>
      <c r="J12">
        <v>570.24440000000004</v>
      </c>
      <c r="K12">
        <v>627.68330000000003</v>
      </c>
      <c r="L12">
        <v>685.12220000000002</v>
      </c>
      <c r="M12">
        <v>742.56110000000001</v>
      </c>
      <c r="N12">
        <v>800</v>
      </c>
      <c r="O12" s="13">
        <v>3.3131099999999999E-8</v>
      </c>
      <c r="P12">
        <v>2.61857E-4</v>
      </c>
      <c r="Q12">
        <v>0.1072224</v>
      </c>
      <c r="R12">
        <v>7.3311440000000001</v>
      </c>
      <c r="S12">
        <v>158.2979</v>
      </c>
      <c r="T12">
        <v>1573.338</v>
      </c>
      <c r="U12">
        <v>9134.2980000000007</v>
      </c>
      <c r="V12">
        <v>36349.129999999997</v>
      </c>
      <c r="W12">
        <v>111102</v>
      </c>
      <c r="X12">
        <v>284298</v>
      </c>
      <c r="AA12">
        <f t="shared" si="4"/>
        <v>3.5329447094152974E-3</v>
      </c>
      <c r="AB12">
        <f t="shared" si="5"/>
        <v>2.9369533044983258E-3</v>
      </c>
      <c r="AC12">
        <f t="shared" si="6"/>
        <v>2.5130186933408523E-3</v>
      </c>
      <c r="AD12">
        <f t="shared" si="7"/>
        <v>2.1960323405290725E-3</v>
      </c>
      <c r="AE12">
        <f t="shared" si="8"/>
        <v>1.9500567076490584E-3</v>
      </c>
      <c r="AF12">
        <f t="shared" si="9"/>
        <v>1.753634055853946E-3</v>
      </c>
      <c r="AG12">
        <f t="shared" si="10"/>
        <v>1.593160117530608E-3</v>
      </c>
      <c r="AH12">
        <f t="shared" si="11"/>
        <v>1.4595936316178339E-3</v>
      </c>
      <c r="AI12">
        <f t="shared" si="12"/>
        <v>1.3466905282272395E-3</v>
      </c>
      <c r="AJ12">
        <f t="shared" si="13"/>
        <v>1.25E-3</v>
      </c>
      <c r="AK12">
        <f t="shared" si="14"/>
        <v>-17.222793418650333</v>
      </c>
      <c r="AL12">
        <f t="shared" si="15"/>
        <v>-8.2477120047337689</v>
      </c>
      <c r="AM12">
        <f t="shared" si="16"/>
        <v>-2.2328500969496572</v>
      </c>
      <c r="AN12">
        <f t="shared" si="17"/>
        <v>1.9921315746620949</v>
      </c>
      <c r="AO12">
        <f t="shared" si="18"/>
        <v>5.0644787008482464</v>
      </c>
      <c r="AP12">
        <f t="shared" si="19"/>
        <v>7.3609547560087876</v>
      </c>
      <c r="AQ12">
        <f t="shared" si="20"/>
        <v>9.1197916185685628</v>
      </c>
      <c r="AR12">
        <f t="shared" si="21"/>
        <v>10.500925548700003</v>
      </c>
      <c r="AS12">
        <f t="shared" si="22"/>
        <v>11.618203977265871</v>
      </c>
      <c r="AT12">
        <f t="shared" si="23"/>
        <v>12.557778262791976</v>
      </c>
      <c r="AU12">
        <f t="shared" si="24"/>
        <v>0.99505848438404876</v>
      </c>
      <c r="AV12">
        <f t="shared" si="25"/>
        <v>15059.078603938755</v>
      </c>
      <c r="AW12">
        <f t="shared" si="26"/>
        <v>14188.183152495298</v>
      </c>
      <c r="AX12">
        <f t="shared" si="27"/>
        <v>13328.591701613295</v>
      </c>
      <c r="AY12">
        <f t="shared" si="28"/>
        <v>12490.453181128027</v>
      </c>
      <c r="AZ12">
        <f t="shared" si="29"/>
        <v>11691.503165103308</v>
      </c>
      <c r="BA12">
        <f t="shared" si="30"/>
        <v>10960.264831389037</v>
      </c>
      <c r="BB12">
        <f t="shared" si="31"/>
        <v>10340.422754203426</v>
      </c>
      <c r="BC12">
        <f t="shared" si="32"/>
        <v>9895.9053826942436</v>
      </c>
      <c r="BD12">
        <f t="shared" si="33"/>
        <v>9717.3353249032025</v>
      </c>
      <c r="BE12">
        <f t="shared" si="34"/>
        <v>125201.17951314681</v>
      </c>
      <c r="BF12">
        <f t="shared" si="35"/>
        <v>117960.5547298459</v>
      </c>
      <c r="BG12">
        <f t="shared" si="36"/>
        <v>110813.91140721295</v>
      </c>
      <c r="BH12">
        <f t="shared" si="37"/>
        <v>103845.62774789841</v>
      </c>
      <c r="BI12">
        <f t="shared" si="38"/>
        <v>97203.157314668904</v>
      </c>
      <c r="BJ12">
        <f t="shared" si="39"/>
        <v>91123.641808168453</v>
      </c>
      <c r="BK12">
        <f t="shared" si="40"/>
        <v>85970.274778447289</v>
      </c>
      <c r="BL12">
        <f t="shared" si="41"/>
        <v>82274.557351719937</v>
      </c>
      <c r="BM12">
        <f t="shared" si="42"/>
        <v>80789.925891245221</v>
      </c>
      <c r="BO12">
        <v>128745</v>
      </c>
      <c r="BP12">
        <v>121277</v>
      </c>
      <c r="BQ12">
        <v>114110</v>
      </c>
      <c r="BR12">
        <v>107171</v>
      </c>
      <c r="BS12">
        <v>100361</v>
      </c>
      <c r="BT12">
        <v>93532.11</v>
      </c>
      <c r="BU12">
        <v>86441.31</v>
      </c>
      <c r="BV12">
        <v>78642.48</v>
      </c>
      <c r="BW12">
        <v>69152.27</v>
      </c>
      <c r="BY12">
        <f t="shared" si="43"/>
        <v>0.96548361777769509</v>
      </c>
    </row>
    <row r="13" spans="1:77" x14ac:dyDescent="0.3">
      <c r="A13" s="6" t="s">
        <v>39</v>
      </c>
      <c r="B13">
        <v>305.05</v>
      </c>
      <c r="C13">
        <v>826.6</v>
      </c>
      <c r="E13">
        <v>305.05</v>
      </c>
      <c r="F13">
        <v>363</v>
      </c>
      <c r="G13">
        <v>420.95</v>
      </c>
      <c r="H13">
        <v>478.9</v>
      </c>
      <c r="I13">
        <v>536.85</v>
      </c>
      <c r="J13">
        <v>594.79999999999995</v>
      </c>
      <c r="K13">
        <v>652.75</v>
      </c>
      <c r="L13">
        <v>710.7</v>
      </c>
      <c r="M13">
        <v>768.65</v>
      </c>
      <c r="N13">
        <v>826.6</v>
      </c>
      <c r="O13" s="13">
        <v>2.0690900000000001E-8</v>
      </c>
      <c r="P13">
        <v>1.3669100000000001E-4</v>
      </c>
      <c r="Q13">
        <v>5.5131300000000001E-2</v>
      </c>
      <c r="R13">
        <v>3.9353120000000001</v>
      </c>
      <c r="S13">
        <v>90.300420000000003</v>
      </c>
      <c r="T13">
        <v>955.62810000000002</v>
      </c>
      <c r="U13">
        <v>5884.6130000000003</v>
      </c>
      <c r="V13">
        <v>24704.99</v>
      </c>
      <c r="W13">
        <v>79269.460000000006</v>
      </c>
      <c r="X13">
        <v>212147</v>
      </c>
      <c r="AA13">
        <f t="shared" si="4"/>
        <v>3.2781511227667594E-3</v>
      </c>
      <c r="AB13">
        <f t="shared" si="5"/>
        <v>2.7548209366391185E-3</v>
      </c>
      <c r="AC13">
        <f t="shared" si="6"/>
        <v>2.375579047392802E-3</v>
      </c>
      <c r="AD13">
        <f t="shared" si="7"/>
        <v>2.0881186051367718E-3</v>
      </c>
      <c r="AE13">
        <f t="shared" si="8"/>
        <v>1.8627177051317872E-3</v>
      </c>
      <c r="AF13">
        <f t="shared" si="9"/>
        <v>1.6812373907195697E-3</v>
      </c>
      <c r="AG13">
        <f t="shared" si="10"/>
        <v>1.5319800842589046E-3</v>
      </c>
      <c r="AH13">
        <f t="shared" si="11"/>
        <v>1.407063458561981E-3</v>
      </c>
      <c r="AI13">
        <f t="shared" si="12"/>
        <v>1.3009822415924023E-3</v>
      </c>
      <c r="AJ13">
        <f t="shared" si="13"/>
        <v>1.2097749818533753E-3</v>
      </c>
      <c r="AK13">
        <f t="shared" si="14"/>
        <v>-17.693571846860014</v>
      </c>
      <c r="AL13">
        <f t="shared" si="15"/>
        <v>-8.8977876540023448</v>
      </c>
      <c r="AM13">
        <f t="shared" si="16"/>
        <v>-2.8980376660309561</v>
      </c>
      <c r="AN13">
        <f t="shared" si="17"/>
        <v>1.3699901671633075</v>
      </c>
      <c r="AO13">
        <f t="shared" si="18"/>
        <v>4.5031421115749142</v>
      </c>
      <c r="AP13">
        <f t="shared" si="19"/>
        <v>6.8623688206283591</v>
      </c>
      <c r="AQ13">
        <f t="shared" si="20"/>
        <v>8.6800962571242497</v>
      </c>
      <c r="AR13">
        <f t="shared" si="21"/>
        <v>10.114760526503407</v>
      </c>
      <c r="AS13">
        <f t="shared" si="22"/>
        <v>11.28060821364703</v>
      </c>
      <c r="AT13">
        <f t="shared" si="23"/>
        <v>12.265034709592472</v>
      </c>
      <c r="AU13">
        <f t="shared" si="24"/>
        <v>0.99486617747781569</v>
      </c>
      <c r="AV13">
        <f t="shared" si="25"/>
        <v>16807.332017175799</v>
      </c>
      <c r="AW13">
        <f t="shared" si="26"/>
        <v>15820.377859352368</v>
      </c>
      <c r="AX13">
        <f t="shared" si="27"/>
        <v>14847.357082241224</v>
      </c>
      <c r="AY13">
        <f t="shared" si="28"/>
        <v>13900.352413598701</v>
      </c>
      <c r="AZ13">
        <f t="shared" si="29"/>
        <v>12999.904241374943</v>
      </c>
      <c r="BA13">
        <f t="shared" si="30"/>
        <v>12178.482109851891</v>
      </c>
      <c r="BB13">
        <f t="shared" si="31"/>
        <v>11484.974569037604</v>
      </c>
      <c r="BC13">
        <f t="shared" si="32"/>
        <v>10990.142462995669</v>
      </c>
      <c r="BD13">
        <f t="shared" si="33"/>
        <v>10793.291002955244</v>
      </c>
      <c r="BE13">
        <f t="shared" si="34"/>
        <v>139736.1583907996</v>
      </c>
      <c r="BF13">
        <f t="shared" si="35"/>
        <v>131530.62152265559</v>
      </c>
      <c r="BG13">
        <f t="shared" si="36"/>
        <v>123440.92678175353</v>
      </c>
      <c r="BH13">
        <f t="shared" si="37"/>
        <v>115567.5299666596</v>
      </c>
      <c r="BI13">
        <f t="shared" si="38"/>
        <v>108081.20386279127</v>
      </c>
      <c r="BJ13">
        <f t="shared" si="39"/>
        <v>101251.90026130862</v>
      </c>
      <c r="BK13">
        <f t="shared" si="40"/>
        <v>95486.078566978642</v>
      </c>
      <c r="BL13">
        <f t="shared" si="41"/>
        <v>91372.04443734599</v>
      </c>
      <c r="BM13">
        <f t="shared" si="42"/>
        <v>89735.421398569903</v>
      </c>
      <c r="BO13">
        <v>143812</v>
      </c>
      <c r="BP13">
        <v>135300</v>
      </c>
      <c r="BQ13">
        <v>127154</v>
      </c>
      <c r="BR13">
        <v>119310</v>
      </c>
      <c r="BS13">
        <v>111677</v>
      </c>
      <c r="BT13">
        <v>104107</v>
      </c>
      <c r="BU13">
        <v>96349.15</v>
      </c>
      <c r="BV13">
        <v>87922.75</v>
      </c>
      <c r="BW13">
        <v>77734.36</v>
      </c>
      <c r="BY13">
        <f t="shared" si="43"/>
        <v>0.96861980483418064</v>
      </c>
    </row>
    <row r="14" spans="1:77" x14ac:dyDescent="0.3">
      <c r="A14" s="6" t="s">
        <v>42</v>
      </c>
      <c r="B14">
        <v>318.64999999999998</v>
      </c>
      <c r="C14">
        <v>820</v>
      </c>
      <c r="E14">
        <v>318.64999999999998</v>
      </c>
      <c r="F14">
        <v>374.35559999999998</v>
      </c>
      <c r="G14">
        <v>430.06110000000001</v>
      </c>
      <c r="H14">
        <v>485.76670000000001</v>
      </c>
      <c r="I14">
        <v>541.47220000000004</v>
      </c>
      <c r="J14">
        <v>597.17780000000005</v>
      </c>
      <c r="K14">
        <v>652.88329999999996</v>
      </c>
      <c r="L14">
        <v>708.58889999999997</v>
      </c>
      <c r="M14">
        <v>764.2944</v>
      </c>
      <c r="N14">
        <v>820</v>
      </c>
      <c r="O14" s="13">
        <v>2.1787399999999999E-9</v>
      </c>
      <c r="P14" s="13">
        <v>1.70511E-5</v>
      </c>
      <c r="Q14">
        <v>8.8279299999999995E-3</v>
      </c>
      <c r="R14">
        <v>0.80822939999999999</v>
      </c>
      <c r="S14">
        <v>23.161860000000001</v>
      </c>
      <c r="T14">
        <v>296.16340000000002</v>
      </c>
      <c r="U14">
        <v>2132.462</v>
      </c>
      <c r="V14">
        <v>10153.73</v>
      </c>
      <c r="W14">
        <v>35926.49</v>
      </c>
      <c r="X14">
        <v>103263</v>
      </c>
      <c r="AA14">
        <f t="shared" si="4"/>
        <v>3.1382394476698575E-3</v>
      </c>
      <c r="AB14">
        <f t="shared" si="5"/>
        <v>2.6712569546174813E-3</v>
      </c>
      <c r="AC14">
        <f t="shared" si="6"/>
        <v>2.3252509934053554E-3</v>
      </c>
      <c r="AD14">
        <f t="shared" si="7"/>
        <v>2.0586013821037958E-3</v>
      </c>
      <c r="AE14">
        <f t="shared" si="8"/>
        <v>1.8468168818269893E-3</v>
      </c>
      <c r="AF14">
        <f t="shared" si="9"/>
        <v>1.6745431595079387E-3</v>
      </c>
      <c r="AG14">
        <f t="shared" si="10"/>
        <v>1.5316672979688714E-3</v>
      </c>
      <c r="AH14">
        <f t="shared" si="11"/>
        <v>1.4112555248889731E-3</v>
      </c>
      <c r="AI14">
        <f t="shared" si="12"/>
        <v>1.3083963457013424E-3</v>
      </c>
      <c r="AJ14">
        <f t="shared" si="13"/>
        <v>1.2195121951219512E-3</v>
      </c>
      <c r="AK14">
        <f t="shared" si="14"/>
        <v>-19.944519108892575</v>
      </c>
      <c r="AL14">
        <f t="shared" si="15"/>
        <v>-10.979295840186792</v>
      </c>
      <c r="AM14">
        <f t="shared" si="16"/>
        <v>-4.7298347199348978</v>
      </c>
      <c r="AN14">
        <f t="shared" si="17"/>
        <v>-0.212909349865023</v>
      </c>
      <c r="AO14">
        <f t="shared" si="18"/>
        <v>3.1425069603608775</v>
      </c>
      <c r="AP14">
        <f t="shared" si="19"/>
        <v>5.6909113290402189</v>
      </c>
      <c r="AQ14">
        <f t="shared" si="20"/>
        <v>7.6650324597463388</v>
      </c>
      <c r="AR14">
        <f t="shared" si="21"/>
        <v>9.225596404647602</v>
      </c>
      <c r="AS14">
        <f t="shared" si="22"/>
        <v>10.489230185382905</v>
      </c>
      <c r="AT14">
        <f t="shared" si="23"/>
        <v>11.545034410887848</v>
      </c>
      <c r="AU14">
        <f t="shared" si="24"/>
        <v>0.99442855286057219</v>
      </c>
      <c r="AV14">
        <f t="shared" si="25"/>
        <v>19198.199937016172</v>
      </c>
      <c r="AW14">
        <f t="shared" si="26"/>
        <v>18061.715174960638</v>
      </c>
      <c r="AX14">
        <f t="shared" si="27"/>
        <v>16939.553551276658</v>
      </c>
      <c r="AY14">
        <f t="shared" si="28"/>
        <v>15843.540513306238</v>
      </c>
      <c r="AZ14">
        <f t="shared" si="29"/>
        <v>14792.763135167539</v>
      </c>
      <c r="BA14">
        <f t="shared" si="30"/>
        <v>13817.037457837661</v>
      </c>
      <c r="BB14">
        <f t="shared" si="31"/>
        <v>12960.227268356592</v>
      </c>
      <c r="BC14">
        <f t="shared" si="32"/>
        <v>12285.08520790588</v>
      </c>
      <c r="BD14">
        <f t="shared" si="33"/>
        <v>11878.430728343408</v>
      </c>
      <c r="BE14">
        <f t="shared" si="34"/>
        <v>159613.83427635246</v>
      </c>
      <c r="BF14">
        <f t="shared" si="35"/>
        <v>150165.09996462276</v>
      </c>
      <c r="BG14">
        <f t="shared" si="36"/>
        <v>140835.44822531415</v>
      </c>
      <c r="BH14">
        <f t="shared" si="37"/>
        <v>131723.19582762805</v>
      </c>
      <c r="BI14">
        <f t="shared" si="38"/>
        <v>122987.03270578293</v>
      </c>
      <c r="BJ14">
        <f t="shared" si="39"/>
        <v>114874.84942446231</v>
      </c>
      <c r="BK14">
        <f t="shared" si="40"/>
        <v>107751.32950911671</v>
      </c>
      <c r="BL14">
        <f t="shared" si="41"/>
        <v>102138.19841852949</v>
      </c>
      <c r="BM14">
        <f t="shared" si="42"/>
        <v>98757.273075447098</v>
      </c>
      <c r="BO14">
        <v>164313</v>
      </c>
      <c r="BP14">
        <v>154549</v>
      </c>
      <c r="BQ14">
        <v>145122</v>
      </c>
      <c r="BR14">
        <v>136024</v>
      </c>
      <c r="BS14">
        <v>127216</v>
      </c>
      <c r="BT14">
        <v>118613</v>
      </c>
      <c r="BU14">
        <v>110047</v>
      </c>
      <c r="BV14">
        <v>101186</v>
      </c>
      <c r="BW14">
        <v>91303.18</v>
      </c>
      <c r="BY14">
        <f t="shared" si="43"/>
        <v>0.98672306922571185</v>
      </c>
    </row>
    <row r="15" spans="1:77" x14ac:dyDescent="0.3">
      <c r="A15" s="6" t="s">
        <v>45</v>
      </c>
      <c r="B15">
        <v>339.01</v>
      </c>
      <c r="C15">
        <v>885</v>
      </c>
      <c r="E15">
        <v>339.01</v>
      </c>
      <c r="F15">
        <v>399.67559999999997</v>
      </c>
      <c r="G15">
        <v>460.34109999999998</v>
      </c>
      <c r="H15">
        <v>521.00670000000002</v>
      </c>
      <c r="I15">
        <v>581.67219999999998</v>
      </c>
      <c r="J15">
        <v>642.33780000000002</v>
      </c>
      <c r="K15">
        <v>703.00329999999997</v>
      </c>
      <c r="L15">
        <v>763.66890000000001</v>
      </c>
      <c r="M15">
        <v>824.33439999999996</v>
      </c>
      <c r="N15">
        <v>885</v>
      </c>
      <c r="O15" s="13">
        <v>1.9630000000000001E-11</v>
      </c>
      <c r="P15" s="13">
        <v>8.9266999999999996E-7</v>
      </c>
      <c r="Q15">
        <v>1.38875E-3</v>
      </c>
      <c r="R15">
        <v>0.2577585</v>
      </c>
      <c r="S15">
        <v>11.697150000000001</v>
      </c>
      <c r="T15">
        <v>201.94970000000001</v>
      </c>
      <c r="U15">
        <v>1771.42</v>
      </c>
      <c r="V15">
        <v>9642.8439999999991</v>
      </c>
      <c r="W15">
        <v>37711.72</v>
      </c>
      <c r="X15">
        <v>118722</v>
      </c>
      <c r="AA15">
        <f t="shared" si="4"/>
        <v>2.9497654936432556E-3</v>
      </c>
      <c r="AB15">
        <f t="shared" si="5"/>
        <v>2.502029145637112E-3</v>
      </c>
      <c r="AC15">
        <f t="shared" si="6"/>
        <v>2.1723022341476788E-3</v>
      </c>
      <c r="AD15">
        <f t="shared" si="7"/>
        <v>1.919361113782222E-3</v>
      </c>
      <c r="AE15">
        <f t="shared" si="8"/>
        <v>1.7191813533464382E-3</v>
      </c>
      <c r="AF15">
        <f t="shared" si="9"/>
        <v>1.556813253088951E-3</v>
      </c>
      <c r="AG15">
        <f t="shared" si="10"/>
        <v>1.4224684293800613E-3</v>
      </c>
      <c r="AH15">
        <f t="shared" si="11"/>
        <v>1.3094680168329494E-3</v>
      </c>
      <c r="AI15">
        <f t="shared" si="12"/>
        <v>1.2130999264376204E-3</v>
      </c>
      <c r="AJ15">
        <f t="shared" si="13"/>
        <v>1.1299435028248588E-3</v>
      </c>
      <c r="AK15">
        <f t="shared" si="14"/>
        <v>-24.653962107640179</v>
      </c>
      <c r="AL15">
        <f t="shared" si="15"/>
        <v>-13.929048865240427</v>
      </c>
      <c r="AM15">
        <f t="shared" si="16"/>
        <v>-6.5793512170104345</v>
      </c>
      <c r="AN15">
        <f t="shared" si="17"/>
        <v>-1.3557321789372583</v>
      </c>
      <c r="AO15">
        <f t="shared" si="18"/>
        <v>2.4593452223873205</v>
      </c>
      <c r="AP15">
        <f t="shared" si="19"/>
        <v>5.3080186564921013</v>
      </c>
      <c r="AQ15">
        <f t="shared" si="20"/>
        <v>7.479536763816431</v>
      </c>
      <c r="AR15">
        <f t="shared" si="21"/>
        <v>9.1739713648414156</v>
      </c>
      <c r="AS15">
        <f t="shared" si="22"/>
        <v>10.537726200455944</v>
      </c>
      <c r="AT15">
        <f t="shared" si="23"/>
        <v>11.684539904620495</v>
      </c>
      <c r="AU15">
        <f t="shared" si="24"/>
        <v>0.99229819843650235</v>
      </c>
      <c r="AV15">
        <f t="shared" si="25"/>
        <v>23953.635415484721</v>
      </c>
      <c r="AW15">
        <f t="shared" si="26"/>
        <v>22290.257155626587</v>
      </c>
      <c r="AX15">
        <f t="shared" si="27"/>
        <v>20651.521708000411</v>
      </c>
      <c r="AY15">
        <f t="shared" si="28"/>
        <v>19058.257403342373</v>
      </c>
      <c r="AZ15">
        <f t="shared" si="29"/>
        <v>17544.538795411703</v>
      </c>
      <c r="BA15">
        <f t="shared" si="30"/>
        <v>16163.764612395989</v>
      </c>
      <c r="BB15">
        <f t="shared" si="31"/>
        <v>14994.941724823735</v>
      </c>
      <c r="BC15">
        <f t="shared" si="32"/>
        <v>14151.51872388489</v>
      </c>
      <c r="BD15">
        <f t="shared" si="33"/>
        <v>13791.041681938737</v>
      </c>
      <c r="BE15">
        <f t="shared" si="34"/>
        <v>199150.52484433996</v>
      </c>
      <c r="BF15">
        <f t="shared" si="35"/>
        <v>185321.19799187945</v>
      </c>
      <c r="BG15">
        <f t="shared" si="36"/>
        <v>171696.75148031543</v>
      </c>
      <c r="BH15">
        <f t="shared" si="37"/>
        <v>158450.3520513885</v>
      </c>
      <c r="BI15">
        <f t="shared" si="38"/>
        <v>145865.29554505291</v>
      </c>
      <c r="BJ15">
        <f t="shared" si="39"/>
        <v>134385.53898746026</v>
      </c>
      <c r="BK15">
        <f t="shared" si="40"/>
        <v>124667.94550018453</v>
      </c>
      <c r="BL15">
        <f t="shared" si="41"/>
        <v>117655.72667037898</v>
      </c>
      <c r="BM15">
        <f t="shared" si="42"/>
        <v>114658.72054363866</v>
      </c>
      <c r="BO15">
        <v>205924</v>
      </c>
      <c r="BP15">
        <v>191785</v>
      </c>
      <c r="BQ15">
        <v>177994</v>
      </c>
      <c r="BR15">
        <v>164683</v>
      </c>
      <c r="BS15">
        <v>151913</v>
      </c>
      <c r="BT15">
        <v>139652</v>
      </c>
      <c r="BU15">
        <v>127698</v>
      </c>
      <c r="BV15">
        <v>115499</v>
      </c>
      <c r="BW15">
        <v>101488</v>
      </c>
      <c r="BY15">
        <f t="shared" si="43"/>
        <v>0.98119139170416225</v>
      </c>
    </row>
    <row r="16" spans="1:77" x14ac:dyDescent="0.3">
      <c r="A16" s="6" t="s">
        <v>48</v>
      </c>
      <c r="B16">
        <v>346</v>
      </c>
      <c r="C16">
        <v>886</v>
      </c>
      <c r="E16">
        <v>346</v>
      </c>
      <c r="F16">
        <v>406</v>
      </c>
      <c r="G16">
        <v>466</v>
      </c>
      <c r="H16">
        <v>526</v>
      </c>
      <c r="I16">
        <v>586</v>
      </c>
      <c r="J16">
        <v>646</v>
      </c>
      <c r="K16">
        <v>706</v>
      </c>
      <c r="L16">
        <v>766</v>
      </c>
      <c r="M16">
        <v>826</v>
      </c>
      <c r="N16">
        <v>886</v>
      </c>
      <c r="O16" s="13">
        <v>2.0048E-11</v>
      </c>
      <c r="P16" s="13">
        <v>6.0640599999999998E-7</v>
      </c>
      <c r="Q16">
        <v>7.8668200000000003E-4</v>
      </c>
      <c r="R16">
        <v>0.13680239999999999</v>
      </c>
      <c r="S16">
        <v>6.19428</v>
      </c>
      <c r="T16">
        <v>110.4378</v>
      </c>
      <c r="U16">
        <v>1018.513</v>
      </c>
      <c r="V16">
        <v>5874.4809999999998</v>
      </c>
      <c r="W16">
        <v>24356.66</v>
      </c>
      <c r="X16">
        <v>80887.649999999994</v>
      </c>
      <c r="AA16">
        <f t="shared" si="4"/>
        <v>2.8901734104046241E-3</v>
      </c>
      <c r="AB16">
        <f t="shared" si="5"/>
        <v>2.4630541871921183E-3</v>
      </c>
      <c r="AC16">
        <f t="shared" si="6"/>
        <v>2.1459227467811159E-3</v>
      </c>
      <c r="AD16">
        <f t="shared" si="7"/>
        <v>1.9011406844106464E-3</v>
      </c>
      <c r="AE16">
        <f t="shared" si="8"/>
        <v>1.7064846416382253E-3</v>
      </c>
      <c r="AF16">
        <f t="shared" si="9"/>
        <v>1.5479876160990713E-3</v>
      </c>
      <c r="AG16">
        <f t="shared" si="10"/>
        <v>1.4164305949008499E-3</v>
      </c>
      <c r="AH16">
        <f t="shared" si="11"/>
        <v>1.3054830287206266E-3</v>
      </c>
      <c r="AI16">
        <f t="shared" si="12"/>
        <v>1.2106537530266344E-3</v>
      </c>
      <c r="AJ16">
        <f t="shared" si="13"/>
        <v>1.128668171557562E-3</v>
      </c>
      <c r="AK16">
        <f t="shared" si="14"/>
        <v>-24.632891717774836</v>
      </c>
      <c r="AL16">
        <f t="shared" si="15"/>
        <v>-14.315716108208097</v>
      </c>
      <c r="AM16">
        <f t="shared" si="16"/>
        <v>-7.1476864572772616</v>
      </c>
      <c r="AN16">
        <f t="shared" si="17"/>
        <v>-1.9892177300879297</v>
      </c>
      <c r="AO16">
        <f t="shared" si="18"/>
        <v>1.8236262855664269</v>
      </c>
      <c r="AP16">
        <f t="shared" si="19"/>
        <v>4.704452466544816</v>
      </c>
      <c r="AQ16">
        <f t="shared" si="20"/>
        <v>6.9260989994538367</v>
      </c>
      <c r="AR16">
        <f t="shared" si="21"/>
        <v>8.6783729946845831</v>
      </c>
      <c r="AS16">
        <f t="shared" si="22"/>
        <v>10.100560602406976</v>
      </c>
      <c r="AT16">
        <f t="shared" si="23"/>
        <v>11.300816433791248</v>
      </c>
      <c r="AU16">
        <f t="shared" si="24"/>
        <v>0.99355206955424724</v>
      </c>
      <c r="AV16">
        <f t="shared" si="25"/>
        <v>24155.259348824962</v>
      </c>
      <c r="AW16">
        <f t="shared" si="26"/>
        <v>22602.708963958499</v>
      </c>
      <c r="AX16">
        <f t="shared" si="27"/>
        <v>21073.720342229004</v>
      </c>
      <c r="AY16">
        <f t="shared" si="28"/>
        <v>19587.596466820607</v>
      </c>
      <c r="AZ16">
        <f t="shared" si="29"/>
        <v>18175.900596107593</v>
      </c>
      <c r="BA16">
        <f t="shared" si="30"/>
        <v>16887.327735716903</v>
      </c>
      <c r="BB16">
        <f t="shared" si="31"/>
        <v>15793.712792080105</v>
      </c>
      <c r="BC16">
        <f t="shared" si="32"/>
        <v>14997.347573461364</v>
      </c>
      <c r="BD16">
        <f t="shared" si="33"/>
        <v>14639.840443615642</v>
      </c>
      <c r="BE16">
        <f t="shared" si="34"/>
        <v>200826.82622613074</v>
      </c>
      <c r="BF16">
        <f t="shared" si="35"/>
        <v>187918.92232635096</v>
      </c>
      <c r="BG16">
        <f t="shared" si="36"/>
        <v>175206.91092529194</v>
      </c>
      <c r="BH16">
        <f t="shared" si="37"/>
        <v>162851.27702514653</v>
      </c>
      <c r="BI16">
        <f t="shared" si="38"/>
        <v>151114.43755603852</v>
      </c>
      <c r="BJ16">
        <f t="shared" si="39"/>
        <v>140401.24279475032</v>
      </c>
      <c r="BK16">
        <f t="shared" si="40"/>
        <v>131308.92815335401</v>
      </c>
      <c r="BL16">
        <f t="shared" si="41"/>
        <v>124687.94772575778</v>
      </c>
      <c r="BM16">
        <f t="shared" si="42"/>
        <v>121715.63344822044</v>
      </c>
      <c r="BO16">
        <v>207260</v>
      </c>
      <c r="BP16">
        <v>193931</v>
      </c>
      <c r="BQ16">
        <v>181023</v>
      </c>
      <c r="BR16">
        <v>168630</v>
      </c>
      <c r="BS16">
        <v>156789</v>
      </c>
      <c r="BT16">
        <v>145456</v>
      </c>
      <c r="BU16">
        <v>134452</v>
      </c>
      <c r="BV16">
        <v>123297</v>
      </c>
      <c r="BW16">
        <v>110681</v>
      </c>
      <c r="BY16">
        <f t="shared" si="43"/>
        <v>0.98344934893634839</v>
      </c>
    </row>
    <row r="17" spans="1:77" x14ac:dyDescent="0.3">
      <c r="A17" s="6" t="s">
        <v>51</v>
      </c>
      <c r="B17">
        <v>265.83</v>
      </c>
      <c r="C17">
        <v>620</v>
      </c>
      <c r="E17">
        <v>265.83</v>
      </c>
      <c r="F17">
        <v>305.18220000000002</v>
      </c>
      <c r="G17">
        <v>344.53440000000001</v>
      </c>
      <c r="H17">
        <v>383.88670000000002</v>
      </c>
      <c r="I17">
        <v>423.2389</v>
      </c>
      <c r="J17">
        <v>462.59109999999998</v>
      </c>
      <c r="K17">
        <v>501.94330000000002</v>
      </c>
      <c r="L17">
        <v>541.29560000000004</v>
      </c>
      <c r="M17">
        <v>580.64779999999996</v>
      </c>
      <c r="N17">
        <v>620</v>
      </c>
      <c r="O17">
        <v>4.6521600000000003E-2</v>
      </c>
      <c r="P17">
        <v>4.0481109999999996</v>
      </c>
      <c r="Q17">
        <v>106.375</v>
      </c>
      <c r="R17">
        <v>1244.751</v>
      </c>
      <c r="S17">
        <v>8256.4390000000003</v>
      </c>
      <c r="T17">
        <v>36358.31</v>
      </c>
      <c r="U17">
        <v>118450</v>
      </c>
      <c r="V17">
        <v>308429</v>
      </c>
      <c r="W17">
        <v>679880</v>
      </c>
      <c r="X17">
        <v>1326540</v>
      </c>
      <c r="AA17">
        <f t="shared" si="4"/>
        <v>3.7618026558326753E-3</v>
      </c>
      <c r="AB17">
        <f t="shared" si="5"/>
        <v>3.2767310806462498E-3</v>
      </c>
      <c r="AC17">
        <f t="shared" si="6"/>
        <v>2.9024677942173552E-3</v>
      </c>
      <c r="AD17">
        <f t="shared" si="7"/>
        <v>2.6049352582415593E-3</v>
      </c>
      <c r="AE17">
        <f t="shared" si="8"/>
        <v>2.3627317810343048E-3</v>
      </c>
      <c r="AF17">
        <f t="shared" si="9"/>
        <v>2.1617363585248396E-3</v>
      </c>
      <c r="AG17">
        <f t="shared" si="10"/>
        <v>1.9922568943544021E-3</v>
      </c>
      <c r="AH17">
        <f t="shared" si="11"/>
        <v>1.8474194137177542E-3</v>
      </c>
      <c r="AI17">
        <f t="shared" si="12"/>
        <v>1.7222143957145795E-3</v>
      </c>
      <c r="AJ17">
        <f t="shared" si="13"/>
        <v>1.6129032258064516E-3</v>
      </c>
      <c r="AK17">
        <f t="shared" si="14"/>
        <v>-3.0678385581140124</v>
      </c>
      <c r="AL17">
        <f t="shared" si="15"/>
        <v>1.3982503525578336</v>
      </c>
      <c r="AM17">
        <f t="shared" si="16"/>
        <v>4.6669705868935383</v>
      </c>
      <c r="AN17">
        <f t="shared" si="17"/>
        <v>7.1266907888961413</v>
      </c>
      <c r="AO17">
        <f t="shared" si="18"/>
        <v>9.0187486597572981</v>
      </c>
      <c r="AP17">
        <f t="shared" si="19"/>
        <v>10.501178067563238</v>
      </c>
      <c r="AQ17">
        <f t="shared" si="20"/>
        <v>11.682246209586932</v>
      </c>
      <c r="AR17">
        <f t="shared" si="21"/>
        <v>12.639246949972856</v>
      </c>
      <c r="AS17">
        <f t="shared" si="22"/>
        <v>13.429671590991287</v>
      </c>
      <c r="AT17">
        <f t="shared" si="23"/>
        <v>14.098084606647321</v>
      </c>
      <c r="AU17">
        <f t="shared" si="24"/>
        <v>0.99584955001901576</v>
      </c>
      <c r="AV17">
        <f t="shared" si="25"/>
        <v>9207.0719851094418</v>
      </c>
      <c r="AW17">
        <f t="shared" si="26"/>
        <v>8733.7453414809388</v>
      </c>
      <c r="AX17">
        <f t="shared" si="27"/>
        <v>8267.0629413204715</v>
      </c>
      <c r="AY17">
        <f t="shared" si="28"/>
        <v>7811.8526318353197</v>
      </c>
      <c r="AZ17">
        <f t="shared" si="29"/>
        <v>7375.4386507788768</v>
      </c>
      <c r="BA17">
        <f t="shared" si="30"/>
        <v>6968.7979473191481</v>
      </c>
      <c r="BB17">
        <f t="shared" si="31"/>
        <v>6607.4108454478028</v>
      </c>
      <c r="BC17">
        <f t="shared" si="32"/>
        <v>6313.0428286699262</v>
      </c>
      <c r="BD17">
        <f t="shared" si="33"/>
        <v>6114.7732314804707</v>
      </c>
      <c r="BE17">
        <f t="shared" si="34"/>
        <v>76547.596484199894</v>
      </c>
      <c r="BF17">
        <f t="shared" si="35"/>
        <v>72612.358769072525</v>
      </c>
      <c r="BG17">
        <f t="shared" si="36"/>
        <v>68732.361294138405</v>
      </c>
      <c r="BH17">
        <f t="shared" si="37"/>
        <v>64947.74278107885</v>
      </c>
      <c r="BI17">
        <f t="shared" si="38"/>
        <v>61319.396942575579</v>
      </c>
      <c r="BJ17">
        <f t="shared" si="39"/>
        <v>57938.586134011399</v>
      </c>
      <c r="BK17">
        <f t="shared" si="40"/>
        <v>54934.013769053032</v>
      </c>
      <c r="BL17">
        <f t="shared" si="41"/>
        <v>52486.638077561765</v>
      </c>
      <c r="BM17">
        <f t="shared" si="42"/>
        <v>50838.224646528637</v>
      </c>
      <c r="BO17">
        <v>78003.710000000006</v>
      </c>
      <c r="BP17">
        <v>73070.28</v>
      </c>
      <c r="BQ17">
        <v>68469.45</v>
      </c>
      <c r="BR17">
        <v>64093.35</v>
      </c>
      <c r="BS17">
        <v>59824.71</v>
      </c>
      <c r="BT17">
        <v>55524.93</v>
      </c>
      <c r="BU17">
        <v>51013.05</v>
      </c>
      <c r="BV17">
        <v>46023.38</v>
      </c>
      <c r="BW17">
        <v>40102.79</v>
      </c>
      <c r="BY17">
        <f t="shared" si="43"/>
        <v>0.98025522747271754</v>
      </c>
    </row>
    <row r="18" spans="1:77" x14ac:dyDescent="0.3">
      <c r="A18" s="6" t="s">
        <v>54</v>
      </c>
      <c r="B18">
        <v>285.55</v>
      </c>
      <c r="C18">
        <v>650</v>
      </c>
      <c r="E18">
        <v>285.55</v>
      </c>
      <c r="F18">
        <v>326.0444</v>
      </c>
      <c r="G18">
        <v>366.53890000000001</v>
      </c>
      <c r="H18">
        <v>407.0333</v>
      </c>
      <c r="I18">
        <v>447.52780000000001</v>
      </c>
      <c r="J18">
        <v>488.0222</v>
      </c>
      <c r="K18">
        <v>528.51670000000001</v>
      </c>
      <c r="L18">
        <v>569.01110000000006</v>
      </c>
      <c r="M18">
        <v>609.50559999999996</v>
      </c>
      <c r="N18">
        <v>650</v>
      </c>
      <c r="O18">
        <v>4.5549300000000001E-2</v>
      </c>
      <c r="P18">
        <v>3.6600929999999998</v>
      </c>
      <c r="Q18">
        <v>92.797319999999999</v>
      </c>
      <c r="R18">
        <v>1068.8520000000001</v>
      </c>
      <c r="S18">
        <v>7039.1469999999999</v>
      </c>
      <c r="T18">
        <v>30869.11</v>
      </c>
      <c r="U18">
        <v>100157</v>
      </c>
      <c r="V18">
        <v>259338</v>
      </c>
      <c r="W18">
        <v>567053</v>
      </c>
      <c r="X18">
        <v>1093950</v>
      </c>
      <c r="AA18">
        <f t="shared" si="4"/>
        <v>3.5020136578532654E-3</v>
      </c>
      <c r="AB18">
        <f t="shared" si="5"/>
        <v>3.0670669393493646E-3</v>
      </c>
      <c r="AC18">
        <f t="shared" si="6"/>
        <v>2.7282233891136793E-3</v>
      </c>
      <c r="AD18">
        <f t="shared" si="7"/>
        <v>2.4568014459750592E-3</v>
      </c>
      <c r="AE18">
        <f t="shared" si="8"/>
        <v>2.2344980579977378E-3</v>
      </c>
      <c r="AF18">
        <f t="shared" si="9"/>
        <v>2.0490871112010889E-3</v>
      </c>
      <c r="AG18">
        <f t="shared" si="10"/>
        <v>1.8920877996854214E-3</v>
      </c>
      <c r="AH18">
        <f t="shared" si="11"/>
        <v>1.7574349604076262E-3</v>
      </c>
      <c r="AI18">
        <f t="shared" si="12"/>
        <v>1.6406740151362024E-3</v>
      </c>
      <c r="AJ18">
        <f t="shared" si="13"/>
        <v>1.5384615384615385E-3</v>
      </c>
      <c r="AK18">
        <f t="shared" si="14"/>
        <v>-3.0889600231220262</v>
      </c>
      <c r="AL18">
        <f t="shared" si="15"/>
        <v>1.297488556926516</v>
      </c>
      <c r="AM18">
        <f t="shared" si="16"/>
        <v>4.530417760064795</v>
      </c>
      <c r="AN18">
        <f t="shared" si="17"/>
        <v>6.9743404542934879</v>
      </c>
      <c r="AO18">
        <f t="shared" si="18"/>
        <v>8.8592422770383159</v>
      </c>
      <c r="AP18">
        <f t="shared" si="19"/>
        <v>10.337511286500744</v>
      </c>
      <c r="AQ18">
        <f t="shared" si="20"/>
        <v>11.514494233808676</v>
      </c>
      <c r="AR18">
        <f t="shared" si="21"/>
        <v>12.465887509189125</v>
      </c>
      <c r="AS18">
        <f t="shared" si="22"/>
        <v>13.248208052768234</v>
      </c>
      <c r="AT18">
        <f t="shared" si="23"/>
        <v>13.905305557080489</v>
      </c>
      <c r="AU18">
        <f t="shared" si="24"/>
        <v>0.99519080458722442</v>
      </c>
      <c r="AV18">
        <f t="shared" si="25"/>
        <v>10085.025115574479</v>
      </c>
      <c r="AW18">
        <f t="shared" si="26"/>
        <v>9541.0675543022444</v>
      </c>
      <c r="AX18">
        <f t="shared" si="27"/>
        <v>9004.1455969554281</v>
      </c>
      <c r="AY18">
        <f t="shared" si="28"/>
        <v>8478.9612965193264</v>
      </c>
      <c r="AZ18">
        <f t="shared" si="29"/>
        <v>7972.9327475131922</v>
      </c>
      <c r="BA18">
        <f t="shared" si="30"/>
        <v>7496.7395458321917</v>
      </c>
      <c r="BB18">
        <f t="shared" si="31"/>
        <v>7065.5270284919843</v>
      </c>
      <c r="BC18">
        <f t="shared" si="32"/>
        <v>6700.1902199448414</v>
      </c>
      <c r="BD18">
        <f t="shared" si="33"/>
        <v>6428.7406556418355</v>
      </c>
      <c r="BE18">
        <f t="shared" si="34"/>
        <v>83846.898810886225</v>
      </c>
      <c r="BF18">
        <f t="shared" si="35"/>
        <v>79324.435646468861</v>
      </c>
      <c r="BG18">
        <f t="shared" si="36"/>
        <v>74860.466493087428</v>
      </c>
      <c r="BH18">
        <f t="shared" si="37"/>
        <v>70494.084219261684</v>
      </c>
      <c r="BI18">
        <f t="shared" si="38"/>
        <v>66286.962862824686</v>
      </c>
      <c r="BJ18">
        <f t="shared" si="39"/>
        <v>62327.892584048845</v>
      </c>
      <c r="BK18">
        <f t="shared" si="40"/>
        <v>58742.791714882354</v>
      </c>
      <c r="BL18">
        <f t="shared" si="41"/>
        <v>55705.38148862141</v>
      </c>
      <c r="BM18">
        <f t="shared" si="42"/>
        <v>53448.549811006218</v>
      </c>
      <c r="BO18">
        <v>85924.25</v>
      </c>
      <c r="BP18">
        <v>81337.67</v>
      </c>
      <c r="BQ18">
        <v>76731.56</v>
      </c>
      <c r="BR18">
        <v>72047.58</v>
      </c>
      <c r="BS18">
        <v>67211.89</v>
      </c>
      <c r="BT18">
        <v>62125.59</v>
      </c>
      <c r="BU18">
        <v>56646.83</v>
      </c>
      <c r="BV18">
        <v>50553.56</v>
      </c>
      <c r="BW18">
        <v>43452.18</v>
      </c>
      <c r="BY18">
        <f t="shared" si="43"/>
        <v>0.97391064537998917</v>
      </c>
    </row>
    <row r="19" spans="1:77" x14ac:dyDescent="0.3">
      <c r="A19" s="6" t="s">
        <v>57</v>
      </c>
      <c r="B19">
        <v>301.63</v>
      </c>
      <c r="C19">
        <v>680</v>
      </c>
      <c r="E19">
        <v>301.63</v>
      </c>
      <c r="F19">
        <v>343.67110000000002</v>
      </c>
      <c r="G19">
        <v>385.7122</v>
      </c>
      <c r="H19">
        <v>427.75330000000002</v>
      </c>
      <c r="I19">
        <v>469.7944</v>
      </c>
      <c r="J19">
        <v>511.8356</v>
      </c>
      <c r="K19">
        <v>553.87670000000003</v>
      </c>
      <c r="L19">
        <v>595.91780000000006</v>
      </c>
      <c r="M19">
        <v>637.95889999999997</v>
      </c>
      <c r="N19">
        <v>680</v>
      </c>
      <c r="O19">
        <v>3.5585199999999997E-2</v>
      </c>
      <c r="P19">
        <v>3.0966480000000001</v>
      </c>
      <c r="Q19">
        <v>82.650739999999999</v>
      </c>
      <c r="R19">
        <v>981.24080000000004</v>
      </c>
      <c r="S19">
        <v>6561.5339999999997</v>
      </c>
      <c r="T19">
        <v>28928.02</v>
      </c>
      <c r="U19">
        <v>93831.93</v>
      </c>
      <c r="V19">
        <v>242482</v>
      </c>
      <c r="W19">
        <v>530235</v>
      </c>
      <c r="X19">
        <v>1028950</v>
      </c>
      <c r="AA19">
        <f t="shared" si="4"/>
        <v>3.3153200941550909E-3</v>
      </c>
      <c r="AB19">
        <f t="shared" si="5"/>
        <v>2.9097587780875377E-3</v>
      </c>
      <c r="AC19">
        <f t="shared" si="6"/>
        <v>2.5926066118727902E-3</v>
      </c>
      <c r="AD19">
        <f t="shared" si="7"/>
        <v>2.3377961081773066E-3</v>
      </c>
      <c r="AE19">
        <f t="shared" si="8"/>
        <v>2.1285907196850369E-3</v>
      </c>
      <c r="AF19">
        <f t="shared" si="9"/>
        <v>1.9537523376646718E-3</v>
      </c>
      <c r="AG19">
        <f t="shared" si="10"/>
        <v>1.8054559796431226E-3</v>
      </c>
      <c r="AH19">
        <f t="shared" si="11"/>
        <v>1.6780837894085391E-3</v>
      </c>
      <c r="AI19">
        <f t="shared" si="12"/>
        <v>1.5674990975123946E-3</v>
      </c>
      <c r="AJ19">
        <f t="shared" si="13"/>
        <v>1.4705882352941176E-3</v>
      </c>
      <c r="AK19">
        <f t="shared" si="14"/>
        <v>-3.3358254579010453</v>
      </c>
      <c r="AL19">
        <f t="shared" si="15"/>
        <v>1.1303202361523863</v>
      </c>
      <c r="AM19">
        <f t="shared" si="16"/>
        <v>4.4146237776449793</v>
      </c>
      <c r="AN19">
        <f t="shared" si="17"/>
        <v>6.888817893256487</v>
      </c>
      <c r="AO19">
        <f t="shared" si="18"/>
        <v>8.7889796960648958</v>
      </c>
      <c r="AP19">
        <f t="shared" si="19"/>
        <v>10.272565954563346</v>
      </c>
      <c r="AQ19">
        <f t="shared" si="20"/>
        <v>11.44926048218691</v>
      </c>
      <c r="AR19">
        <f t="shared" si="21"/>
        <v>12.398682759800606</v>
      </c>
      <c r="AS19">
        <f t="shared" si="22"/>
        <v>13.181075583483661</v>
      </c>
      <c r="AT19">
        <f t="shared" si="23"/>
        <v>13.844049422770695</v>
      </c>
      <c r="AU19">
        <f t="shared" si="24"/>
        <v>0.99428159150912954</v>
      </c>
      <c r="AV19">
        <f t="shared" si="25"/>
        <v>11012.257622000412</v>
      </c>
      <c r="AW19">
        <f t="shared" si="26"/>
        <v>10355.608100336138</v>
      </c>
      <c r="AX19">
        <f t="shared" si="27"/>
        <v>9709.9376977345601</v>
      </c>
      <c r="AY19">
        <f t="shared" si="28"/>
        <v>9082.7574590824734</v>
      </c>
      <c r="AZ19">
        <f t="shared" si="29"/>
        <v>8485.472362273651</v>
      </c>
      <c r="BA19">
        <f t="shared" si="30"/>
        <v>7934.7500054760339</v>
      </c>
      <c r="BB19">
        <f t="shared" si="31"/>
        <v>7453.9212669981498</v>
      </c>
      <c r="BC19">
        <f t="shared" si="32"/>
        <v>7075.0554192242025</v>
      </c>
      <c r="BD19">
        <f t="shared" si="33"/>
        <v>6841.0684221732126</v>
      </c>
      <c r="BE19">
        <f t="shared" si="34"/>
        <v>91555.909869311421</v>
      </c>
      <c r="BF19">
        <f t="shared" si="35"/>
        <v>86096.525746194646</v>
      </c>
      <c r="BG19">
        <f t="shared" si="36"/>
        <v>80728.422018965139</v>
      </c>
      <c r="BH19">
        <f t="shared" si="37"/>
        <v>75514.045514811689</v>
      </c>
      <c r="BI19">
        <f t="shared" si="38"/>
        <v>70548.217219943137</v>
      </c>
      <c r="BJ19">
        <f t="shared" si="39"/>
        <v>65969.511545527741</v>
      </c>
      <c r="BK19">
        <f t="shared" si="40"/>
        <v>61971.901413822619</v>
      </c>
      <c r="BL19">
        <f t="shared" si="41"/>
        <v>58822.010755430019</v>
      </c>
      <c r="BM19">
        <f t="shared" si="42"/>
        <v>56876.642861948087</v>
      </c>
      <c r="BO19">
        <v>93997.71</v>
      </c>
      <c r="BP19">
        <v>88754.36</v>
      </c>
      <c r="BQ19">
        <v>83430.94</v>
      </c>
      <c r="BR19">
        <v>78000.73</v>
      </c>
      <c r="BS19">
        <v>72416.66</v>
      </c>
      <c r="BT19">
        <v>66599.33</v>
      </c>
      <c r="BU19">
        <v>60413.54</v>
      </c>
      <c r="BV19">
        <v>53616.53</v>
      </c>
      <c r="BW19">
        <v>45721.88</v>
      </c>
      <c r="BY19">
        <f t="shared" si="43"/>
        <v>0.96603436549502308</v>
      </c>
    </row>
    <row r="20" spans="1:77" x14ac:dyDescent="0.3">
      <c r="A20" s="6" t="s">
        <v>60</v>
      </c>
      <c r="B20">
        <v>315.01</v>
      </c>
      <c r="C20">
        <v>700</v>
      </c>
      <c r="E20">
        <v>315.01</v>
      </c>
      <c r="F20">
        <v>357.7867</v>
      </c>
      <c r="G20">
        <v>400.56330000000003</v>
      </c>
      <c r="H20">
        <v>443.34</v>
      </c>
      <c r="I20">
        <v>486.11669999999998</v>
      </c>
      <c r="J20">
        <v>528.89329999999995</v>
      </c>
      <c r="K20">
        <v>571.66999999999996</v>
      </c>
      <c r="L20">
        <v>614.44669999999996</v>
      </c>
      <c r="M20">
        <v>657.22329999999999</v>
      </c>
      <c r="N20">
        <v>700</v>
      </c>
      <c r="O20">
        <v>2.2164E-2</v>
      </c>
      <c r="P20">
        <v>2.1236820000000001</v>
      </c>
      <c r="Q20">
        <v>60.361069999999998</v>
      </c>
      <c r="R20">
        <v>743.71579999999994</v>
      </c>
      <c r="S20">
        <v>5066.9979999999996</v>
      </c>
      <c r="T20">
        <v>22492.33</v>
      </c>
      <c r="U20">
        <v>73029.210000000006</v>
      </c>
      <c r="V20">
        <v>188876</v>
      </c>
      <c r="W20">
        <v>415608</v>
      </c>
      <c r="X20">
        <v>820780</v>
      </c>
      <c r="AA20">
        <f t="shared" si="4"/>
        <v>3.1745023967493097E-3</v>
      </c>
      <c r="AB20">
        <f t="shared" si="5"/>
        <v>2.7949613554668186E-3</v>
      </c>
      <c r="AC20">
        <f t="shared" si="6"/>
        <v>2.4964843259479837E-3</v>
      </c>
      <c r="AD20">
        <f t="shared" si="7"/>
        <v>2.2556051788694908E-3</v>
      </c>
      <c r="AE20">
        <f t="shared" si="8"/>
        <v>2.0571192061494699E-3</v>
      </c>
      <c r="AF20">
        <f t="shared" si="9"/>
        <v>1.8907405331094194E-3</v>
      </c>
      <c r="AG20">
        <f t="shared" si="10"/>
        <v>1.7492609372540104E-3</v>
      </c>
      <c r="AH20">
        <f t="shared" si="11"/>
        <v>1.6274804633176483E-3</v>
      </c>
      <c r="AI20">
        <f t="shared" si="12"/>
        <v>1.5215528725168448E-3</v>
      </c>
      <c r="AJ20">
        <f t="shared" si="13"/>
        <v>1.4285714285714286E-3</v>
      </c>
      <c r="AK20">
        <f t="shared" si="14"/>
        <v>-3.8092859279770339</v>
      </c>
      <c r="AL20">
        <f t="shared" si="15"/>
        <v>0.75315137465678239</v>
      </c>
      <c r="AM20">
        <f t="shared" si="16"/>
        <v>4.1003443607140317</v>
      </c>
      <c r="AN20">
        <f t="shared" si="17"/>
        <v>6.6116589726093027</v>
      </c>
      <c r="AO20">
        <f t="shared" si="18"/>
        <v>8.5305038107649569</v>
      </c>
      <c r="AP20">
        <f t="shared" si="19"/>
        <v>10.020929641187797</v>
      </c>
      <c r="AQ20">
        <f t="shared" si="20"/>
        <v>11.198614777083375</v>
      </c>
      <c r="AR20">
        <f t="shared" si="21"/>
        <v>12.148845994067974</v>
      </c>
      <c r="AS20">
        <f t="shared" si="22"/>
        <v>12.937497787300096</v>
      </c>
      <c r="AT20">
        <f t="shared" si="23"/>
        <v>13.61801038663004</v>
      </c>
      <c r="AU20">
        <f t="shared" si="24"/>
        <v>0.9930935750452432</v>
      </c>
      <c r="AV20">
        <f t="shared" si="25"/>
        <v>12020.932669671449</v>
      </c>
      <c r="AW20">
        <f t="shared" si="26"/>
        <v>11214.239807509304</v>
      </c>
      <c r="AX20">
        <f t="shared" si="27"/>
        <v>10425.620658134156</v>
      </c>
      <c r="AY20">
        <f t="shared" si="28"/>
        <v>9667.4077863543898</v>
      </c>
      <c r="AZ20">
        <f t="shared" si="29"/>
        <v>8958.0341229435435</v>
      </c>
      <c r="BA20">
        <f t="shared" si="30"/>
        <v>8324.0634720158705</v>
      </c>
      <c r="BB20">
        <f t="shared" si="31"/>
        <v>7802.8208157668596</v>
      </c>
      <c r="BC20">
        <f t="shared" si="32"/>
        <v>7445.1971131409837</v>
      </c>
      <c r="BD20">
        <f t="shared" si="33"/>
        <v>7318.8000793946776</v>
      </c>
      <c r="BE20">
        <f t="shared" si="34"/>
        <v>99942.034215648426</v>
      </c>
      <c r="BF20">
        <f t="shared" si="35"/>
        <v>93235.189759632354</v>
      </c>
      <c r="BG20">
        <f t="shared" si="36"/>
        <v>86678.610151727378</v>
      </c>
      <c r="BH20">
        <f t="shared" si="37"/>
        <v>80374.828335750397</v>
      </c>
      <c r="BI20">
        <f t="shared" si="38"/>
        <v>74477.095698152625</v>
      </c>
      <c r="BJ20">
        <f t="shared" si="39"/>
        <v>69206.263706339945</v>
      </c>
      <c r="BK20">
        <f t="shared" si="40"/>
        <v>64872.652262285672</v>
      </c>
      <c r="BL20">
        <f t="shared" si="41"/>
        <v>61899.368798654141</v>
      </c>
      <c r="BM20">
        <f t="shared" si="42"/>
        <v>60848.503860087352</v>
      </c>
      <c r="BO20">
        <v>102926</v>
      </c>
      <c r="BP20">
        <v>96534.02</v>
      </c>
      <c r="BQ20">
        <v>89980.58</v>
      </c>
      <c r="BR20">
        <v>83362.13</v>
      </c>
      <c r="BS20">
        <v>76745.119999999995</v>
      </c>
      <c r="BT20">
        <v>70154.25</v>
      </c>
      <c r="BU20">
        <v>63550.44</v>
      </c>
      <c r="BV20">
        <v>56780.1</v>
      </c>
      <c r="BW20">
        <v>49433.68</v>
      </c>
      <c r="BY20">
        <f t="shared" si="43"/>
        <v>0.96665777183278023</v>
      </c>
    </row>
    <row r="21" spans="1:77" x14ac:dyDescent="0.3">
      <c r="A21" s="6" t="s">
        <v>63</v>
      </c>
      <c r="B21">
        <v>325.68</v>
      </c>
      <c r="C21">
        <v>710</v>
      </c>
      <c r="E21">
        <v>325.68</v>
      </c>
      <c r="F21">
        <v>368.38220000000001</v>
      </c>
      <c r="G21">
        <v>411.08440000000002</v>
      </c>
      <c r="H21">
        <v>453.7867</v>
      </c>
      <c r="I21">
        <v>496.4889</v>
      </c>
      <c r="J21">
        <v>539.19110000000001</v>
      </c>
      <c r="K21">
        <v>581.89329999999995</v>
      </c>
      <c r="L21">
        <v>624.59559999999999</v>
      </c>
      <c r="M21">
        <v>667.29780000000005</v>
      </c>
      <c r="N21">
        <v>710</v>
      </c>
      <c r="O21">
        <v>1.12324E-2</v>
      </c>
      <c r="P21">
        <v>1.2009019999999999</v>
      </c>
      <c r="Q21">
        <v>37.121070000000003</v>
      </c>
      <c r="R21">
        <v>485.72480000000002</v>
      </c>
      <c r="S21">
        <v>3446.8159999999998</v>
      </c>
      <c r="T21">
        <v>15705.82</v>
      </c>
      <c r="U21">
        <v>51835.74</v>
      </c>
      <c r="V21">
        <v>135567</v>
      </c>
      <c r="W21">
        <v>301417</v>
      </c>
      <c r="X21">
        <v>603689</v>
      </c>
      <c r="AA21">
        <f t="shared" si="4"/>
        <v>3.0704986489805946E-3</v>
      </c>
      <c r="AB21">
        <f t="shared" si="5"/>
        <v>2.7145719852913631E-3</v>
      </c>
      <c r="AC21">
        <f t="shared" si="6"/>
        <v>2.432590485068273E-3</v>
      </c>
      <c r="AD21">
        <f t="shared" si="7"/>
        <v>2.2036785123935982E-3</v>
      </c>
      <c r="AE21">
        <f t="shared" si="8"/>
        <v>2.0141437200308001E-3</v>
      </c>
      <c r="AF21">
        <f t="shared" si="9"/>
        <v>1.8546300189302087E-3</v>
      </c>
      <c r="AG21">
        <f t="shared" si="10"/>
        <v>1.7185281219082606E-3</v>
      </c>
      <c r="AH21">
        <f t="shared" si="11"/>
        <v>1.6010359342909237E-3</v>
      </c>
      <c r="AI21">
        <f t="shared" si="12"/>
        <v>1.4985812930898318E-3</v>
      </c>
      <c r="AJ21">
        <f t="shared" si="13"/>
        <v>1.4084507042253522E-3</v>
      </c>
      <c r="AK21">
        <f t="shared" si="14"/>
        <v>-4.4889528197971806</v>
      </c>
      <c r="AL21">
        <f t="shared" si="15"/>
        <v>0.18307294110071715</v>
      </c>
      <c r="AM21">
        <f t="shared" si="16"/>
        <v>3.6141847329335897</v>
      </c>
      <c r="AN21">
        <f t="shared" si="17"/>
        <v>6.1856422083734692</v>
      </c>
      <c r="AO21">
        <f t="shared" si="18"/>
        <v>8.1452061853416087</v>
      </c>
      <c r="AP21">
        <f t="shared" si="19"/>
        <v>9.661786623280836</v>
      </c>
      <c r="AQ21">
        <f t="shared" si="20"/>
        <v>10.855835151723603</v>
      </c>
      <c r="AR21">
        <f t="shared" si="21"/>
        <v>11.817221262039034</v>
      </c>
      <c r="AS21">
        <f t="shared" si="22"/>
        <v>12.616249967034481</v>
      </c>
      <c r="AT21">
        <f t="shared" si="23"/>
        <v>13.310814443647832</v>
      </c>
      <c r="AU21">
        <f t="shared" si="24"/>
        <v>0.99178696422762336</v>
      </c>
      <c r="AV21">
        <f t="shared" si="25"/>
        <v>13126.371911763152</v>
      </c>
      <c r="AW21">
        <f t="shared" si="26"/>
        <v>12167.861328201827</v>
      </c>
      <c r="AX21">
        <f t="shared" si="27"/>
        <v>11233.390046812383</v>
      </c>
      <c r="AY21">
        <f t="shared" si="28"/>
        <v>10338.808788294866</v>
      </c>
      <c r="AZ21">
        <f t="shared" si="29"/>
        <v>9507.5246043150346</v>
      </c>
      <c r="BA21">
        <f t="shared" si="30"/>
        <v>8773.1953379769056</v>
      </c>
      <c r="BB21">
        <f t="shared" si="31"/>
        <v>8182.5534940807465</v>
      </c>
      <c r="BC21">
        <f t="shared" si="32"/>
        <v>7798.8531864277456</v>
      </c>
      <c r="BD21">
        <f t="shared" si="33"/>
        <v>7706.2014723735838</v>
      </c>
      <c r="BE21">
        <f t="shared" si="34"/>
        <v>109132.65607439884</v>
      </c>
      <c r="BF21">
        <f t="shared" si="35"/>
        <v>101163.59908266999</v>
      </c>
      <c r="BG21">
        <f t="shared" si="36"/>
        <v>93394.404849198152</v>
      </c>
      <c r="BH21">
        <f t="shared" si="37"/>
        <v>85956.856265883514</v>
      </c>
      <c r="BI21">
        <f t="shared" si="38"/>
        <v>79045.5595602752</v>
      </c>
      <c r="BJ21">
        <f t="shared" si="39"/>
        <v>72940.346039939992</v>
      </c>
      <c r="BK21">
        <f t="shared" si="40"/>
        <v>68029.749749787326</v>
      </c>
      <c r="BL21">
        <f t="shared" si="41"/>
        <v>64839.665391960276</v>
      </c>
      <c r="BM21">
        <f t="shared" si="42"/>
        <v>64069.359041313975</v>
      </c>
      <c r="BO21">
        <v>112652</v>
      </c>
      <c r="BP21">
        <v>105126</v>
      </c>
      <c r="BQ21">
        <v>97334.81</v>
      </c>
      <c r="BR21">
        <v>89505.58</v>
      </c>
      <c r="BS21">
        <v>81821.81</v>
      </c>
      <c r="BT21">
        <v>74411.740000000005</v>
      </c>
      <c r="BU21">
        <v>67334.33</v>
      </c>
      <c r="BV21">
        <v>60546.28</v>
      </c>
      <c r="BW21">
        <v>53804.160000000003</v>
      </c>
      <c r="BY21">
        <f t="shared" si="43"/>
        <v>0.9747026613091212</v>
      </c>
    </row>
    <row r="22" spans="1:77" x14ac:dyDescent="0.3">
      <c r="A22" s="6" t="s">
        <v>66</v>
      </c>
      <c r="B22">
        <v>289.64999999999998</v>
      </c>
      <c r="C22">
        <v>624</v>
      </c>
      <c r="E22">
        <v>289.64999999999998</v>
      </c>
      <c r="F22">
        <v>326.8</v>
      </c>
      <c r="G22">
        <v>363.95</v>
      </c>
      <c r="H22">
        <v>401.1</v>
      </c>
      <c r="I22">
        <v>438.25</v>
      </c>
      <c r="J22">
        <v>475.4</v>
      </c>
      <c r="K22">
        <v>512.54999999999995</v>
      </c>
      <c r="L22">
        <v>549.70000000000005</v>
      </c>
      <c r="M22">
        <v>586.85</v>
      </c>
      <c r="N22">
        <v>624</v>
      </c>
      <c r="O22">
        <v>0.2764934</v>
      </c>
      <c r="P22">
        <v>11.102690000000001</v>
      </c>
      <c r="Q22">
        <v>181.47040000000001</v>
      </c>
      <c r="R22">
        <v>1573.6479999999999</v>
      </c>
      <c r="S22">
        <v>8611.8070000000007</v>
      </c>
      <c r="T22">
        <v>33485.199999999997</v>
      </c>
      <c r="U22">
        <v>100626</v>
      </c>
      <c r="V22">
        <v>248597</v>
      </c>
      <c r="W22">
        <v>529209</v>
      </c>
      <c r="X22">
        <v>1007370</v>
      </c>
      <c r="AA22">
        <f t="shared" si="4"/>
        <v>3.4524426031417232E-3</v>
      </c>
      <c r="AB22">
        <f t="shared" si="5"/>
        <v>3.0599755201958382E-3</v>
      </c>
      <c r="AC22">
        <f t="shared" si="6"/>
        <v>2.7476301689792555E-3</v>
      </c>
      <c r="AD22">
        <f t="shared" si="7"/>
        <v>2.4931438544003987E-3</v>
      </c>
      <c r="AE22">
        <f t="shared" si="8"/>
        <v>2.2818026240730175E-3</v>
      </c>
      <c r="AF22">
        <f t="shared" si="9"/>
        <v>2.1034917963819941E-3</v>
      </c>
      <c r="AG22">
        <f t="shared" si="10"/>
        <v>1.95102916788606E-3</v>
      </c>
      <c r="AH22">
        <f t="shared" si="11"/>
        <v>1.8191740949608877E-3</v>
      </c>
      <c r="AI22">
        <f t="shared" si="12"/>
        <v>1.7040129504984236E-3</v>
      </c>
      <c r="AJ22">
        <f t="shared" si="13"/>
        <v>1.6025641025641025E-3</v>
      </c>
      <c r="AK22">
        <f t="shared" si="14"/>
        <v>-1.2855683281057209</v>
      </c>
      <c r="AL22">
        <f t="shared" si="15"/>
        <v>2.4071874213004687</v>
      </c>
      <c r="AM22">
        <f t="shared" si="16"/>
        <v>5.2010925550055864</v>
      </c>
      <c r="AN22">
        <f t="shared" si="17"/>
        <v>7.3611517699141578</v>
      </c>
      <c r="AO22">
        <f t="shared" si="18"/>
        <v>9.0608894476432589</v>
      </c>
      <c r="AP22">
        <f t="shared" si="19"/>
        <v>10.418858829149965</v>
      </c>
      <c r="AQ22">
        <f t="shared" si="20"/>
        <v>11.519165952559682</v>
      </c>
      <c r="AR22">
        <f t="shared" si="21"/>
        <v>12.423588390407495</v>
      </c>
      <c r="AS22">
        <f t="shared" si="22"/>
        <v>13.179138717881045</v>
      </c>
      <c r="AT22">
        <f t="shared" si="23"/>
        <v>13.822853532219533</v>
      </c>
      <c r="AU22">
        <f t="shared" si="24"/>
        <v>0.99613726050266127</v>
      </c>
      <c r="AV22">
        <f t="shared" si="25"/>
        <v>9409.083996772697</v>
      </c>
      <c r="AW22">
        <f t="shared" si="26"/>
        <v>8944.9230565554444</v>
      </c>
      <c r="AX22">
        <f t="shared" si="27"/>
        <v>8487.9189613131075</v>
      </c>
      <c r="AY22">
        <f t="shared" si="28"/>
        <v>8042.6222327564674</v>
      </c>
      <c r="AZ22">
        <f t="shared" si="29"/>
        <v>7615.7426842288669</v>
      </c>
      <c r="BA22">
        <f t="shared" si="30"/>
        <v>7216.8972440289572</v>
      </c>
      <c r="BB22">
        <f t="shared" si="31"/>
        <v>6859.2160906927902</v>
      </c>
      <c r="BC22">
        <f t="shared" si="32"/>
        <v>6560.8094726760582</v>
      </c>
      <c r="BD22">
        <f t="shared" si="33"/>
        <v>6345.2156179756139</v>
      </c>
      <c r="BE22">
        <f t="shared" si="34"/>
        <v>78227.124349168196</v>
      </c>
      <c r="BF22">
        <f t="shared" si="35"/>
        <v>74368.09029220196</v>
      </c>
      <c r="BG22">
        <f t="shared" si="36"/>
        <v>70568.558244357177</v>
      </c>
      <c r="BH22">
        <f t="shared" si="37"/>
        <v>66866.361243137275</v>
      </c>
      <c r="BI22">
        <f t="shared" si="38"/>
        <v>63317.284676678799</v>
      </c>
      <c r="BJ22">
        <f t="shared" si="39"/>
        <v>60001.283686856754</v>
      </c>
      <c r="BK22">
        <f t="shared" si="40"/>
        <v>57027.52257801986</v>
      </c>
      <c r="BL22">
        <f t="shared" si="41"/>
        <v>54546.569955828745</v>
      </c>
      <c r="BM22">
        <f t="shared" si="42"/>
        <v>52754.122647849254</v>
      </c>
      <c r="BO22">
        <v>79668.160000000003</v>
      </c>
      <c r="BP22">
        <v>75163</v>
      </c>
      <c r="BQ22">
        <v>70814.880000000005</v>
      </c>
      <c r="BR22">
        <v>66562.17</v>
      </c>
      <c r="BS22">
        <v>62332.27</v>
      </c>
      <c r="BT22">
        <v>58033.69</v>
      </c>
      <c r="BU22">
        <v>53541.75</v>
      </c>
      <c r="BV22">
        <v>48670.06</v>
      </c>
      <c r="BW22">
        <v>43105.440000000002</v>
      </c>
      <c r="BY22">
        <f t="shared" si="43"/>
        <v>0.98216151851476163</v>
      </c>
    </row>
    <row r="23" spans="1:77" x14ac:dyDescent="0.3">
      <c r="A23" s="6" t="s">
        <v>69</v>
      </c>
      <c r="B23">
        <v>304.75</v>
      </c>
      <c r="C23">
        <v>662</v>
      </c>
      <c r="E23">
        <v>304.75</v>
      </c>
      <c r="F23">
        <v>344.44439999999997</v>
      </c>
      <c r="G23">
        <v>384.13889999999998</v>
      </c>
      <c r="H23">
        <v>423.83330000000001</v>
      </c>
      <c r="I23">
        <v>463.52780000000001</v>
      </c>
      <c r="J23">
        <v>503.22219999999999</v>
      </c>
      <c r="K23">
        <v>542.91669999999999</v>
      </c>
      <c r="L23">
        <v>582.61109999999996</v>
      </c>
      <c r="M23">
        <v>622.30560000000003</v>
      </c>
      <c r="N23">
        <v>662</v>
      </c>
      <c r="O23">
        <v>0.14857799999999999</v>
      </c>
      <c r="P23">
        <v>7.4931239999999999</v>
      </c>
      <c r="Q23">
        <v>142.6678</v>
      </c>
      <c r="R23">
        <v>1371.4760000000001</v>
      </c>
      <c r="S23">
        <v>8042.04</v>
      </c>
      <c r="T23">
        <v>32705.16</v>
      </c>
      <c r="U23">
        <v>100983</v>
      </c>
      <c r="V23">
        <v>252898</v>
      </c>
      <c r="W23">
        <v>539964</v>
      </c>
      <c r="X23">
        <v>1021920</v>
      </c>
      <c r="AA23">
        <f t="shared" si="4"/>
        <v>3.2813781788351109E-3</v>
      </c>
      <c r="AB23">
        <f t="shared" si="5"/>
        <v>2.9032261810614428E-3</v>
      </c>
      <c r="AC23">
        <f t="shared" si="6"/>
        <v>2.6032250313623535E-3</v>
      </c>
      <c r="AD23">
        <f t="shared" si="7"/>
        <v>2.3594181957859377E-3</v>
      </c>
      <c r="AE23">
        <f t="shared" si="8"/>
        <v>2.1573679075990696E-3</v>
      </c>
      <c r="AF23">
        <f t="shared" si="9"/>
        <v>1.9871937287345431E-3</v>
      </c>
      <c r="AG23">
        <f t="shared" si="10"/>
        <v>1.8419031869898275E-3</v>
      </c>
      <c r="AH23">
        <f t="shared" si="11"/>
        <v>1.7164108270508406E-3</v>
      </c>
      <c r="AI23">
        <f t="shared" si="12"/>
        <v>1.6069275288539907E-3</v>
      </c>
      <c r="AJ23">
        <f t="shared" si="13"/>
        <v>1.5105740181268882E-3</v>
      </c>
      <c r="AK23">
        <f t="shared" si="14"/>
        <v>-1.9066452061109529</v>
      </c>
      <c r="AL23">
        <f t="shared" si="15"/>
        <v>2.0139858000241042</v>
      </c>
      <c r="AM23">
        <f t="shared" si="16"/>
        <v>4.9605188508073681</v>
      </c>
      <c r="AN23">
        <f t="shared" si="17"/>
        <v>7.2236428111359583</v>
      </c>
      <c r="AO23">
        <f t="shared" si="18"/>
        <v>8.9924380613319421</v>
      </c>
      <c r="AP23">
        <f t="shared" si="19"/>
        <v>10.395288142601661</v>
      </c>
      <c r="AQ23">
        <f t="shared" si="20"/>
        <v>11.522707464824846</v>
      </c>
      <c r="AR23">
        <f t="shared" si="21"/>
        <v>12.44074152436265</v>
      </c>
      <c r="AS23">
        <f t="shared" si="22"/>
        <v>13.199257749651469</v>
      </c>
      <c r="AT23">
        <f t="shared" si="23"/>
        <v>13.837193768795416</v>
      </c>
      <c r="AU23">
        <f t="shared" si="24"/>
        <v>0.99529604381270598</v>
      </c>
      <c r="AV23">
        <f t="shared" si="25"/>
        <v>10367.870668983312</v>
      </c>
      <c r="AW23">
        <f t="shared" si="26"/>
        <v>9821.7391957955169</v>
      </c>
      <c r="AX23">
        <f t="shared" si="27"/>
        <v>9282.4467163852933</v>
      </c>
      <c r="AY23">
        <f t="shared" si="28"/>
        <v>8754.2327510074974</v>
      </c>
      <c r="AZ23">
        <f t="shared" si="29"/>
        <v>8243.6130477027946</v>
      </c>
      <c r="BA23">
        <f t="shared" si="30"/>
        <v>7759.7571644004811</v>
      </c>
      <c r="BB23">
        <f t="shared" si="31"/>
        <v>7315.4577695737289</v>
      </c>
      <c r="BC23">
        <f t="shared" si="32"/>
        <v>6928.1455507945548</v>
      </c>
      <c r="BD23">
        <f t="shared" si="33"/>
        <v>6620.7864594653192</v>
      </c>
      <c r="BE23">
        <f t="shared" si="34"/>
        <v>86198.476741927254</v>
      </c>
      <c r="BF23">
        <f t="shared" si="35"/>
        <v>81657.939673843925</v>
      </c>
      <c r="BG23">
        <f t="shared" si="36"/>
        <v>77174.262000027331</v>
      </c>
      <c r="BH23">
        <f t="shared" si="37"/>
        <v>72782.691091876331</v>
      </c>
      <c r="BI23">
        <f t="shared" si="38"/>
        <v>68537.39887860103</v>
      </c>
      <c r="BJ23">
        <f t="shared" si="39"/>
        <v>64514.621064825602</v>
      </c>
      <c r="BK23">
        <f t="shared" si="40"/>
        <v>60820.715896235983</v>
      </c>
      <c r="BL23">
        <f t="shared" si="41"/>
        <v>57600.602109305932</v>
      </c>
      <c r="BM23">
        <f t="shared" si="42"/>
        <v>55045.218623994668</v>
      </c>
      <c r="BO23">
        <v>88441.29</v>
      </c>
      <c r="BP23">
        <v>83816.240000000005</v>
      </c>
      <c r="BQ23">
        <v>79119.839999999997</v>
      </c>
      <c r="BR23">
        <v>74298.3</v>
      </c>
      <c r="BS23">
        <v>69281.850000000006</v>
      </c>
      <c r="BT23">
        <v>63975.3</v>
      </c>
      <c r="BU23">
        <v>58240.37</v>
      </c>
      <c r="BV23">
        <v>51858.79</v>
      </c>
      <c r="BW23">
        <v>44442.44</v>
      </c>
      <c r="BY23">
        <f t="shared" si="43"/>
        <v>0.97615559903884352</v>
      </c>
    </row>
    <row r="24" spans="1:77" x14ac:dyDescent="0.3">
      <c r="A24" s="6" t="s">
        <v>72</v>
      </c>
      <c r="B24">
        <v>316.98</v>
      </c>
      <c r="C24">
        <v>683</v>
      </c>
      <c r="E24">
        <v>316.98</v>
      </c>
      <c r="F24">
        <v>357.64890000000003</v>
      </c>
      <c r="G24">
        <v>398.31779999999998</v>
      </c>
      <c r="H24">
        <v>438.98669999999998</v>
      </c>
      <c r="I24">
        <v>479.65559999999999</v>
      </c>
      <c r="J24">
        <v>520.32439999999997</v>
      </c>
      <c r="K24">
        <v>560.99329999999998</v>
      </c>
      <c r="L24">
        <v>601.66219999999998</v>
      </c>
      <c r="M24">
        <v>642.33109999999999</v>
      </c>
      <c r="N24">
        <v>683</v>
      </c>
      <c r="O24">
        <v>7.9033400000000004E-2</v>
      </c>
      <c r="P24">
        <v>4.5253560000000004</v>
      </c>
      <c r="Q24">
        <v>94.180840000000003</v>
      </c>
      <c r="R24">
        <v>962.79660000000001</v>
      </c>
      <c r="S24">
        <v>5887.8950000000004</v>
      </c>
      <c r="T24">
        <v>24645.74</v>
      </c>
      <c r="U24">
        <v>77707.990000000005</v>
      </c>
      <c r="V24">
        <v>198071</v>
      </c>
      <c r="W24">
        <v>430854</v>
      </c>
      <c r="X24">
        <v>835126</v>
      </c>
      <c r="AA24">
        <f t="shared" si="4"/>
        <v>3.1547731718089469E-3</v>
      </c>
      <c r="AB24">
        <f t="shared" si="5"/>
        <v>2.7960382375005204E-3</v>
      </c>
      <c r="AC24">
        <f t="shared" si="6"/>
        <v>2.5105581523095378E-3</v>
      </c>
      <c r="AD24">
        <f t="shared" si="7"/>
        <v>2.2779733417891703E-3</v>
      </c>
      <c r="AE24">
        <f t="shared" si="8"/>
        <v>2.0848291982831016E-3</v>
      </c>
      <c r="AF24">
        <f t="shared" si="9"/>
        <v>1.9218779668991116E-3</v>
      </c>
      <c r="AG24">
        <f t="shared" si="10"/>
        <v>1.7825524832471261E-3</v>
      </c>
      <c r="AH24">
        <f t="shared" si="11"/>
        <v>1.662062200350961E-3</v>
      </c>
      <c r="AI24">
        <f t="shared" si="12"/>
        <v>1.5568294918306151E-3</v>
      </c>
      <c r="AJ24">
        <f t="shared" si="13"/>
        <v>1.4641288433382138E-3</v>
      </c>
      <c r="AK24">
        <f t="shared" si="14"/>
        <v>-2.5378847310533041</v>
      </c>
      <c r="AL24">
        <f t="shared" si="15"/>
        <v>1.5096962480903993</v>
      </c>
      <c r="AM24">
        <f t="shared" si="16"/>
        <v>4.545216763866736</v>
      </c>
      <c r="AN24">
        <f t="shared" si="17"/>
        <v>6.8698421745358349</v>
      </c>
      <c r="AO24">
        <f t="shared" si="18"/>
        <v>8.6806538273692695</v>
      </c>
      <c r="AP24">
        <f t="shared" si="19"/>
        <v>10.112359345063213</v>
      </c>
      <c r="AQ24">
        <f t="shared" si="20"/>
        <v>11.260713362471783</v>
      </c>
      <c r="AR24">
        <f t="shared" si="21"/>
        <v>12.196380831258715</v>
      </c>
      <c r="AS24">
        <f t="shared" si="22"/>
        <v>12.973524564598359</v>
      </c>
      <c r="AT24">
        <f t="shared" si="23"/>
        <v>13.635337890652597</v>
      </c>
      <c r="AU24">
        <f t="shared" si="24"/>
        <v>0.99467773452411756</v>
      </c>
      <c r="AV24">
        <f t="shared" si="25"/>
        <v>11282.929517156386</v>
      </c>
      <c r="AW24">
        <f t="shared" si="26"/>
        <v>10633.037725716003</v>
      </c>
      <c r="AX24">
        <f t="shared" si="27"/>
        <v>9994.743016399736</v>
      </c>
      <c r="AY24">
        <f t="shared" si="28"/>
        <v>9375.4416777153674</v>
      </c>
      <c r="AZ24">
        <f t="shared" si="29"/>
        <v>8786.0981812415375</v>
      </c>
      <c r="BA24">
        <f t="shared" si="30"/>
        <v>8242.2395911216718</v>
      </c>
      <c r="BB24">
        <f t="shared" si="31"/>
        <v>7765.501468639276</v>
      </c>
      <c r="BC24">
        <f t="shared" si="32"/>
        <v>7385.0017192077603</v>
      </c>
      <c r="BD24">
        <f t="shared" si="33"/>
        <v>7139.2523873065165</v>
      </c>
      <c r="BE24">
        <f t="shared" si="34"/>
        <v>93806.276005638196</v>
      </c>
      <c r="BF24">
        <f t="shared" si="35"/>
        <v>88403.075651602849</v>
      </c>
      <c r="BG24">
        <f t="shared" si="36"/>
        <v>83096.293438347406</v>
      </c>
      <c r="BH24">
        <f t="shared" si="37"/>
        <v>77947.42210852557</v>
      </c>
      <c r="BI24">
        <f t="shared" si="38"/>
        <v>73047.620278842151</v>
      </c>
      <c r="BJ24">
        <f t="shared" si="39"/>
        <v>68525.979960585581</v>
      </c>
      <c r="BK24">
        <f t="shared" si="40"/>
        <v>64562.379210266939</v>
      </c>
      <c r="BL24">
        <f t="shared" si="41"/>
        <v>61398.904293493317</v>
      </c>
      <c r="BM24">
        <f t="shared" si="42"/>
        <v>59355.744348066379</v>
      </c>
      <c r="BO24">
        <v>96244.51</v>
      </c>
      <c r="BP24">
        <v>91035.94</v>
      </c>
      <c r="BQ24">
        <v>85761.37</v>
      </c>
      <c r="BR24">
        <v>80396.37</v>
      </c>
      <c r="BS24">
        <v>74897.789999999994</v>
      </c>
      <c r="BT24">
        <v>69193.119999999995</v>
      </c>
      <c r="BU24">
        <v>63160.09</v>
      </c>
      <c r="BV24">
        <v>56582.95</v>
      </c>
      <c r="BW24">
        <v>49042.92</v>
      </c>
      <c r="BY24">
        <f t="shared" si="43"/>
        <v>0.96962335243531261</v>
      </c>
    </row>
    <row r="25" spans="1:77" x14ac:dyDescent="0.3">
      <c r="A25" s="6" t="s">
        <v>75</v>
      </c>
      <c r="B25">
        <v>327.37</v>
      </c>
      <c r="C25">
        <v>700</v>
      </c>
      <c r="E25">
        <v>327.37</v>
      </c>
      <c r="F25">
        <v>368.77330000000001</v>
      </c>
      <c r="G25">
        <v>410.17669999999998</v>
      </c>
      <c r="H25">
        <v>451.58</v>
      </c>
      <c r="I25">
        <v>492.98329999999999</v>
      </c>
      <c r="J25">
        <v>534.38670000000002</v>
      </c>
      <c r="K25">
        <v>575.79</v>
      </c>
      <c r="L25">
        <v>617.19330000000002</v>
      </c>
      <c r="M25">
        <v>658.59670000000006</v>
      </c>
      <c r="N25">
        <v>700</v>
      </c>
      <c r="O25">
        <v>3.75039E-2</v>
      </c>
      <c r="P25">
        <v>2.6306379999999998</v>
      </c>
      <c r="Q25">
        <v>62.071689999999997</v>
      </c>
      <c r="R25">
        <v>682.38120000000004</v>
      </c>
      <c r="S25">
        <v>4331.16</v>
      </c>
      <c r="T25">
        <v>18399.12</v>
      </c>
      <c r="U25">
        <v>58175.4</v>
      </c>
      <c r="V25">
        <v>148267</v>
      </c>
      <c r="W25">
        <v>324238</v>
      </c>
      <c r="X25">
        <v>640540</v>
      </c>
      <c r="AA25">
        <f t="shared" si="4"/>
        <v>3.0546476463939884E-3</v>
      </c>
      <c r="AB25">
        <f t="shared" si="5"/>
        <v>2.7116930645467011E-3</v>
      </c>
      <c r="AC25">
        <f t="shared" si="6"/>
        <v>2.4379736830492812E-3</v>
      </c>
      <c r="AD25">
        <f t="shared" si="7"/>
        <v>2.2144470525709732E-3</v>
      </c>
      <c r="AE25">
        <f t="shared" si="8"/>
        <v>2.0284662786751602E-3</v>
      </c>
      <c r="AF25">
        <f t="shared" si="9"/>
        <v>1.8713040575298748E-3</v>
      </c>
      <c r="AG25">
        <f t="shared" si="10"/>
        <v>1.7367442991368383E-3</v>
      </c>
      <c r="AH25">
        <f t="shared" si="11"/>
        <v>1.6202379384222089E-3</v>
      </c>
      <c r="AI25">
        <f t="shared" si="12"/>
        <v>1.5183799129269853E-3</v>
      </c>
      <c r="AJ25">
        <f t="shared" si="13"/>
        <v>1.4285714285714286E-3</v>
      </c>
      <c r="AK25">
        <f t="shared" si="14"/>
        <v>-3.2833103514133972</v>
      </c>
      <c r="AL25">
        <f t="shared" si="15"/>
        <v>0.96722640232188672</v>
      </c>
      <c r="AM25">
        <f t="shared" si="16"/>
        <v>4.1282900073788937</v>
      </c>
      <c r="AN25">
        <f t="shared" si="17"/>
        <v>6.525588445973816</v>
      </c>
      <c r="AO25">
        <f t="shared" si="18"/>
        <v>8.3735906835015435</v>
      </c>
      <c r="AP25">
        <f t="shared" si="19"/>
        <v>9.8200581163664165</v>
      </c>
      <c r="AQ25">
        <f t="shared" si="20"/>
        <v>10.971217863952612</v>
      </c>
      <c r="AR25">
        <f t="shared" si="21"/>
        <v>11.906769981449312</v>
      </c>
      <c r="AS25">
        <f t="shared" si="22"/>
        <v>12.689233093012749</v>
      </c>
      <c r="AT25">
        <f t="shared" si="23"/>
        <v>13.370066849578922</v>
      </c>
      <c r="AU25">
        <f t="shared" si="24"/>
        <v>0.99299206481940416</v>
      </c>
      <c r="AV25">
        <f t="shared" si="25"/>
        <v>12393.876561847444</v>
      </c>
      <c r="AW25">
        <f t="shared" si="26"/>
        <v>11548.555998351188</v>
      </c>
      <c r="AX25">
        <f t="shared" si="27"/>
        <v>10724.889618141347</v>
      </c>
      <c r="AY25">
        <f t="shared" si="28"/>
        <v>9936.5230008290218</v>
      </c>
      <c r="AZ25">
        <f t="shared" si="29"/>
        <v>9203.6586294343306</v>
      </c>
      <c r="BA25">
        <f t="shared" si="30"/>
        <v>8555.0075396521224</v>
      </c>
      <c r="BB25">
        <f t="shared" si="31"/>
        <v>8030.0518508877049</v>
      </c>
      <c r="BC25">
        <f t="shared" si="32"/>
        <v>7681.8994650561881</v>
      </c>
      <c r="BD25">
        <f t="shared" si="33"/>
        <v>7580.9514151326111</v>
      </c>
      <c r="BE25">
        <f t="shared" si="34"/>
        <v>103042.68973519966</v>
      </c>
      <c r="BF25">
        <f t="shared" si="35"/>
        <v>96014.694570291787</v>
      </c>
      <c r="BG25">
        <f t="shared" si="36"/>
        <v>89166.732285227161</v>
      </c>
      <c r="BH25">
        <f t="shared" si="37"/>
        <v>82612.252228892481</v>
      </c>
      <c r="BI25">
        <f t="shared" si="38"/>
        <v>76519.217845117018</v>
      </c>
      <c r="BJ25">
        <f t="shared" si="39"/>
        <v>71126.332684667752</v>
      </c>
      <c r="BK25">
        <f t="shared" si="40"/>
        <v>66761.851088280382</v>
      </c>
      <c r="BL25">
        <f t="shared" si="41"/>
        <v>63867.312152477149</v>
      </c>
      <c r="BM25">
        <f t="shared" si="42"/>
        <v>63028.030065412531</v>
      </c>
      <c r="BO25">
        <v>106178</v>
      </c>
      <c r="BP25">
        <v>99484.81</v>
      </c>
      <c r="BQ25">
        <v>92611.26</v>
      </c>
      <c r="BR25">
        <v>85706.4</v>
      </c>
      <c r="BS25">
        <v>78886.039999999994</v>
      </c>
      <c r="BT25">
        <v>72223.45</v>
      </c>
      <c r="BU25">
        <v>65733.490000000005</v>
      </c>
      <c r="BV25">
        <v>59336.53</v>
      </c>
      <c r="BW25">
        <v>52757.57</v>
      </c>
      <c r="BY25">
        <f t="shared" si="43"/>
        <v>0.97139333676137829</v>
      </c>
    </row>
    <row r="26" spans="1:77" x14ac:dyDescent="0.3">
      <c r="A26" s="6" t="s">
        <v>78</v>
      </c>
      <c r="B26">
        <v>335.66</v>
      </c>
      <c r="C26">
        <v>715</v>
      </c>
      <c r="E26">
        <v>335.66</v>
      </c>
      <c r="F26">
        <v>377.80889999999999</v>
      </c>
      <c r="G26">
        <v>419.95780000000002</v>
      </c>
      <c r="H26">
        <v>462.10669999999999</v>
      </c>
      <c r="I26">
        <v>504.25560000000002</v>
      </c>
      <c r="J26">
        <v>546.40440000000001</v>
      </c>
      <c r="K26">
        <v>588.55330000000004</v>
      </c>
      <c r="L26">
        <v>630.70219999999995</v>
      </c>
      <c r="M26">
        <v>672.85109999999997</v>
      </c>
      <c r="N26">
        <v>715</v>
      </c>
      <c r="O26">
        <v>1.83175E-2</v>
      </c>
      <c r="P26">
        <v>1.4642230000000001</v>
      </c>
      <c r="Q26">
        <v>38.272790000000001</v>
      </c>
      <c r="R26">
        <v>456.05700000000002</v>
      </c>
      <c r="S26">
        <v>3084.5819999999999</v>
      </c>
      <c r="T26">
        <v>13774.62</v>
      </c>
      <c r="U26">
        <v>45275.97</v>
      </c>
      <c r="V26">
        <v>118829</v>
      </c>
      <c r="W26">
        <v>265406</v>
      </c>
      <c r="X26">
        <v>531480</v>
      </c>
      <c r="AA26">
        <f t="shared" si="4"/>
        <v>2.9792051480664957E-3</v>
      </c>
      <c r="AB26">
        <f t="shared" si="5"/>
        <v>2.6468407705588725E-3</v>
      </c>
      <c r="AC26">
        <f t="shared" si="6"/>
        <v>2.3811916340165606E-3</v>
      </c>
      <c r="AD26">
        <f t="shared" si="7"/>
        <v>2.1640023829994242E-3</v>
      </c>
      <c r="AE26">
        <f t="shared" si="8"/>
        <v>1.9831212583459657E-3</v>
      </c>
      <c r="AF26">
        <f t="shared" si="9"/>
        <v>1.8301463165377146E-3</v>
      </c>
      <c r="AG26">
        <f t="shared" si="10"/>
        <v>1.6990814595721406E-3</v>
      </c>
      <c r="AH26">
        <f t="shared" si="11"/>
        <v>1.585534345686443E-3</v>
      </c>
      <c r="AI26">
        <f t="shared" si="12"/>
        <v>1.4862129228888829E-3</v>
      </c>
      <c r="AJ26">
        <f t="shared" si="13"/>
        <v>1.3986013986013986E-3</v>
      </c>
      <c r="AK26">
        <f t="shared" si="14"/>
        <v>-3.999898391930155</v>
      </c>
      <c r="AL26">
        <f t="shared" si="15"/>
        <v>0.38132472634361192</v>
      </c>
      <c r="AM26">
        <f t="shared" si="16"/>
        <v>3.6447391998375371</v>
      </c>
      <c r="AN26">
        <f t="shared" si="17"/>
        <v>6.1226178017025372</v>
      </c>
      <c r="AO26">
        <f t="shared" si="18"/>
        <v>8.0341714328319114</v>
      </c>
      <c r="AP26">
        <f t="shared" si="19"/>
        <v>9.5305830474337121</v>
      </c>
      <c r="AQ26">
        <f t="shared" si="20"/>
        <v>10.720531707149387</v>
      </c>
      <c r="AR26">
        <f t="shared" si="21"/>
        <v>11.685440763865342</v>
      </c>
      <c r="AS26">
        <f t="shared" si="22"/>
        <v>12.489016008009781</v>
      </c>
      <c r="AT26">
        <f t="shared" si="23"/>
        <v>13.183420846705245</v>
      </c>
      <c r="AU26">
        <f t="shared" si="24"/>
        <v>0.99279732291986345</v>
      </c>
      <c r="AV26">
        <f t="shared" si="25"/>
        <v>13181.987645993375</v>
      </c>
      <c r="AW26">
        <f t="shared" si="26"/>
        <v>12284.679393166922</v>
      </c>
      <c r="AX26">
        <f t="shared" si="27"/>
        <v>11408.845466617931</v>
      </c>
      <c r="AY26">
        <f t="shared" si="28"/>
        <v>10568.010536155325</v>
      </c>
      <c r="AZ26">
        <f t="shared" si="29"/>
        <v>9782.0701672663599</v>
      </c>
      <c r="BA26">
        <f t="shared" si="30"/>
        <v>9079.0825799186714</v>
      </c>
      <c r="BB26">
        <f t="shared" si="31"/>
        <v>8497.873910624292</v>
      </c>
      <c r="BC26">
        <f t="shared" si="32"/>
        <v>8090.653773479562</v>
      </c>
      <c r="BD26">
        <f t="shared" si="33"/>
        <v>7925.9531704627852</v>
      </c>
      <c r="BE26">
        <f t="shared" si="34"/>
        <v>109595.04528878893</v>
      </c>
      <c r="BF26">
        <f t="shared" si="35"/>
        <v>102134.82447478978</v>
      </c>
      <c r="BG26">
        <f t="shared" si="36"/>
        <v>94853.141209461479</v>
      </c>
      <c r="BH26">
        <f t="shared" si="37"/>
        <v>87862.439597595367</v>
      </c>
      <c r="BI26">
        <f t="shared" si="38"/>
        <v>81328.131370652511</v>
      </c>
      <c r="BJ26">
        <f t="shared" si="39"/>
        <v>75483.492569443828</v>
      </c>
      <c r="BK26">
        <f t="shared" si="40"/>
        <v>70651.323692930368</v>
      </c>
      <c r="BL26">
        <f t="shared" si="41"/>
        <v>67265.695472709078</v>
      </c>
      <c r="BM26">
        <f t="shared" si="42"/>
        <v>65896.3746592276</v>
      </c>
      <c r="BO26">
        <v>112933</v>
      </c>
      <c r="BP26">
        <v>105811</v>
      </c>
      <c r="BQ26">
        <v>98517.59</v>
      </c>
      <c r="BR26">
        <v>91201.57</v>
      </c>
      <c r="BS26">
        <v>83975.77</v>
      </c>
      <c r="BT26">
        <v>76910.86</v>
      </c>
      <c r="BU26">
        <v>70019.350000000006</v>
      </c>
      <c r="BV26">
        <v>63221</v>
      </c>
      <c r="BW26">
        <v>56249.65</v>
      </c>
      <c r="BY26">
        <f t="shared" si="43"/>
        <v>0.97673268598208363</v>
      </c>
    </row>
    <row r="27" spans="1:77" x14ac:dyDescent="0.3">
      <c r="A27" s="6" t="s">
        <v>81</v>
      </c>
      <c r="B27">
        <v>342.75</v>
      </c>
      <c r="C27">
        <v>723</v>
      </c>
      <c r="E27">
        <v>342.75</v>
      </c>
      <c r="F27">
        <v>385</v>
      </c>
      <c r="G27">
        <v>427.25</v>
      </c>
      <c r="H27">
        <v>469.5</v>
      </c>
      <c r="I27">
        <v>511.75</v>
      </c>
      <c r="J27">
        <v>554</v>
      </c>
      <c r="K27">
        <v>596.25</v>
      </c>
      <c r="L27">
        <v>638.5</v>
      </c>
      <c r="M27">
        <v>680.75</v>
      </c>
      <c r="N27">
        <v>723</v>
      </c>
      <c r="O27">
        <v>7.2505699999999996E-3</v>
      </c>
      <c r="P27">
        <v>0.71008159999999998</v>
      </c>
      <c r="Q27">
        <v>21.386959999999998</v>
      </c>
      <c r="R27">
        <v>280.75549999999998</v>
      </c>
      <c r="S27">
        <v>2024.9159999999999</v>
      </c>
      <c r="T27">
        <v>9422.84</v>
      </c>
      <c r="U27">
        <v>31781.55</v>
      </c>
      <c r="V27">
        <v>84829.34</v>
      </c>
      <c r="W27">
        <v>192061</v>
      </c>
      <c r="X27">
        <v>390686</v>
      </c>
      <c r="AA27">
        <f t="shared" si="4"/>
        <v>2.9175784099197666E-3</v>
      </c>
      <c r="AB27">
        <f t="shared" si="5"/>
        <v>2.5974025974025974E-3</v>
      </c>
      <c r="AC27">
        <f t="shared" si="6"/>
        <v>2.3405500292568754E-3</v>
      </c>
      <c r="AD27">
        <f t="shared" si="7"/>
        <v>2.1299254526091589E-3</v>
      </c>
      <c r="AE27">
        <f t="shared" si="8"/>
        <v>1.9540791402051783E-3</v>
      </c>
      <c r="AF27">
        <f t="shared" si="9"/>
        <v>1.8050541516245488E-3</v>
      </c>
      <c r="AG27">
        <f t="shared" si="10"/>
        <v>1.6771488469601676E-3</v>
      </c>
      <c r="AH27">
        <f t="shared" si="11"/>
        <v>1.5661707126076742E-3</v>
      </c>
      <c r="AI27">
        <f t="shared" si="12"/>
        <v>1.4689680499449136E-3</v>
      </c>
      <c r="AJ27">
        <f t="shared" si="13"/>
        <v>1.3831258644536654E-3</v>
      </c>
      <c r="AK27">
        <f t="shared" si="14"/>
        <v>-4.9266751925163428</v>
      </c>
      <c r="AL27">
        <f t="shared" si="15"/>
        <v>-0.3423753859732091</v>
      </c>
      <c r="AM27">
        <f t="shared" si="16"/>
        <v>3.0627813905068129</v>
      </c>
      <c r="AN27">
        <f t="shared" si="17"/>
        <v>5.6374841838095664</v>
      </c>
      <c r="AO27">
        <f t="shared" si="18"/>
        <v>7.6132834971987773</v>
      </c>
      <c r="AP27">
        <f t="shared" si="19"/>
        <v>9.1508918083321529</v>
      </c>
      <c r="AQ27">
        <f t="shared" si="20"/>
        <v>10.366641211714441</v>
      </c>
      <c r="AR27">
        <f t="shared" si="21"/>
        <v>11.348396752505099</v>
      </c>
      <c r="AS27">
        <f t="shared" si="22"/>
        <v>12.165568308884646</v>
      </c>
      <c r="AT27">
        <f t="shared" si="23"/>
        <v>12.8756594472811</v>
      </c>
      <c r="AU27">
        <f t="shared" si="24"/>
        <v>0.99140545962924553</v>
      </c>
      <c r="AV27">
        <f t="shared" si="25"/>
        <v>14318.070345483402</v>
      </c>
      <c r="AW27">
        <f t="shared" si="26"/>
        <v>13257.242475956675</v>
      </c>
      <c r="AX27">
        <f t="shared" si="27"/>
        <v>12224.132787737841</v>
      </c>
      <c r="AY27">
        <f t="shared" si="28"/>
        <v>11235.943969357215</v>
      </c>
      <c r="AZ27">
        <f t="shared" si="29"/>
        <v>10317.788484858416</v>
      </c>
      <c r="BA27">
        <f t="shared" si="30"/>
        <v>9505.0741372484135</v>
      </c>
      <c r="BB27">
        <f t="shared" si="31"/>
        <v>8846.3871421046333</v>
      </c>
      <c r="BC27">
        <f t="shared" si="32"/>
        <v>8406.8844823179334</v>
      </c>
      <c r="BD27">
        <f t="shared" si="33"/>
        <v>8272.0533538704985</v>
      </c>
      <c r="BE27">
        <f t="shared" si="34"/>
        <v>119040.43685234901</v>
      </c>
      <c r="BF27">
        <f t="shared" si="35"/>
        <v>110220.71394510379</v>
      </c>
      <c r="BG27">
        <f t="shared" si="36"/>
        <v>101631.43999725241</v>
      </c>
      <c r="BH27">
        <f t="shared" si="37"/>
        <v>93415.638161235882</v>
      </c>
      <c r="BI27">
        <f t="shared" si="38"/>
        <v>85782.093463112877</v>
      </c>
      <c r="BJ27">
        <f t="shared" si="39"/>
        <v>79025.186377083315</v>
      </c>
      <c r="BK27">
        <f t="shared" si="40"/>
        <v>73548.862699457924</v>
      </c>
      <c r="BL27">
        <f t="shared" si="41"/>
        <v>69894.837585991292</v>
      </c>
      <c r="BM27">
        <f t="shared" si="42"/>
        <v>68773.851584079326</v>
      </c>
      <c r="BO27">
        <v>122955</v>
      </c>
      <c r="BP27">
        <v>114619</v>
      </c>
      <c r="BQ27">
        <v>105993</v>
      </c>
      <c r="BR27">
        <v>97368.71</v>
      </c>
      <c r="BS27">
        <v>88986.73</v>
      </c>
      <c r="BT27">
        <v>81025.73</v>
      </c>
      <c r="BU27">
        <v>73597.25</v>
      </c>
      <c r="BV27">
        <v>66728.59</v>
      </c>
      <c r="BW27">
        <v>60309.03</v>
      </c>
      <c r="BY27">
        <f t="shared" si="43"/>
        <v>0.98267151527941865</v>
      </c>
    </row>
    <row r="28" spans="1:77" x14ac:dyDescent="0.3">
      <c r="A28" s="6" t="s">
        <v>84</v>
      </c>
      <c r="B28">
        <v>348.23</v>
      </c>
      <c r="C28">
        <v>760</v>
      </c>
      <c r="E28">
        <v>348.23</v>
      </c>
      <c r="F28">
        <v>393.98219999999998</v>
      </c>
      <c r="G28">
        <v>439.73439999999999</v>
      </c>
      <c r="H28">
        <v>485.48669999999998</v>
      </c>
      <c r="I28">
        <v>531.23889999999994</v>
      </c>
      <c r="J28">
        <v>576.99109999999996</v>
      </c>
      <c r="K28">
        <v>622.74329999999998</v>
      </c>
      <c r="L28">
        <v>668.49559999999997</v>
      </c>
      <c r="M28">
        <v>714.24779999999998</v>
      </c>
      <c r="N28">
        <v>760</v>
      </c>
      <c r="O28">
        <v>2.8231799999999998E-3</v>
      </c>
      <c r="P28">
        <v>0.45018469999999999</v>
      </c>
      <c r="Q28">
        <v>18.078869999999998</v>
      </c>
      <c r="R28">
        <v>280.4665</v>
      </c>
      <c r="S28">
        <v>2219.462</v>
      </c>
      <c r="T28">
        <v>10831.96</v>
      </c>
      <c r="U28">
        <v>37349.550000000003</v>
      </c>
      <c r="V28">
        <v>100776</v>
      </c>
      <c r="W28">
        <v>230705</v>
      </c>
      <c r="X28">
        <v>479489</v>
      </c>
      <c r="AA28">
        <f t="shared" si="4"/>
        <v>2.871665278695115E-3</v>
      </c>
      <c r="AB28">
        <f t="shared" si="5"/>
        <v>2.5381857352946404E-3</v>
      </c>
      <c r="AC28">
        <f t="shared" si="6"/>
        <v>2.2741000021831359E-3</v>
      </c>
      <c r="AD28">
        <f t="shared" si="7"/>
        <v>2.0597886615637464E-3</v>
      </c>
      <c r="AE28">
        <f t="shared" si="8"/>
        <v>1.8823922721020619E-3</v>
      </c>
      <c r="AF28">
        <f t="shared" si="9"/>
        <v>1.7331289858717059E-3</v>
      </c>
      <c r="AG28">
        <f t="shared" si="10"/>
        <v>1.6057980872696664E-3</v>
      </c>
      <c r="AH28">
        <f t="shared" si="11"/>
        <v>1.4958961584788293E-3</v>
      </c>
      <c r="AI28">
        <f t="shared" si="12"/>
        <v>1.4000743159446904E-3</v>
      </c>
      <c r="AJ28">
        <f t="shared" si="13"/>
        <v>1.3157894736842105E-3</v>
      </c>
      <c r="AK28">
        <f t="shared" si="14"/>
        <v>-5.8698913697881254</v>
      </c>
      <c r="AL28">
        <f t="shared" si="15"/>
        <v>-0.79809733598260679</v>
      </c>
      <c r="AM28">
        <f t="shared" si="16"/>
        <v>2.8947438530108238</v>
      </c>
      <c r="AN28">
        <f t="shared" si="17"/>
        <v>5.6364542882404516</v>
      </c>
      <c r="AO28">
        <f t="shared" si="18"/>
        <v>7.7050201031543324</v>
      </c>
      <c r="AP28">
        <f t="shared" si="19"/>
        <v>9.2902563023830513</v>
      </c>
      <c r="AQ28">
        <f t="shared" si="20"/>
        <v>10.528076142295612</v>
      </c>
      <c r="AR28">
        <f t="shared" si="21"/>
        <v>11.520655511032139</v>
      </c>
      <c r="AS28">
        <f t="shared" si="22"/>
        <v>12.348895117095603</v>
      </c>
      <c r="AT28">
        <f t="shared" si="23"/>
        <v>13.080476232479405</v>
      </c>
      <c r="AU28">
        <f t="shared" si="24"/>
        <v>0.99017064016955991</v>
      </c>
      <c r="AV28">
        <f t="shared" si="25"/>
        <v>15208.711101402752</v>
      </c>
      <c r="AW28">
        <f t="shared" si="26"/>
        <v>13983.493714271224</v>
      </c>
      <c r="AX28">
        <f t="shared" si="27"/>
        <v>12793.118774329461</v>
      </c>
      <c r="AY28">
        <f t="shared" si="28"/>
        <v>11660.698513600053</v>
      </c>
      <c r="AZ28">
        <f t="shared" si="29"/>
        <v>10620.402640621522</v>
      </c>
      <c r="BA28">
        <f t="shared" si="30"/>
        <v>9721.2840991662833</v>
      </c>
      <c r="BB28">
        <f t="shared" si="31"/>
        <v>9031.5008995481894</v>
      </c>
      <c r="BC28">
        <f t="shared" si="32"/>
        <v>8643.5366317276093</v>
      </c>
      <c r="BD28">
        <f t="shared" si="33"/>
        <v>8679.8657476616227</v>
      </c>
      <c r="BE28">
        <f t="shared" si="34"/>
        <v>126445.22409706248</v>
      </c>
      <c r="BF28">
        <f t="shared" si="35"/>
        <v>116258.76674045096</v>
      </c>
      <c r="BG28">
        <f t="shared" si="36"/>
        <v>106361.98948977514</v>
      </c>
      <c r="BH28">
        <f t="shared" si="37"/>
        <v>96947.047442070849</v>
      </c>
      <c r="BI28">
        <f t="shared" si="38"/>
        <v>88298.027554127329</v>
      </c>
      <c r="BJ28">
        <f t="shared" si="39"/>
        <v>80822.756000468478</v>
      </c>
      <c r="BK28">
        <f t="shared" si="40"/>
        <v>75087.89847884365</v>
      </c>
      <c r="BL28">
        <f t="shared" si="41"/>
        <v>71862.363556183351</v>
      </c>
      <c r="BM28">
        <f t="shared" si="42"/>
        <v>72164.403826058726</v>
      </c>
      <c r="BO28">
        <v>130963</v>
      </c>
      <c r="BP28">
        <v>121331</v>
      </c>
      <c r="BQ28">
        <v>111346</v>
      </c>
      <c r="BR28">
        <v>101409</v>
      </c>
      <c r="BS28">
        <v>91839.08</v>
      </c>
      <c r="BT28">
        <v>82868.800000000003</v>
      </c>
      <c r="BU28">
        <v>74631.09</v>
      </c>
      <c r="BV28">
        <v>67133.679999999993</v>
      </c>
      <c r="BW28">
        <v>60151.42</v>
      </c>
      <c r="BY28">
        <f t="shared" si="43"/>
        <v>0.97350913916208226</v>
      </c>
    </row>
    <row r="29" spans="1:77" x14ac:dyDescent="0.3">
      <c r="A29" s="6" t="s">
        <v>87</v>
      </c>
      <c r="B29">
        <v>305.04000000000002</v>
      </c>
      <c r="C29">
        <v>700</v>
      </c>
      <c r="E29">
        <v>305.04000000000002</v>
      </c>
      <c r="F29">
        <v>348.92439999999999</v>
      </c>
      <c r="G29">
        <v>392.80889999999999</v>
      </c>
      <c r="H29">
        <v>436.69330000000002</v>
      </c>
      <c r="I29">
        <v>480.57780000000002</v>
      </c>
      <c r="J29">
        <v>524.46220000000005</v>
      </c>
      <c r="K29">
        <v>568.34670000000006</v>
      </c>
      <c r="L29">
        <v>612.23109999999997</v>
      </c>
      <c r="M29">
        <v>656.11559999999997</v>
      </c>
      <c r="N29">
        <v>700</v>
      </c>
      <c r="O29">
        <v>1.49427E-2</v>
      </c>
      <c r="P29">
        <v>1.5835669999999999</v>
      </c>
      <c r="Q29">
        <v>45.057490000000001</v>
      </c>
      <c r="R29">
        <v>533.95190000000002</v>
      </c>
      <c r="S29">
        <v>3465.8829999999998</v>
      </c>
      <c r="T29">
        <v>14743.93</v>
      </c>
      <c r="U29">
        <v>46451.24</v>
      </c>
      <c r="V29">
        <v>118139</v>
      </c>
      <c r="W29">
        <v>258210</v>
      </c>
      <c r="X29">
        <v>508128</v>
      </c>
      <c r="AA29">
        <f t="shared" si="4"/>
        <v>3.2782585890375028E-3</v>
      </c>
      <c r="AB29">
        <f t="shared" si="5"/>
        <v>2.8659503319343675E-3</v>
      </c>
      <c r="AC29">
        <f t="shared" si="6"/>
        <v>2.5457671656624889E-3</v>
      </c>
      <c r="AD29">
        <f t="shared" si="7"/>
        <v>2.2899366672215946E-3</v>
      </c>
      <c r="AE29">
        <f t="shared" si="8"/>
        <v>2.0808285359831436E-3</v>
      </c>
      <c r="AF29">
        <f t="shared" si="9"/>
        <v>1.9067151073995417E-3</v>
      </c>
      <c r="AG29">
        <f t="shared" si="10"/>
        <v>1.7594894102490608E-3</v>
      </c>
      <c r="AH29">
        <f t="shared" si="11"/>
        <v>1.6333701440518131E-3</v>
      </c>
      <c r="AI29">
        <f t="shared" si="12"/>
        <v>1.5241216639262959E-3</v>
      </c>
      <c r="AJ29">
        <f t="shared" si="13"/>
        <v>1.4285714285714286E-3</v>
      </c>
      <c r="AK29">
        <f t="shared" si="14"/>
        <v>-4.2035323927143144</v>
      </c>
      <c r="AL29">
        <f t="shared" si="15"/>
        <v>0.45967989743710697</v>
      </c>
      <c r="AM29">
        <f t="shared" si="16"/>
        <v>3.8079392299461645</v>
      </c>
      <c r="AN29">
        <f t="shared" si="17"/>
        <v>6.2803057599968399</v>
      </c>
      <c r="AO29">
        <f t="shared" si="18"/>
        <v>8.1507227132141544</v>
      </c>
      <c r="AP29">
        <f t="shared" si="19"/>
        <v>9.5985867516444117</v>
      </c>
      <c r="AQ29">
        <f t="shared" si="20"/>
        <v>10.746158439257037</v>
      </c>
      <c r="AR29">
        <f t="shared" si="21"/>
        <v>11.679617176291798</v>
      </c>
      <c r="AS29">
        <f t="shared" si="22"/>
        <v>12.46152848631163</v>
      </c>
      <c r="AT29">
        <f t="shared" si="23"/>
        <v>13.138488663325823</v>
      </c>
      <c r="AU29">
        <f t="shared" si="24"/>
        <v>0.99333829491423176</v>
      </c>
      <c r="AV29">
        <f t="shared" si="25"/>
        <v>11310.014315296525</v>
      </c>
      <c r="AW29">
        <f t="shared" si="26"/>
        <v>10457.324697907245</v>
      </c>
      <c r="AX29">
        <f t="shared" si="27"/>
        <v>9664.080495163782</v>
      </c>
      <c r="AY29">
        <f t="shared" si="28"/>
        <v>8944.7356357674726</v>
      </c>
      <c r="AZ29">
        <f t="shared" si="29"/>
        <v>8315.6368248475137</v>
      </c>
      <c r="BA29">
        <f t="shared" si="30"/>
        <v>7794.6425781885091</v>
      </c>
      <c r="BB29">
        <f t="shared" si="31"/>
        <v>7401.3968300041633</v>
      </c>
      <c r="BC29">
        <f t="shared" si="32"/>
        <v>7157.1824992117372</v>
      </c>
      <c r="BD29">
        <f t="shared" si="33"/>
        <v>7084.8614291739523</v>
      </c>
      <c r="BE29">
        <f t="shared" si="34"/>
        <v>94031.459017375309</v>
      </c>
      <c r="BF29">
        <f t="shared" si="35"/>
        <v>86942.197538400826</v>
      </c>
      <c r="BG29">
        <f t="shared" si="36"/>
        <v>80347.165236791683</v>
      </c>
      <c r="BH29">
        <f t="shared" si="37"/>
        <v>74366.532075770767</v>
      </c>
      <c r="BI29">
        <f t="shared" si="38"/>
        <v>69136.20456178223</v>
      </c>
      <c r="BJ29">
        <f t="shared" si="39"/>
        <v>64804.658395059269</v>
      </c>
      <c r="BK29">
        <f t="shared" si="40"/>
        <v>61535.213244654617</v>
      </c>
      <c r="BL29">
        <f t="shared" si="41"/>
        <v>59504.815298446381</v>
      </c>
      <c r="BM29">
        <f t="shared" si="42"/>
        <v>58903.537922152238</v>
      </c>
      <c r="BO29">
        <v>97420.36</v>
      </c>
      <c r="BP29">
        <v>90263.88</v>
      </c>
      <c r="BQ29">
        <v>83510.820000000007</v>
      </c>
      <c r="BR29">
        <v>77147.28</v>
      </c>
      <c r="BS29">
        <v>71138.720000000001</v>
      </c>
      <c r="BT29">
        <v>65420.53</v>
      </c>
      <c r="BU29">
        <v>59876.82</v>
      </c>
      <c r="BV29">
        <v>54289.31</v>
      </c>
      <c r="BW29">
        <v>48195.56</v>
      </c>
      <c r="BY29">
        <f t="shared" si="43"/>
        <v>0.96306837949070023</v>
      </c>
    </row>
    <row r="30" spans="1:77" x14ac:dyDescent="0.3">
      <c r="A30" s="6" t="s">
        <v>90</v>
      </c>
      <c r="B30">
        <v>309.58</v>
      </c>
      <c r="C30">
        <v>720</v>
      </c>
      <c r="E30">
        <v>309.58</v>
      </c>
      <c r="F30">
        <v>355.18220000000002</v>
      </c>
      <c r="G30">
        <v>400.78440000000001</v>
      </c>
      <c r="H30">
        <v>446.38670000000002</v>
      </c>
      <c r="I30">
        <v>491.9889</v>
      </c>
      <c r="J30">
        <v>537.59109999999998</v>
      </c>
      <c r="K30">
        <v>583.19330000000002</v>
      </c>
      <c r="L30">
        <v>628.79560000000004</v>
      </c>
      <c r="M30">
        <v>674.39779999999996</v>
      </c>
      <c r="N30">
        <v>720</v>
      </c>
      <c r="O30">
        <v>7.11204E-3</v>
      </c>
      <c r="P30">
        <v>1.049326</v>
      </c>
      <c r="Q30">
        <v>36.422190000000001</v>
      </c>
      <c r="R30">
        <v>486.72629999999998</v>
      </c>
      <c r="S30">
        <v>3395.1469999999999</v>
      </c>
      <c r="T30">
        <v>15065.42</v>
      </c>
      <c r="U30">
        <v>48619.83</v>
      </c>
      <c r="V30">
        <v>125353</v>
      </c>
      <c r="W30">
        <v>276325</v>
      </c>
      <c r="X30">
        <v>547703</v>
      </c>
      <c r="AA30">
        <f t="shared" si="4"/>
        <v>3.2301828283480848E-3</v>
      </c>
      <c r="AB30">
        <f t="shared" si="5"/>
        <v>2.8154564051914763E-3</v>
      </c>
      <c r="AC30">
        <f t="shared" si="6"/>
        <v>2.495107094986731E-3</v>
      </c>
      <c r="AD30">
        <f t="shared" si="7"/>
        <v>2.2402101137869923E-3</v>
      </c>
      <c r="AE30">
        <f t="shared" si="8"/>
        <v>2.0325661818793067E-3</v>
      </c>
      <c r="AF30">
        <f t="shared" si="9"/>
        <v>1.8601498425104136E-3</v>
      </c>
      <c r="AG30">
        <f t="shared" si="10"/>
        <v>1.7146973396299306E-3</v>
      </c>
      <c r="AH30">
        <f t="shared" si="11"/>
        <v>1.5903419171508196E-3</v>
      </c>
      <c r="AI30">
        <f t="shared" si="12"/>
        <v>1.4828043626476837E-3</v>
      </c>
      <c r="AJ30">
        <f t="shared" si="13"/>
        <v>1.3888888888888889E-3</v>
      </c>
      <c r="AK30">
        <f t="shared" si="14"/>
        <v>-4.9459661564893871</v>
      </c>
      <c r="AL30">
        <f t="shared" si="15"/>
        <v>4.8148053298459233E-2</v>
      </c>
      <c r="AM30">
        <f t="shared" si="16"/>
        <v>3.5951782042873348</v>
      </c>
      <c r="AN30">
        <f t="shared" si="17"/>
        <v>6.1877019527741401</v>
      </c>
      <c r="AO30">
        <f t="shared" si="18"/>
        <v>8.1301023380244946</v>
      </c>
      <c r="AP30">
        <f t="shared" si="19"/>
        <v>9.6201573303659593</v>
      </c>
      <c r="AQ30">
        <f t="shared" si="20"/>
        <v>10.791786751360505</v>
      </c>
      <c r="AR30">
        <f t="shared" si="21"/>
        <v>11.738889036287684</v>
      </c>
      <c r="AS30">
        <f t="shared" si="22"/>
        <v>12.529332988179156</v>
      </c>
      <c r="AT30">
        <f t="shared" si="23"/>
        <v>13.21348844820797</v>
      </c>
      <c r="AU30">
        <f t="shared" si="24"/>
        <v>0.99227916449961939</v>
      </c>
      <c r="AV30">
        <f t="shared" si="25"/>
        <v>12041.948453093801</v>
      </c>
      <c r="AW30">
        <f t="shared" si="26"/>
        <v>11072.382671034495</v>
      </c>
      <c r="AX30">
        <f t="shared" si="27"/>
        <v>10170.868781122554</v>
      </c>
      <c r="AY30">
        <f t="shared" si="28"/>
        <v>9354.4770001461347</v>
      </c>
      <c r="AZ30">
        <f t="shared" si="29"/>
        <v>8642.1913247642951</v>
      </c>
      <c r="BA30">
        <f t="shared" si="30"/>
        <v>8055.0653841774192</v>
      </c>
      <c r="BB30">
        <f t="shared" si="31"/>
        <v>7616.0915708060284</v>
      </c>
      <c r="BC30">
        <f t="shared" si="32"/>
        <v>7350.3991749079805</v>
      </c>
      <c r="BD30">
        <f t="shared" si="33"/>
        <v>7284.8001787857211</v>
      </c>
      <c r="BE30">
        <f t="shared" si="34"/>
        <v>100116.75943902186</v>
      </c>
      <c r="BF30">
        <f t="shared" si="35"/>
        <v>92055.789526980792</v>
      </c>
      <c r="BG30">
        <f t="shared" si="36"/>
        <v>84560.603046252916</v>
      </c>
      <c r="BH30">
        <f t="shared" si="37"/>
        <v>77773.121779214969</v>
      </c>
      <c r="BI30">
        <f t="shared" si="38"/>
        <v>71851.178674090348</v>
      </c>
      <c r="BJ30">
        <f t="shared" si="39"/>
        <v>66969.813604051058</v>
      </c>
      <c r="BK30">
        <f t="shared" si="40"/>
        <v>63320.185319681317</v>
      </c>
      <c r="BL30">
        <f t="shared" si="41"/>
        <v>61111.218740184951</v>
      </c>
      <c r="BM30">
        <f t="shared" si="42"/>
        <v>60565.828686424487</v>
      </c>
      <c r="BO30">
        <v>103940</v>
      </c>
      <c r="BP30">
        <v>95844.56</v>
      </c>
      <c r="BQ30">
        <v>88176.13</v>
      </c>
      <c r="BR30">
        <v>80945.27</v>
      </c>
      <c r="BS30">
        <v>74133.13</v>
      </c>
      <c r="BT30">
        <v>67681.16</v>
      </c>
      <c r="BU30">
        <v>61465.63</v>
      </c>
      <c r="BV30">
        <v>55232.17</v>
      </c>
      <c r="BW30">
        <v>48400.83</v>
      </c>
      <c r="BY30">
        <f t="shared" si="43"/>
        <v>0.96194619413649896</v>
      </c>
    </row>
    <row r="31" spans="1:77" x14ac:dyDescent="0.3">
      <c r="A31" s="6" t="s">
        <v>93</v>
      </c>
      <c r="B31">
        <v>295.13400000000001</v>
      </c>
      <c r="C31">
        <v>665</v>
      </c>
      <c r="E31">
        <v>295.13400000000001</v>
      </c>
      <c r="F31">
        <v>336.23020000000002</v>
      </c>
      <c r="G31">
        <v>377.32639999999998</v>
      </c>
      <c r="H31">
        <v>418.42270000000002</v>
      </c>
      <c r="I31">
        <v>459.51889999999997</v>
      </c>
      <c r="J31">
        <v>500.61509999999998</v>
      </c>
      <c r="K31">
        <v>541.71130000000005</v>
      </c>
      <c r="L31">
        <v>582.80759999999998</v>
      </c>
      <c r="M31">
        <v>623.90380000000005</v>
      </c>
      <c r="N31">
        <v>665</v>
      </c>
      <c r="O31">
        <v>3.9615400000000002E-2</v>
      </c>
      <c r="P31">
        <v>2.8612310000000001</v>
      </c>
      <c r="Q31">
        <v>64.268690000000007</v>
      </c>
      <c r="R31">
        <v>656.60180000000003</v>
      </c>
      <c r="S31">
        <v>3879.6619999999998</v>
      </c>
      <c r="T31">
        <v>15542.08</v>
      </c>
      <c r="U31">
        <v>47086.33</v>
      </c>
      <c r="V31">
        <v>116582</v>
      </c>
      <c r="W31">
        <v>249638</v>
      </c>
      <c r="X31">
        <v>482317</v>
      </c>
      <c r="AA31">
        <f t="shared" si="4"/>
        <v>3.3882914201684659E-3</v>
      </c>
      <c r="AB31">
        <f t="shared" si="5"/>
        <v>2.9741528274378681E-3</v>
      </c>
      <c r="AC31">
        <f t="shared" si="6"/>
        <v>2.6502253751659044E-3</v>
      </c>
      <c r="AD31">
        <f t="shared" si="7"/>
        <v>2.3899276975173668E-3</v>
      </c>
      <c r="AE31">
        <f t="shared" si="8"/>
        <v>2.1761890533773475E-3</v>
      </c>
      <c r="AF31">
        <f t="shared" si="9"/>
        <v>1.9975426230651053E-3</v>
      </c>
      <c r="AG31">
        <f t="shared" si="10"/>
        <v>1.8460017356108317E-3</v>
      </c>
      <c r="AH31">
        <f t="shared" si="11"/>
        <v>1.7158321202400244E-3</v>
      </c>
      <c r="AI31">
        <f t="shared" si="12"/>
        <v>1.602811202624507E-3</v>
      </c>
      <c r="AJ31">
        <f t="shared" si="13"/>
        <v>1.5037593984962407E-3</v>
      </c>
      <c r="AK31">
        <f t="shared" si="14"/>
        <v>-3.2285373474304984</v>
      </c>
      <c r="AL31">
        <f t="shared" si="15"/>
        <v>1.0512519518082446</v>
      </c>
      <c r="AM31">
        <f t="shared" si="16"/>
        <v>4.1630725764152334</v>
      </c>
      <c r="AN31">
        <f t="shared" si="17"/>
        <v>6.4870777464587999</v>
      </c>
      <c r="AO31">
        <f t="shared" si="18"/>
        <v>8.2635033154206639</v>
      </c>
      <c r="AP31">
        <f t="shared" si="19"/>
        <v>9.6513064630986243</v>
      </c>
      <c r="AQ31">
        <f t="shared" si="20"/>
        <v>10.759738004332956</v>
      </c>
      <c r="AR31">
        <f t="shared" si="21"/>
        <v>11.66635016705369</v>
      </c>
      <c r="AS31">
        <f t="shared" si="22"/>
        <v>12.427767147479274</v>
      </c>
      <c r="AT31">
        <f t="shared" si="23"/>
        <v>13.086356853206972</v>
      </c>
      <c r="AU31">
        <f t="shared" si="24"/>
        <v>0.99418767073325121</v>
      </c>
      <c r="AV31">
        <f t="shared" si="25"/>
        <v>10334.195784604886</v>
      </c>
      <c r="AW31">
        <f t="shared" si="26"/>
        <v>9606.5356695806076</v>
      </c>
      <c r="AX31">
        <f t="shared" si="27"/>
        <v>8928.2593338443621</v>
      </c>
      <c r="AY31">
        <f t="shared" si="28"/>
        <v>8311.2044436762444</v>
      </c>
      <c r="AZ31">
        <f t="shared" si="29"/>
        <v>7768.4348086459222</v>
      </c>
      <c r="BA31">
        <f t="shared" si="30"/>
        <v>7314.4057676763496</v>
      </c>
      <c r="BB31">
        <f t="shared" si="31"/>
        <v>6964.8524360935953</v>
      </c>
      <c r="BC31">
        <f t="shared" si="32"/>
        <v>6736.956277561183</v>
      </c>
      <c r="BD31">
        <f t="shared" si="33"/>
        <v>6648.9420513215728</v>
      </c>
      <c r="BE31">
        <f t="shared" si="34"/>
        <v>85918.503753205019</v>
      </c>
      <c r="BF31">
        <f t="shared" si="35"/>
        <v>79868.737556893175</v>
      </c>
      <c r="BG31">
        <f t="shared" si="36"/>
        <v>74229.548101582026</v>
      </c>
      <c r="BH31">
        <f t="shared" si="37"/>
        <v>69099.3537447243</v>
      </c>
      <c r="BI31">
        <f t="shared" si="38"/>
        <v>64586.766999082196</v>
      </c>
      <c r="BJ31">
        <f t="shared" si="39"/>
        <v>60811.969552461174</v>
      </c>
      <c r="BK31">
        <f t="shared" si="40"/>
        <v>57905.783153682154</v>
      </c>
      <c r="BL31">
        <f t="shared" si="41"/>
        <v>56011.054491643677</v>
      </c>
      <c r="BM31">
        <f t="shared" si="42"/>
        <v>55279.30421468756</v>
      </c>
      <c r="BO31">
        <v>87997.86</v>
      </c>
      <c r="BP31">
        <v>82301.820000000007</v>
      </c>
      <c r="BQ31">
        <v>76797.53</v>
      </c>
      <c r="BR31">
        <v>71492.06</v>
      </c>
      <c r="BS31">
        <v>66375.33</v>
      </c>
      <c r="BT31">
        <v>61413.25</v>
      </c>
      <c r="BU31">
        <v>56533.18</v>
      </c>
      <c r="BV31">
        <v>51591.11</v>
      </c>
      <c r="BW31">
        <v>46287.09</v>
      </c>
      <c r="BY31">
        <f t="shared" si="43"/>
        <v>0.96171347914843863</v>
      </c>
    </row>
    <row r="32" spans="1:77" x14ac:dyDescent="0.3">
      <c r="A32" s="6" t="s">
        <v>96</v>
      </c>
      <c r="B32">
        <v>301.31</v>
      </c>
      <c r="C32">
        <v>687</v>
      </c>
      <c r="E32">
        <v>301.31</v>
      </c>
      <c r="F32">
        <v>344.1644</v>
      </c>
      <c r="G32">
        <v>387.01889999999997</v>
      </c>
      <c r="H32">
        <v>429.87329999999997</v>
      </c>
      <c r="I32">
        <v>472.7278</v>
      </c>
      <c r="J32">
        <v>515.58219999999994</v>
      </c>
      <c r="K32">
        <v>558.43669999999997</v>
      </c>
      <c r="L32">
        <v>601.29110000000003</v>
      </c>
      <c r="M32">
        <v>644.14559999999994</v>
      </c>
      <c r="N32">
        <v>687</v>
      </c>
      <c r="O32">
        <v>2.8606199999999998E-2</v>
      </c>
      <c r="P32">
        <v>2.4591180000000001</v>
      </c>
      <c r="Q32">
        <v>61.127220000000001</v>
      </c>
      <c r="R32">
        <v>662.53219999999999</v>
      </c>
      <c r="S32">
        <v>4050.4679999999998</v>
      </c>
      <c r="T32">
        <v>16543.36</v>
      </c>
      <c r="U32">
        <v>50676.27</v>
      </c>
      <c r="V32">
        <v>126345</v>
      </c>
      <c r="W32">
        <v>272091</v>
      </c>
      <c r="X32">
        <v>529119</v>
      </c>
      <c r="AA32">
        <f t="shared" si="4"/>
        <v>3.3188410607016029E-3</v>
      </c>
      <c r="AB32">
        <f t="shared" si="5"/>
        <v>2.9055881433407986E-3</v>
      </c>
      <c r="AC32">
        <f t="shared" si="6"/>
        <v>2.5838531399887707E-3</v>
      </c>
      <c r="AD32">
        <f t="shared" si="7"/>
        <v>2.3262668325760173E-3</v>
      </c>
      <c r="AE32">
        <f t="shared" si="8"/>
        <v>2.1153822559197913E-3</v>
      </c>
      <c r="AF32">
        <f t="shared" si="9"/>
        <v>1.9395549342083574E-3</v>
      </c>
      <c r="AG32">
        <f t="shared" si="10"/>
        <v>1.7907132536239114E-3</v>
      </c>
      <c r="AH32">
        <f t="shared" si="11"/>
        <v>1.6630879785182252E-3</v>
      </c>
      <c r="AI32">
        <f t="shared" si="12"/>
        <v>1.5524440437068888E-3</v>
      </c>
      <c r="AJ32">
        <f t="shared" si="13"/>
        <v>1.455604075691412E-3</v>
      </c>
      <c r="AK32">
        <f t="shared" si="14"/>
        <v>-3.5541318014336332</v>
      </c>
      <c r="AL32">
        <f t="shared" si="15"/>
        <v>0.89980274906929691</v>
      </c>
      <c r="AM32">
        <f t="shared" si="16"/>
        <v>4.1129572661539218</v>
      </c>
      <c r="AN32">
        <f t="shared" si="17"/>
        <v>6.4960691604528371</v>
      </c>
      <c r="AO32">
        <f t="shared" si="18"/>
        <v>8.3065877089801106</v>
      </c>
      <c r="AP32">
        <f t="shared" si="19"/>
        <v>9.7137400918403465</v>
      </c>
      <c r="AQ32">
        <f t="shared" si="20"/>
        <v>10.833213032673651</v>
      </c>
      <c r="AR32">
        <f t="shared" si="21"/>
        <v>11.746771539417574</v>
      </c>
      <c r="AS32">
        <f t="shared" si="22"/>
        <v>12.51389184814934</v>
      </c>
      <c r="AT32">
        <f t="shared" si="23"/>
        <v>13.178968638283383</v>
      </c>
      <c r="AU32">
        <f t="shared" si="24"/>
        <v>0.99377794059786673</v>
      </c>
      <c r="AV32">
        <f t="shared" si="25"/>
        <v>10777.744967773024</v>
      </c>
      <c r="AW32">
        <f t="shared" si="26"/>
        <v>9986.9597140754231</v>
      </c>
      <c r="AX32">
        <f t="shared" si="27"/>
        <v>9251.7025389872269</v>
      </c>
      <c r="AY32">
        <f t="shared" si="28"/>
        <v>8585.3530743440515</v>
      </c>
      <c r="AZ32">
        <f t="shared" si="29"/>
        <v>8003.0359853267892</v>
      </c>
      <c r="BA32">
        <f t="shared" si="30"/>
        <v>7521.2328726573751</v>
      </c>
      <c r="BB32">
        <f t="shared" si="31"/>
        <v>7158.1315377178053</v>
      </c>
      <c r="BC32">
        <f t="shared" si="32"/>
        <v>6933.2341627203987</v>
      </c>
      <c r="BD32">
        <f t="shared" si="33"/>
        <v>6867.7923357817599</v>
      </c>
      <c r="BE32">
        <f t="shared" si="34"/>
        <v>89606.171662064924</v>
      </c>
      <c r="BF32">
        <f t="shared" si="35"/>
        <v>83031.583062823061</v>
      </c>
      <c r="BG32">
        <f t="shared" si="36"/>
        <v>76918.654909139805</v>
      </c>
      <c r="BH32">
        <f t="shared" si="37"/>
        <v>71378.625460096446</v>
      </c>
      <c r="BI32">
        <f t="shared" si="38"/>
        <v>66537.241182006925</v>
      </c>
      <c r="BJ32">
        <f t="shared" si="39"/>
        <v>62531.530103273413</v>
      </c>
      <c r="BK32">
        <f t="shared" si="40"/>
        <v>59512.705604585833</v>
      </c>
      <c r="BL32">
        <f t="shared" si="41"/>
        <v>57642.908828857398</v>
      </c>
      <c r="BM32">
        <f t="shared" si="42"/>
        <v>57098.825479689549</v>
      </c>
      <c r="BO32">
        <v>92754.43</v>
      </c>
      <c r="BP32">
        <v>86121.34</v>
      </c>
      <c r="BQ32">
        <v>79856.78</v>
      </c>
      <c r="BR32">
        <v>73942.740000000005</v>
      </c>
      <c r="BS32">
        <v>68342.91</v>
      </c>
      <c r="BT32">
        <v>62993.71</v>
      </c>
      <c r="BU32">
        <v>57784.46</v>
      </c>
      <c r="BV32">
        <v>52510.87</v>
      </c>
      <c r="BW32">
        <v>46747.95</v>
      </c>
      <c r="BY32">
        <f t="shared" si="43"/>
        <v>0.96127448347750644</v>
      </c>
    </row>
    <row r="33" spans="1:77" x14ac:dyDescent="0.3">
      <c r="A33" s="6" t="s">
        <v>99</v>
      </c>
      <c r="B33">
        <v>278.14999999999998</v>
      </c>
      <c r="C33">
        <v>865</v>
      </c>
      <c r="E33">
        <v>278.14999999999998</v>
      </c>
      <c r="F33">
        <v>343.35559999999998</v>
      </c>
      <c r="G33">
        <v>408.56110000000001</v>
      </c>
      <c r="H33">
        <v>473.76670000000001</v>
      </c>
      <c r="I33">
        <v>538.97220000000004</v>
      </c>
      <c r="J33">
        <v>604.17780000000005</v>
      </c>
      <c r="K33">
        <v>669.38329999999996</v>
      </c>
      <c r="L33">
        <v>734.58889999999997</v>
      </c>
      <c r="M33">
        <v>799.7944</v>
      </c>
      <c r="N33">
        <v>865</v>
      </c>
      <c r="O33" s="13">
        <v>1.7066999999999999E-19</v>
      </c>
      <c r="P33" s="13">
        <v>9.5745000000000005E-12</v>
      </c>
      <c r="Q33" s="13">
        <v>8.0103100000000005E-7</v>
      </c>
      <c r="R33">
        <v>1.65091E-3</v>
      </c>
      <c r="S33">
        <v>0.34766279999999999</v>
      </c>
      <c r="T33">
        <v>16.59825</v>
      </c>
      <c r="U33">
        <v>291.0335</v>
      </c>
      <c r="V33">
        <v>2560.4670000000001</v>
      </c>
      <c r="W33">
        <v>14013.25</v>
      </c>
      <c r="X33">
        <v>55873.26</v>
      </c>
      <c r="AA33">
        <f t="shared" si="4"/>
        <v>3.5951824555096176E-3</v>
      </c>
      <c r="AB33">
        <f t="shared" si="5"/>
        <v>2.9124324752530613E-3</v>
      </c>
      <c r="AC33">
        <f t="shared" si="6"/>
        <v>2.4476143225578744E-3</v>
      </c>
      <c r="AD33">
        <f t="shared" si="7"/>
        <v>2.1107435368505215E-3</v>
      </c>
      <c r="AE33">
        <f t="shared" si="8"/>
        <v>1.8553832646655986E-3</v>
      </c>
      <c r="AF33">
        <f t="shared" si="9"/>
        <v>1.6551419135228073E-3</v>
      </c>
      <c r="AG33">
        <f t="shared" si="10"/>
        <v>1.4939123817400285E-3</v>
      </c>
      <c r="AH33">
        <f t="shared" si="11"/>
        <v>1.3613056227775836E-3</v>
      </c>
      <c r="AI33">
        <f t="shared" si="12"/>
        <v>1.2503213325824737E-3</v>
      </c>
      <c r="AJ33">
        <f t="shared" si="13"/>
        <v>1.1560693641618498E-3</v>
      </c>
      <c r="AK33">
        <f t="shared" si="14"/>
        <v>-43.214555085444296</v>
      </c>
      <c r="AL33">
        <f t="shared" si="15"/>
        <v>-25.371917801546463</v>
      </c>
      <c r="AM33">
        <f t="shared" si="16"/>
        <v>-14.037366189003968</v>
      </c>
      <c r="AN33">
        <f t="shared" si="17"/>
        <v>-6.4064286279467186</v>
      </c>
      <c r="AO33">
        <f t="shared" si="18"/>
        <v>-1.0565222344754635</v>
      </c>
      <c r="AP33">
        <f t="shared" si="19"/>
        <v>2.809297268118494</v>
      </c>
      <c r="AQ33">
        <f t="shared" si="20"/>
        <v>5.6734383808205759</v>
      </c>
      <c r="AR33">
        <f t="shared" si="21"/>
        <v>7.8479449427117611</v>
      </c>
      <c r="AS33">
        <f t="shared" si="22"/>
        <v>9.5477585895876835</v>
      </c>
      <c r="AT33">
        <f t="shared" si="23"/>
        <v>10.930841190491384</v>
      </c>
      <c r="AU33">
        <f t="shared" si="24"/>
        <v>0.992853159254379</v>
      </c>
      <c r="AV33">
        <f t="shared" si="25"/>
        <v>26133.486341798387</v>
      </c>
      <c r="AW33">
        <f t="shared" si="26"/>
        <v>24384.916008164888</v>
      </c>
      <c r="AX33">
        <f t="shared" si="27"/>
        <v>22652.417142774782</v>
      </c>
      <c r="AY33">
        <f t="shared" si="28"/>
        <v>20950.425638632783</v>
      </c>
      <c r="AZ33">
        <f t="shared" si="29"/>
        <v>19305.800128352392</v>
      </c>
      <c r="BA33">
        <f t="shared" si="30"/>
        <v>17764.370342282458</v>
      </c>
      <c r="BB33">
        <f t="shared" si="31"/>
        <v>16398.157823214871</v>
      </c>
      <c r="BC33">
        <f t="shared" si="32"/>
        <v>15315.80410063134</v>
      </c>
      <c r="BD33">
        <f t="shared" si="33"/>
        <v>14674.309980788248</v>
      </c>
      <c r="BE33">
        <f t="shared" si="34"/>
        <v>217273.8054457118</v>
      </c>
      <c r="BF33">
        <f t="shared" si="35"/>
        <v>202736.19169188288</v>
      </c>
      <c r="BG33">
        <f t="shared" si="36"/>
        <v>188332.19612502953</v>
      </c>
      <c r="BH33">
        <f t="shared" si="37"/>
        <v>174181.83875959297</v>
      </c>
      <c r="BI33">
        <f t="shared" si="38"/>
        <v>160508.42226712179</v>
      </c>
      <c r="BJ33">
        <f t="shared" si="39"/>
        <v>147692.97502573635</v>
      </c>
      <c r="BK33">
        <f t="shared" si="40"/>
        <v>136334.28414220843</v>
      </c>
      <c r="BL33">
        <f t="shared" si="41"/>
        <v>127335.59529264896</v>
      </c>
      <c r="BM33">
        <f t="shared" si="42"/>
        <v>122002.21318027349</v>
      </c>
      <c r="BO33">
        <v>224216</v>
      </c>
      <c r="BP33">
        <v>209531</v>
      </c>
      <c r="BQ33">
        <v>194951</v>
      </c>
      <c r="BR33">
        <v>180718</v>
      </c>
      <c r="BS33">
        <v>167006</v>
      </c>
      <c r="BT33">
        <v>153897</v>
      </c>
      <c r="BU33">
        <v>141344</v>
      </c>
      <c r="BV33">
        <v>129053</v>
      </c>
      <c r="BW33">
        <v>116106</v>
      </c>
      <c r="BY33">
        <f t="shared" si="43"/>
        <v>0.99298216688572072</v>
      </c>
    </row>
    <row r="34" spans="1:77" x14ac:dyDescent="0.3">
      <c r="A34" s="6" t="s">
        <v>101</v>
      </c>
      <c r="B34">
        <v>335.66</v>
      </c>
      <c r="C34">
        <v>720</v>
      </c>
      <c r="E34">
        <v>335.66</v>
      </c>
      <c r="F34">
        <v>378.36439999999999</v>
      </c>
      <c r="G34">
        <v>421.06889999999999</v>
      </c>
      <c r="H34">
        <v>463.77330000000001</v>
      </c>
      <c r="I34">
        <v>506.4778</v>
      </c>
      <c r="J34">
        <v>549.18219999999997</v>
      </c>
      <c r="K34">
        <v>591.88670000000002</v>
      </c>
      <c r="L34">
        <v>634.59109999999998</v>
      </c>
      <c r="M34">
        <v>677.29560000000004</v>
      </c>
      <c r="N34">
        <v>720</v>
      </c>
      <c r="O34">
        <v>1.83175E-2</v>
      </c>
      <c r="P34">
        <v>1.538354</v>
      </c>
      <c r="Q34">
        <v>41.222540000000002</v>
      </c>
      <c r="R34">
        <v>496.60140000000001</v>
      </c>
      <c r="S34">
        <v>3368.873</v>
      </c>
      <c r="T34">
        <v>15024.37</v>
      </c>
      <c r="U34">
        <v>49222.69</v>
      </c>
      <c r="V34">
        <v>128731</v>
      </c>
      <c r="W34">
        <v>286806</v>
      </c>
      <c r="X34">
        <v>574186</v>
      </c>
      <c r="AA34">
        <f t="shared" si="4"/>
        <v>2.9792051480664957E-3</v>
      </c>
      <c r="AB34">
        <f t="shared" si="5"/>
        <v>2.6429547811580583E-3</v>
      </c>
      <c r="AC34">
        <f t="shared" si="6"/>
        <v>2.3749082394828968E-3</v>
      </c>
      <c r="AD34">
        <f t="shared" si="7"/>
        <v>2.1562258974373904E-3</v>
      </c>
      <c r="AE34">
        <f t="shared" si="8"/>
        <v>1.9744202016356888E-3</v>
      </c>
      <c r="AF34">
        <f t="shared" si="9"/>
        <v>1.8208893150579171E-3</v>
      </c>
      <c r="AG34">
        <f t="shared" si="10"/>
        <v>1.6895125367743522E-3</v>
      </c>
      <c r="AH34">
        <f t="shared" si="11"/>
        <v>1.5758178770550043E-3</v>
      </c>
      <c r="AI34">
        <f t="shared" si="12"/>
        <v>1.4764602043775272E-3</v>
      </c>
      <c r="AJ34">
        <f t="shared" si="13"/>
        <v>1.3888888888888889E-3</v>
      </c>
      <c r="AK34">
        <f t="shared" si="14"/>
        <v>-3.999898391930155</v>
      </c>
      <c r="AL34">
        <f t="shared" si="15"/>
        <v>0.4307130136493354</v>
      </c>
      <c r="AM34">
        <f t="shared" si="16"/>
        <v>3.7189851941363812</v>
      </c>
      <c r="AN34">
        <f t="shared" si="17"/>
        <v>6.2077876922404505</v>
      </c>
      <c r="AO34">
        <f t="shared" si="18"/>
        <v>8.1223335460501271</v>
      </c>
      <c r="AP34">
        <f t="shared" si="19"/>
        <v>9.617428828407844</v>
      </c>
      <c r="AQ34">
        <f t="shared" si="20"/>
        <v>10.804109975031901</v>
      </c>
      <c r="AR34">
        <f t="shared" si="21"/>
        <v>11.76548023482051</v>
      </c>
      <c r="AS34">
        <f t="shared" si="22"/>
        <v>12.566561307990863</v>
      </c>
      <c r="AT34">
        <f t="shared" si="23"/>
        <v>13.260708664623341</v>
      </c>
      <c r="AU34">
        <f t="shared" si="24"/>
        <v>0.99267996668337233</v>
      </c>
      <c r="AV34">
        <f t="shared" si="25"/>
        <v>13176.525118219328</v>
      </c>
      <c r="AW34">
        <f t="shared" si="26"/>
        <v>12267.541897526202</v>
      </c>
      <c r="AX34">
        <f t="shared" si="27"/>
        <v>11380.902887834285</v>
      </c>
      <c r="AY34">
        <f t="shared" si="28"/>
        <v>10530.725373411309</v>
      </c>
      <c r="AZ34">
        <f t="shared" si="29"/>
        <v>9738.0749612252766</v>
      </c>
      <c r="BA34">
        <f t="shared" si="30"/>
        <v>9032.6552540564917</v>
      </c>
      <c r="BB34">
        <f t="shared" si="31"/>
        <v>8455.720454784112</v>
      </c>
      <c r="BC34">
        <f t="shared" si="32"/>
        <v>8062.5990080376187</v>
      </c>
      <c r="BD34">
        <f t="shared" si="33"/>
        <v>7926.6521549803329</v>
      </c>
      <c r="BE34">
        <f t="shared" si="34"/>
        <v>109549.62983287549</v>
      </c>
      <c r="BF34">
        <f t="shared" si="35"/>
        <v>101992.34333603285</v>
      </c>
      <c r="BG34">
        <f t="shared" si="36"/>
        <v>94620.826609454249</v>
      </c>
      <c r="BH34">
        <f t="shared" si="37"/>
        <v>87552.450754541627</v>
      </c>
      <c r="BI34">
        <f t="shared" si="38"/>
        <v>80962.355227626947</v>
      </c>
      <c r="BJ34">
        <f t="shared" si="39"/>
        <v>75097.495782225669</v>
      </c>
      <c r="BK34">
        <f t="shared" si="40"/>
        <v>70300.859861075107</v>
      </c>
      <c r="BL34">
        <f t="shared" si="41"/>
        <v>67032.448152824756</v>
      </c>
      <c r="BM34">
        <f t="shared" si="42"/>
        <v>65902.186016506486</v>
      </c>
      <c r="BO34">
        <v>112933</v>
      </c>
      <c r="BP34">
        <v>105715</v>
      </c>
      <c r="BQ34">
        <v>98324.45</v>
      </c>
      <c r="BR34">
        <v>90913.51</v>
      </c>
      <c r="BS34">
        <v>83598.87</v>
      </c>
      <c r="BT34">
        <v>76451.62</v>
      </c>
      <c r="BU34">
        <v>69480.240000000005</v>
      </c>
      <c r="BV34">
        <v>62591.46</v>
      </c>
      <c r="BW34">
        <v>55481.599999999999</v>
      </c>
      <c r="BY34">
        <f t="shared" si="43"/>
        <v>0.97390986068158569</v>
      </c>
    </row>
    <row r="35" spans="1:77" x14ac:dyDescent="0.3">
      <c r="A35" s="6" t="s">
        <v>103</v>
      </c>
      <c r="B35">
        <v>342.75</v>
      </c>
      <c r="C35">
        <v>720</v>
      </c>
      <c r="E35">
        <v>342.75</v>
      </c>
      <c r="F35">
        <v>384.66669999999999</v>
      </c>
      <c r="G35">
        <v>426.58330000000001</v>
      </c>
      <c r="H35">
        <v>468.5</v>
      </c>
      <c r="I35">
        <v>510.41669999999999</v>
      </c>
      <c r="J35">
        <v>552.33330000000001</v>
      </c>
      <c r="K35">
        <v>594.25</v>
      </c>
      <c r="L35">
        <v>636.16669999999999</v>
      </c>
      <c r="M35">
        <v>678.08330000000001</v>
      </c>
      <c r="N35">
        <v>720</v>
      </c>
      <c r="O35">
        <v>7.2505699999999996E-3</v>
      </c>
      <c r="P35">
        <v>0.68841300000000005</v>
      </c>
      <c r="Q35">
        <v>20.41423</v>
      </c>
      <c r="R35">
        <v>266.19060000000002</v>
      </c>
      <c r="S35">
        <v>1916.653</v>
      </c>
      <c r="T35">
        <v>8928.3819999999996</v>
      </c>
      <c r="U35">
        <v>30181.23</v>
      </c>
      <c r="V35">
        <v>80744.52</v>
      </c>
      <c r="W35">
        <v>183086</v>
      </c>
      <c r="X35">
        <v>372382</v>
      </c>
      <c r="AA35">
        <f t="shared" si="4"/>
        <v>2.9175784099197666E-3</v>
      </c>
      <c r="AB35">
        <f t="shared" si="5"/>
        <v>2.5996531542761565E-3</v>
      </c>
      <c r="AC35">
        <f t="shared" si="6"/>
        <v>2.3442080362733376E-3</v>
      </c>
      <c r="AD35">
        <f t="shared" si="7"/>
        <v>2.1344717182497333E-3</v>
      </c>
      <c r="AE35">
        <f t="shared" si="8"/>
        <v>1.9591835455227071E-3</v>
      </c>
      <c r="AF35">
        <f t="shared" si="9"/>
        <v>1.8105010145142435E-3</v>
      </c>
      <c r="AG35">
        <f t="shared" si="10"/>
        <v>1.6827934371055953E-3</v>
      </c>
      <c r="AH35">
        <f t="shared" si="11"/>
        <v>1.5719150342198044E-3</v>
      </c>
      <c r="AI35">
        <f t="shared" si="12"/>
        <v>1.4747450645075611E-3</v>
      </c>
      <c r="AJ35">
        <f t="shared" si="13"/>
        <v>1.3888888888888889E-3</v>
      </c>
      <c r="AK35">
        <f t="shared" si="14"/>
        <v>-4.9266751925163428</v>
      </c>
      <c r="AL35">
        <f t="shared" si="15"/>
        <v>-0.37336633045350748</v>
      </c>
      <c r="AM35">
        <f t="shared" si="16"/>
        <v>3.0162322066955385</v>
      </c>
      <c r="AN35">
        <f t="shared" si="17"/>
        <v>5.5842125935418929</v>
      </c>
      <c r="AO35">
        <f t="shared" si="18"/>
        <v>7.5583357146630821</v>
      </c>
      <c r="AP35">
        <f t="shared" si="19"/>
        <v>9.0969904704441173</v>
      </c>
      <c r="AQ35">
        <f t="shared" si="20"/>
        <v>10.314975486958556</v>
      </c>
      <c r="AR35">
        <f t="shared" si="21"/>
        <v>11.299045375004964</v>
      </c>
      <c r="AS35">
        <f t="shared" si="22"/>
        <v>12.117711266789014</v>
      </c>
      <c r="AT35">
        <f t="shared" si="23"/>
        <v>12.827675488093346</v>
      </c>
      <c r="AU35">
        <f t="shared" si="24"/>
        <v>0.9914875184771782</v>
      </c>
      <c r="AV35">
        <f t="shared" si="25"/>
        <v>14321.947631511954</v>
      </c>
      <c r="AW35">
        <f t="shared" si="26"/>
        <v>13269.380772082877</v>
      </c>
      <c r="AX35">
        <f t="shared" si="27"/>
        <v>12243.851761321315</v>
      </c>
      <c r="AY35">
        <f t="shared" si="28"/>
        <v>11262.158138846382</v>
      </c>
      <c r="AZ35">
        <f t="shared" si="29"/>
        <v>10348.591360026345</v>
      </c>
      <c r="BA35">
        <f t="shared" si="30"/>
        <v>9537.2963862358756</v>
      </c>
      <c r="BB35">
        <f t="shared" si="31"/>
        <v>8875.2170164286908</v>
      </c>
      <c r="BC35">
        <f t="shared" si="32"/>
        <v>8425.0915607818679</v>
      </c>
      <c r="BD35">
        <f t="shared" si="33"/>
        <v>8269.2271835822121</v>
      </c>
      <c r="BE35">
        <f t="shared" si="34"/>
        <v>119072.67260839038</v>
      </c>
      <c r="BF35">
        <f t="shared" si="35"/>
        <v>110321.63173909704</v>
      </c>
      <c r="BG35">
        <f t="shared" si="36"/>
        <v>101795.38354362542</v>
      </c>
      <c r="BH35">
        <f t="shared" si="37"/>
        <v>93633.582766368825</v>
      </c>
      <c r="BI35">
        <f t="shared" si="38"/>
        <v>86038.188567259029</v>
      </c>
      <c r="BJ35">
        <f t="shared" si="39"/>
        <v>79293.082155165073</v>
      </c>
      <c r="BK35">
        <f t="shared" si="40"/>
        <v>73788.554274588139</v>
      </c>
      <c r="BL35">
        <f t="shared" si="41"/>
        <v>70046.211236340445</v>
      </c>
      <c r="BM35">
        <f t="shared" si="42"/>
        <v>68750.354804302508</v>
      </c>
      <c r="BO35">
        <v>122955</v>
      </c>
      <c r="BP35">
        <v>114686</v>
      </c>
      <c r="BQ35">
        <v>106129</v>
      </c>
      <c r="BR35">
        <v>97570.87</v>
      </c>
      <c r="BS35">
        <v>89245.59</v>
      </c>
      <c r="BT35">
        <v>81330.17</v>
      </c>
      <c r="BU35">
        <v>73936.09</v>
      </c>
      <c r="BV35">
        <v>67094.3</v>
      </c>
      <c r="BW35">
        <v>60706.52</v>
      </c>
      <c r="BY35">
        <f t="shared" si="43"/>
        <v>0.9838880630142891</v>
      </c>
    </row>
    <row r="36" spans="1:77" x14ac:dyDescent="0.3">
      <c r="A36" s="6" t="s">
        <v>106</v>
      </c>
      <c r="B36">
        <v>286.52999999999997</v>
      </c>
      <c r="C36">
        <v>700</v>
      </c>
      <c r="E36">
        <v>286.52999999999997</v>
      </c>
      <c r="F36">
        <v>332.47109999999998</v>
      </c>
      <c r="G36">
        <v>378.41219999999998</v>
      </c>
      <c r="H36">
        <v>424.35329999999999</v>
      </c>
      <c r="I36">
        <v>470.2944</v>
      </c>
      <c r="J36">
        <v>516.23559999999998</v>
      </c>
      <c r="K36">
        <v>562.17669999999998</v>
      </c>
      <c r="L36">
        <v>608.11779999999999</v>
      </c>
      <c r="M36">
        <v>654.05889999999999</v>
      </c>
      <c r="N36">
        <v>700</v>
      </c>
      <c r="O36" s="13">
        <v>1.3990300000000001E-5</v>
      </c>
      <c r="P36">
        <v>9.16522E-3</v>
      </c>
      <c r="Q36">
        <v>0.94713610000000004</v>
      </c>
      <c r="R36">
        <v>29.29421</v>
      </c>
      <c r="S36">
        <v>397.86989999999997</v>
      </c>
      <c r="T36">
        <v>3024.1750000000002</v>
      </c>
      <c r="U36">
        <v>15100.41</v>
      </c>
      <c r="V36">
        <v>55279.99</v>
      </c>
      <c r="W36">
        <v>160320</v>
      </c>
      <c r="X36">
        <v>389573</v>
      </c>
      <c r="AA36">
        <f t="shared" si="4"/>
        <v>3.490035947370258E-3</v>
      </c>
      <c r="AB36">
        <f t="shared" si="5"/>
        <v>3.0077802251082877E-3</v>
      </c>
      <c r="AC36">
        <f t="shared" si="6"/>
        <v>2.6426209302977018E-3</v>
      </c>
      <c r="AD36">
        <f t="shared" si="7"/>
        <v>2.3565269788169436E-3</v>
      </c>
      <c r="AE36">
        <f t="shared" si="8"/>
        <v>2.1263276790027693E-3</v>
      </c>
      <c r="AF36">
        <f t="shared" si="9"/>
        <v>1.9371000372698048E-3</v>
      </c>
      <c r="AG36">
        <f t="shared" si="10"/>
        <v>1.7788001530479652E-3</v>
      </c>
      <c r="AH36">
        <f t="shared" si="11"/>
        <v>1.6444182360720243E-3</v>
      </c>
      <c r="AI36">
        <f t="shared" si="12"/>
        <v>1.5289142919697294E-3</v>
      </c>
      <c r="AJ36">
        <f t="shared" si="13"/>
        <v>1.4285714285714286E-3</v>
      </c>
      <c r="AK36">
        <f t="shared" si="14"/>
        <v>-11.177146325628309</v>
      </c>
      <c r="AL36">
        <f t="shared" si="15"/>
        <v>-4.6923393936141391</v>
      </c>
      <c r="AM36">
        <f t="shared" si="16"/>
        <v>-5.4312479121301632E-2</v>
      </c>
      <c r="AN36">
        <f t="shared" si="17"/>
        <v>3.3773898855739093</v>
      </c>
      <c r="AO36">
        <f t="shared" si="18"/>
        <v>5.986125067423969</v>
      </c>
      <c r="AP36">
        <f t="shared" si="19"/>
        <v>8.0143936059953695</v>
      </c>
      <c r="AQ36">
        <f t="shared" si="20"/>
        <v>9.6224771747522784</v>
      </c>
      <c r="AR36">
        <f t="shared" si="21"/>
        <v>10.920166277544284</v>
      </c>
      <c r="AS36">
        <f t="shared" si="22"/>
        <v>11.984927096878637</v>
      </c>
      <c r="AT36">
        <f t="shared" si="23"/>
        <v>12.872806546500984</v>
      </c>
      <c r="AU36">
        <f t="shared" si="24"/>
        <v>0.99587196797137334</v>
      </c>
      <c r="AV36">
        <f t="shared" si="25"/>
        <v>13446.822158165085</v>
      </c>
      <c r="AW36">
        <f t="shared" si="26"/>
        <v>12701.379864638682</v>
      </c>
      <c r="AX36">
        <f t="shared" si="27"/>
        <v>11995.018933233256</v>
      </c>
      <c r="AY36">
        <f t="shared" si="28"/>
        <v>11332.507023070579</v>
      </c>
      <c r="AZ36">
        <f t="shared" si="29"/>
        <v>10718.669429034402</v>
      </c>
      <c r="BA36">
        <f t="shared" si="30"/>
        <v>10158.463328396118</v>
      </c>
      <c r="BB36">
        <f t="shared" si="31"/>
        <v>9656.7241485648519</v>
      </c>
      <c r="BC36">
        <f t="shared" si="32"/>
        <v>9218.3936021384525</v>
      </c>
      <c r="BD36">
        <f t="shared" si="33"/>
        <v>8848.4563779887285</v>
      </c>
      <c r="BE36">
        <f t="shared" si="34"/>
        <v>111796.87942298452</v>
      </c>
      <c r="BF36">
        <f t="shared" si="35"/>
        <v>105599.272194606</v>
      </c>
      <c r="BG36">
        <f t="shared" si="36"/>
        <v>99726.587410901295</v>
      </c>
      <c r="BH36">
        <f t="shared" si="37"/>
        <v>94218.463389808792</v>
      </c>
      <c r="BI36">
        <f t="shared" si="38"/>
        <v>89115.017632992021</v>
      </c>
      <c r="BJ36">
        <f t="shared" si="39"/>
        <v>84457.464112285321</v>
      </c>
      <c r="BK36">
        <f t="shared" si="40"/>
        <v>80286.004571168174</v>
      </c>
      <c r="BL36">
        <f t="shared" si="41"/>
        <v>76641.7244081791</v>
      </c>
      <c r="BM36">
        <f t="shared" si="42"/>
        <v>73566.066326598288</v>
      </c>
      <c r="BO36">
        <v>115075</v>
      </c>
      <c r="BP36">
        <v>108365</v>
      </c>
      <c r="BQ36">
        <v>102387</v>
      </c>
      <c r="BR36">
        <v>96895.78</v>
      </c>
      <c r="BS36">
        <v>91641.43</v>
      </c>
      <c r="BT36">
        <v>86345.919999999998</v>
      </c>
      <c r="BU36">
        <v>80672.759999999995</v>
      </c>
      <c r="BV36">
        <v>74170.97</v>
      </c>
      <c r="BW36">
        <v>66155.48</v>
      </c>
      <c r="BY36">
        <f t="shared" si="43"/>
        <v>0.98028967120401322</v>
      </c>
    </row>
    <row r="37" spans="1:77" x14ac:dyDescent="0.3">
      <c r="A37" s="7" t="s">
        <v>109</v>
      </c>
      <c r="B37">
        <v>331.05</v>
      </c>
      <c r="C37">
        <v>709</v>
      </c>
      <c r="E37">
        <v>331.05</v>
      </c>
      <c r="F37">
        <v>373.0444</v>
      </c>
      <c r="G37">
        <v>415.03890000000001</v>
      </c>
      <c r="H37">
        <v>457.0333</v>
      </c>
      <c r="I37">
        <v>499.02780000000001</v>
      </c>
      <c r="J37">
        <v>541.0222</v>
      </c>
      <c r="K37">
        <v>583.01670000000001</v>
      </c>
      <c r="L37">
        <v>625.01110000000006</v>
      </c>
      <c r="M37">
        <v>667.00559999999996</v>
      </c>
      <c r="N37">
        <v>709</v>
      </c>
      <c r="O37">
        <v>2.9117799999999999E-2</v>
      </c>
      <c r="P37">
        <v>2.074951</v>
      </c>
      <c r="Q37">
        <v>48.880510000000001</v>
      </c>
      <c r="R37">
        <v>530.71130000000005</v>
      </c>
      <c r="S37">
        <v>3303.9250000000002</v>
      </c>
      <c r="T37">
        <v>13705.24</v>
      </c>
      <c r="U37">
        <v>42192.97</v>
      </c>
      <c r="V37">
        <v>104507</v>
      </c>
      <c r="W37">
        <v>221843</v>
      </c>
      <c r="X37">
        <v>425089</v>
      </c>
      <c r="AA37">
        <f t="shared" si="4"/>
        <v>3.0206917384080953E-3</v>
      </c>
      <c r="AB37">
        <f t="shared" si="5"/>
        <v>2.6806460571449403E-3</v>
      </c>
      <c r="AC37">
        <f t="shared" si="6"/>
        <v>2.4094127080618224E-3</v>
      </c>
      <c r="AD37">
        <f t="shared" si="7"/>
        <v>2.1880243737163133E-3</v>
      </c>
      <c r="AE37">
        <f t="shared" si="8"/>
        <v>2.0038963761137155E-3</v>
      </c>
      <c r="AF37">
        <f t="shared" si="9"/>
        <v>1.8483529881028911E-3</v>
      </c>
      <c r="AG37">
        <f t="shared" si="10"/>
        <v>1.7152167339288908E-3</v>
      </c>
      <c r="AH37">
        <f t="shared" si="11"/>
        <v>1.599971584504659E-3</v>
      </c>
      <c r="AI37">
        <f t="shared" si="12"/>
        <v>1.4992377875088306E-3</v>
      </c>
      <c r="AJ37">
        <f t="shared" si="13"/>
        <v>1.4104372355430183E-3</v>
      </c>
      <c r="AK37">
        <f t="shared" si="14"/>
        <v>-3.5364056079582049</v>
      </c>
      <c r="AL37">
        <f t="shared" si="15"/>
        <v>0.72993753894600455</v>
      </c>
      <c r="AM37">
        <f t="shared" si="16"/>
        <v>3.88937874852413</v>
      </c>
      <c r="AN37">
        <f t="shared" si="17"/>
        <v>6.2742181822395366</v>
      </c>
      <c r="AO37">
        <f t="shared" si="18"/>
        <v>8.1028664346253567</v>
      </c>
      <c r="AP37">
        <f t="shared" si="19"/>
        <v>9.5255335204405416</v>
      </c>
      <c r="AQ37">
        <f t="shared" si="20"/>
        <v>10.65000889846911</v>
      </c>
      <c r="AR37">
        <f t="shared" si="21"/>
        <v>11.557009333789498</v>
      </c>
      <c r="AS37">
        <f t="shared" si="22"/>
        <v>12.309725203458228</v>
      </c>
      <c r="AT37">
        <f t="shared" si="23"/>
        <v>12.960053837747676</v>
      </c>
      <c r="AU37">
        <f t="shared" si="24"/>
        <v>0.99192673248921559</v>
      </c>
      <c r="AV37">
        <f t="shared" si="25"/>
        <v>12546.38238914308</v>
      </c>
      <c r="AW37">
        <f t="shared" si="26"/>
        <v>11648.424577060146</v>
      </c>
      <c r="AX37">
        <f t="shared" si="27"/>
        <v>10772.200083467424</v>
      </c>
      <c r="AY37">
        <f t="shared" si="28"/>
        <v>9931.3970509394185</v>
      </c>
      <c r="AZ37">
        <f t="shared" si="29"/>
        <v>9146.4324135474035</v>
      </c>
      <c r="BA37">
        <f t="shared" si="30"/>
        <v>8446.049387561663</v>
      </c>
      <c r="BB37">
        <f t="shared" si="31"/>
        <v>7870.1831691120087</v>
      </c>
      <c r="BC37">
        <f t="shared" si="32"/>
        <v>7472.3269857474061</v>
      </c>
      <c r="BD37">
        <f t="shared" si="33"/>
        <v>7323.4751349273247</v>
      </c>
      <c r="BE37">
        <f t="shared" si="34"/>
        <v>104310.62318333557</v>
      </c>
      <c r="BF37">
        <f t="shared" si="35"/>
        <v>96845.001933678053</v>
      </c>
      <c r="BG37">
        <f t="shared" si="36"/>
        <v>89560.071493948155</v>
      </c>
      <c r="BH37">
        <f t="shared" si="37"/>
        <v>82569.635081510321</v>
      </c>
      <c r="BI37">
        <f t="shared" si="38"/>
        <v>76043.43908623312</v>
      </c>
      <c r="BJ37">
        <f t="shared" si="39"/>
        <v>70220.454608187662</v>
      </c>
      <c r="BK37">
        <f t="shared" si="40"/>
        <v>65432.702867997243</v>
      </c>
      <c r="BL37">
        <f t="shared" si="41"/>
        <v>62124.926559503932</v>
      </c>
      <c r="BM37">
        <f t="shared" si="42"/>
        <v>60887.372271785775</v>
      </c>
      <c r="BO37">
        <v>107507</v>
      </c>
      <c r="BP37">
        <v>100603</v>
      </c>
      <c r="BQ37">
        <v>93323.23</v>
      </c>
      <c r="BR37">
        <v>85917.73</v>
      </c>
      <c r="BS37">
        <v>78593.990000000005</v>
      </c>
      <c r="BT37">
        <v>71509.649999999994</v>
      </c>
      <c r="BU37">
        <v>64762.59</v>
      </c>
      <c r="BV37">
        <v>58372.14</v>
      </c>
      <c r="BW37">
        <v>52227.24</v>
      </c>
      <c r="BY37">
        <f t="shared" si="43"/>
        <v>0.98003045188408822</v>
      </c>
    </row>
    <row r="38" spans="1:77" x14ac:dyDescent="0.3">
      <c r="A38" s="6" t="s">
        <v>112</v>
      </c>
      <c r="B38">
        <v>334.85</v>
      </c>
      <c r="C38">
        <v>728</v>
      </c>
      <c r="E38">
        <v>334.85</v>
      </c>
      <c r="F38">
        <v>378.5333</v>
      </c>
      <c r="G38">
        <v>422.2167</v>
      </c>
      <c r="H38">
        <v>465.9</v>
      </c>
      <c r="I38">
        <v>509.58330000000001</v>
      </c>
      <c r="J38">
        <v>553.26670000000001</v>
      </c>
      <c r="K38">
        <v>596.95000000000005</v>
      </c>
      <c r="L38">
        <v>640.63329999999996</v>
      </c>
      <c r="M38">
        <v>684.31669999999997</v>
      </c>
      <c r="N38">
        <v>728</v>
      </c>
      <c r="O38">
        <v>1.4297799999999999E-2</v>
      </c>
      <c r="P38">
        <v>1.395627</v>
      </c>
      <c r="Q38">
        <v>40.034489999999998</v>
      </c>
      <c r="R38">
        <v>491.46690000000001</v>
      </c>
      <c r="S38">
        <v>3297.2559999999999</v>
      </c>
      <c r="T38">
        <v>14284.74</v>
      </c>
      <c r="U38">
        <v>45014.51</v>
      </c>
      <c r="V38">
        <v>112765</v>
      </c>
      <c r="W38">
        <v>240722</v>
      </c>
      <c r="X38">
        <v>463677</v>
      </c>
      <c r="AA38">
        <f t="shared" si="4"/>
        <v>2.9864118261908315E-3</v>
      </c>
      <c r="AB38">
        <f t="shared" si="5"/>
        <v>2.6417755056160185E-3</v>
      </c>
      <c r="AC38">
        <f t="shared" si="6"/>
        <v>2.3684520294910173E-3</v>
      </c>
      <c r="AD38">
        <f t="shared" si="7"/>
        <v>2.1463833440652502E-3</v>
      </c>
      <c r="AE38">
        <f t="shared" si="8"/>
        <v>1.9623876999108878E-3</v>
      </c>
      <c r="AF38">
        <f t="shared" si="9"/>
        <v>1.807446571427487E-3</v>
      </c>
      <c r="AG38">
        <f t="shared" si="10"/>
        <v>1.6751821760616465E-3</v>
      </c>
      <c r="AH38">
        <f t="shared" si="11"/>
        <v>1.5609553858658301E-3</v>
      </c>
      <c r="AI38">
        <f t="shared" si="12"/>
        <v>1.4613116996852482E-3</v>
      </c>
      <c r="AJ38">
        <f t="shared" si="13"/>
        <v>1.3736263736263737E-3</v>
      </c>
      <c r="AK38">
        <f t="shared" si="14"/>
        <v>-4.2476495997056549</v>
      </c>
      <c r="AL38">
        <f t="shared" si="15"/>
        <v>0.33334377666096732</v>
      </c>
      <c r="AM38">
        <f t="shared" si="16"/>
        <v>3.689741332589954</v>
      </c>
      <c r="AN38">
        <f t="shared" si="17"/>
        <v>6.1973945924567886</v>
      </c>
      <c r="AO38">
        <f t="shared" si="18"/>
        <v>8.1008458864025723</v>
      </c>
      <c r="AP38">
        <f t="shared" si="19"/>
        <v>9.5669471135891886</v>
      </c>
      <c r="AQ38">
        <f t="shared" si="20"/>
        <v>10.714740161222863</v>
      </c>
      <c r="AR38">
        <f t="shared" si="21"/>
        <v>11.633061286210209</v>
      </c>
      <c r="AS38">
        <f t="shared" si="22"/>
        <v>12.391398019677521</v>
      </c>
      <c r="AT38">
        <f t="shared" si="23"/>
        <v>13.046943468114229</v>
      </c>
      <c r="AU38">
        <f t="shared" si="24"/>
        <v>0.99072584608677494</v>
      </c>
      <c r="AV38">
        <f t="shared" si="25"/>
        <v>13292.253610200059</v>
      </c>
      <c r="AW38">
        <f t="shared" si="26"/>
        <v>12279.946104570905</v>
      </c>
      <c r="AX38">
        <f t="shared" si="27"/>
        <v>11292.241655139129</v>
      </c>
      <c r="AY38">
        <f t="shared" si="28"/>
        <v>10345.0888888918</v>
      </c>
      <c r="AZ38">
        <f t="shared" si="29"/>
        <v>9462.3115343043555</v>
      </c>
      <c r="BA38">
        <f t="shared" si="30"/>
        <v>8678.0198439565193</v>
      </c>
      <c r="BB38">
        <f t="shared" si="31"/>
        <v>8039.4548723034977</v>
      </c>
      <c r="BC38">
        <f t="shared" si="32"/>
        <v>7610.484542823875</v>
      </c>
      <c r="BD38">
        <f t="shared" si="33"/>
        <v>7476.1134833045635</v>
      </c>
      <c r="BE38">
        <f t="shared" si="34"/>
        <v>110511.7965152033</v>
      </c>
      <c r="BF38">
        <f t="shared" si="35"/>
        <v>102095.47191340251</v>
      </c>
      <c r="BG38">
        <f t="shared" si="36"/>
        <v>93883.69712082672</v>
      </c>
      <c r="BH38">
        <f t="shared" si="37"/>
        <v>86009.069022246418</v>
      </c>
      <c r="BI38">
        <f t="shared" si="38"/>
        <v>78669.658096206418</v>
      </c>
      <c r="BJ38">
        <f t="shared" si="39"/>
        <v>72149.056982654496</v>
      </c>
      <c r="BK38">
        <f t="shared" si="40"/>
        <v>66840.027808331273</v>
      </c>
      <c r="BL38">
        <f t="shared" si="41"/>
        <v>63273.568489037694</v>
      </c>
      <c r="BM38">
        <f t="shared" si="42"/>
        <v>62156.407500194138</v>
      </c>
      <c r="BO38">
        <v>113899</v>
      </c>
      <c r="BP38">
        <v>106406</v>
      </c>
      <c r="BQ38">
        <v>98279.16</v>
      </c>
      <c r="BR38">
        <v>89894.080000000002</v>
      </c>
      <c r="BS38">
        <v>81569.929999999993</v>
      </c>
      <c r="BT38">
        <v>73553.77</v>
      </c>
      <c r="BU38">
        <v>66008.960000000006</v>
      </c>
      <c r="BV38">
        <v>58995.46</v>
      </c>
      <c r="BW38">
        <v>52408.93</v>
      </c>
      <c r="BY38">
        <f t="shared" si="43"/>
        <v>0.97887993347460778</v>
      </c>
    </row>
    <row r="39" spans="1:77" x14ac:dyDescent="0.3">
      <c r="A39" s="6" t="s">
        <v>115</v>
      </c>
      <c r="B39">
        <v>338.55</v>
      </c>
      <c r="C39">
        <v>727</v>
      </c>
      <c r="E39">
        <v>338.55</v>
      </c>
      <c r="F39">
        <v>381.71109999999999</v>
      </c>
      <c r="G39">
        <v>424.87220000000002</v>
      </c>
      <c r="H39">
        <v>468.0333</v>
      </c>
      <c r="I39">
        <v>511.19439999999997</v>
      </c>
      <c r="J39">
        <v>554.35559999999998</v>
      </c>
      <c r="K39">
        <v>597.51670000000001</v>
      </c>
      <c r="L39">
        <v>640.67780000000005</v>
      </c>
      <c r="M39">
        <v>683.83889999999997</v>
      </c>
      <c r="N39">
        <v>727</v>
      </c>
      <c r="O39">
        <v>1.24406E-2</v>
      </c>
      <c r="P39">
        <v>1.0804199999999999</v>
      </c>
      <c r="Q39">
        <v>29.565619999999999</v>
      </c>
      <c r="R39">
        <v>360.5136</v>
      </c>
      <c r="S39">
        <v>2458.3440000000001</v>
      </c>
      <c r="T39">
        <v>10953.54</v>
      </c>
      <c r="U39">
        <v>35639.54</v>
      </c>
      <c r="V39">
        <v>91975.16</v>
      </c>
      <c r="W39">
        <v>200725</v>
      </c>
      <c r="X39">
        <v>390203</v>
      </c>
      <c r="AA39">
        <f t="shared" si="4"/>
        <v>2.9537734455767242E-3</v>
      </c>
      <c r="AB39">
        <f t="shared" si="5"/>
        <v>2.6197823432433588E-3</v>
      </c>
      <c r="AC39">
        <f t="shared" si="6"/>
        <v>2.3536489325495995E-3</v>
      </c>
      <c r="AD39">
        <f t="shared" si="7"/>
        <v>2.1366001094366574E-3</v>
      </c>
      <c r="AE39">
        <f t="shared" si="8"/>
        <v>1.9562029630997525E-3</v>
      </c>
      <c r="AF39">
        <f t="shared" si="9"/>
        <v>1.8038962716350299E-3</v>
      </c>
      <c r="AG39">
        <f t="shared" si="10"/>
        <v>1.6735933907788686E-3</v>
      </c>
      <c r="AH39">
        <f t="shared" si="11"/>
        <v>1.5608469655105889E-3</v>
      </c>
      <c r="AI39">
        <f t="shared" si="12"/>
        <v>1.4623327219320224E-3</v>
      </c>
      <c r="AJ39">
        <f t="shared" si="13"/>
        <v>1.375515818431912E-3</v>
      </c>
      <c r="AK39">
        <f t="shared" si="14"/>
        <v>-4.3867899613229513</v>
      </c>
      <c r="AL39">
        <f t="shared" si="15"/>
        <v>7.7349854427331971E-2</v>
      </c>
      <c r="AM39">
        <f t="shared" si="16"/>
        <v>3.386612199795342</v>
      </c>
      <c r="AN39">
        <f t="shared" si="17"/>
        <v>5.8875296813948346</v>
      </c>
      <c r="AO39">
        <f t="shared" si="18"/>
        <v>7.8072432315135485</v>
      </c>
      <c r="AP39">
        <f t="shared" si="19"/>
        <v>9.3014179706696805</v>
      </c>
      <c r="AQ39">
        <f t="shared" si="20"/>
        <v>10.481210974655211</v>
      </c>
      <c r="AR39">
        <f t="shared" si="21"/>
        <v>11.429273819574615</v>
      </c>
      <c r="AS39">
        <f t="shared" si="22"/>
        <v>12.209691091052886</v>
      </c>
      <c r="AT39">
        <f t="shared" si="23"/>
        <v>12.874422395506533</v>
      </c>
      <c r="AU39">
        <f t="shared" si="24"/>
        <v>0.9919671742431595</v>
      </c>
      <c r="AV39">
        <f t="shared" si="25"/>
        <v>13366.044138788184</v>
      </c>
      <c r="AW39">
        <f t="shared" si="26"/>
        <v>12434.599386606102</v>
      </c>
      <c r="AX39">
        <f t="shared" si="27"/>
        <v>11522.37291928615</v>
      </c>
      <c r="AY39">
        <f t="shared" si="28"/>
        <v>10641.595995834143</v>
      </c>
      <c r="AZ39">
        <f t="shared" si="29"/>
        <v>9810.3026517532508</v>
      </c>
      <c r="BA39">
        <f t="shared" si="30"/>
        <v>9054.2357638882859</v>
      </c>
      <c r="BB39">
        <f t="shared" si="31"/>
        <v>8408.8062451957285</v>
      </c>
      <c r="BC39">
        <f t="shared" si="32"/>
        <v>7921.8724433069156</v>
      </c>
      <c r="BD39">
        <f t="shared" si="33"/>
        <v>7656.7036792875515</v>
      </c>
      <c r="BE39">
        <f t="shared" si="34"/>
        <v>111125.29096988495</v>
      </c>
      <c r="BF39">
        <f t="shared" si="35"/>
        <v>103381.25930024312</v>
      </c>
      <c r="BG39">
        <f t="shared" si="36"/>
        <v>95797.008450945053</v>
      </c>
      <c r="BH39">
        <f t="shared" si="37"/>
        <v>88474.229109365057</v>
      </c>
      <c r="BI39">
        <f t="shared" si="38"/>
        <v>81562.856246676529</v>
      </c>
      <c r="BJ39">
        <f t="shared" si="39"/>
        <v>75276.916140967209</v>
      </c>
      <c r="BK39">
        <f t="shared" si="40"/>
        <v>69910.81512255728</v>
      </c>
      <c r="BL39">
        <f t="shared" si="41"/>
        <v>65862.447493653701</v>
      </c>
      <c r="BM39">
        <f t="shared" si="42"/>
        <v>63657.834389596705</v>
      </c>
      <c r="BO39">
        <v>114027</v>
      </c>
      <c r="BP39">
        <v>107318</v>
      </c>
      <c r="BQ39">
        <v>99967.95</v>
      </c>
      <c r="BR39">
        <v>92265.81</v>
      </c>
      <c r="BS39">
        <v>84463.039999999994</v>
      </c>
      <c r="BT39">
        <v>76759.289999999994</v>
      </c>
      <c r="BU39">
        <v>69288.17</v>
      </c>
      <c r="BV39">
        <v>62094.32</v>
      </c>
      <c r="BW39">
        <v>55076.05</v>
      </c>
      <c r="BY39">
        <f t="shared" si="43"/>
        <v>0.98192322983873959</v>
      </c>
    </row>
    <row r="40" spans="1:77" x14ac:dyDescent="0.3">
      <c r="A40" s="6" t="s">
        <v>118</v>
      </c>
      <c r="B40">
        <v>343.92</v>
      </c>
      <c r="C40">
        <v>764</v>
      </c>
      <c r="E40">
        <v>343.92</v>
      </c>
      <c r="F40">
        <v>390.59559999999999</v>
      </c>
      <c r="G40">
        <v>437.27109999999999</v>
      </c>
      <c r="H40">
        <v>483.94670000000002</v>
      </c>
      <c r="I40">
        <v>530.62220000000002</v>
      </c>
      <c r="J40">
        <v>577.29780000000005</v>
      </c>
      <c r="K40">
        <v>623.97329999999999</v>
      </c>
      <c r="L40">
        <v>670.64890000000003</v>
      </c>
      <c r="M40">
        <v>717.32439999999997</v>
      </c>
      <c r="N40">
        <v>764</v>
      </c>
      <c r="O40">
        <v>5.4572700000000002E-3</v>
      </c>
      <c r="P40">
        <v>0.71811499999999995</v>
      </c>
      <c r="Q40">
        <v>25.442360000000001</v>
      </c>
      <c r="R40">
        <v>365.4787</v>
      </c>
      <c r="S40">
        <v>2766.6190000000001</v>
      </c>
      <c r="T40">
        <v>13160.43</v>
      </c>
      <c r="U40">
        <v>44505.72</v>
      </c>
      <c r="V40">
        <v>117095</v>
      </c>
      <c r="W40">
        <v>256726</v>
      </c>
      <c r="X40">
        <v>495430</v>
      </c>
      <c r="AA40">
        <f t="shared" si="4"/>
        <v>2.9076529425447776E-3</v>
      </c>
      <c r="AB40">
        <f t="shared" si="5"/>
        <v>2.5601926903426461E-3</v>
      </c>
      <c r="AC40">
        <f t="shared" si="6"/>
        <v>2.286910797443508E-3</v>
      </c>
      <c r="AD40">
        <f t="shared" si="7"/>
        <v>2.0663432563957974E-3</v>
      </c>
      <c r="AE40">
        <f t="shared" si="8"/>
        <v>1.8845800269947242E-3</v>
      </c>
      <c r="AF40">
        <f t="shared" si="9"/>
        <v>1.7322082294441445E-3</v>
      </c>
      <c r="AG40">
        <f t="shared" si="10"/>
        <v>1.6026326767507521E-3</v>
      </c>
      <c r="AH40">
        <f t="shared" si="11"/>
        <v>1.4910931785618376E-3</v>
      </c>
      <c r="AI40">
        <f t="shared" si="12"/>
        <v>1.3940694056970599E-3</v>
      </c>
      <c r="AJ40">
        <f t="shared" si="13"/>
        <v>1.3089005235602095E-3</v>
      </c>
      <c r="AK40">
        <f t="shared" si="14"/>
        <v>-5.210806614267006</v>
      </c>
      <c r="AL40">
        <f t="shared" si="15"/>
        <v>-0.3311255556283792</v>
      </c>
      <c r="AM40">
        <f t="shared" si="16"/>
        <v>3.2364155014648994</v>
      </c>
      <c r="AN40">
        <f t="shared" si="17"/>
        <v>5.9012080011579124</v>
      </c>
      <c r="AO40">
        <f t="shared" si="18"/>
        <v>7.9253812760524971</v>
      </c>
      <c r="AP40">
        <f t="shared" si="19"/>
        <v>9.4849698791175356</v>
      </c>
      <c r="AQ40">
        <f t="shared" si="20"/>
        <v>10.703372999219702</v>
      </c>
      <c r="AR40">
        <f t="shared" si="21"/>
        <v>11.67074085012595</v>
      </c>
      <c r="AS40">
        <f t="shared" si="22"/>
        <v>12.455764647277528</v>
      </c>
      <c r="AT40">
        <f t="shared" si="23"/>
        <v>13.113181351329443</v>
      </c>
      <c r="AU40">
        <f t="shared" si="24"/>
        <v>0.99137607321159638</v>
      </c>
      <c r="AV40">
        <f t="shared" si="25"/>
        <v>14043.854017005433</v>
      </c>
      <c r="AW40">
        <f t="shared" si="26"/>
        <v>13054.436279135311</v>
      </c>
      <c r="AX40">
        <f t="shared" si="27"/>
        <v>12081.526080560494</v>
      </c>
      <c r="AY40">
        <f t="shared" si="28"/>
        <v>11136.318833927109</v>
      </c>
      <c r="AZ40">
        <f t="shared" si="29"/>
        <v>10235.415136763311</v>
      </c>
      <c r="BA40">
        <f t="shared" si="30"/>
        <v>9403.0323990607103</v>
      </c>
      <c r="BB40">
        <f t="shared" si="31"/>
        <v>8672.8725394462217</v>
      </c>
      <c r="BC40">
        <f t="shared" si="32"/>
        <v>8091.0458743515082</v>
      </c>
      <c r="BD40">
        <f t="shared" si="33"/>
        <v>7718.9777246996146</v>
      </c>
      <c r="BE40">
        <f t="shared" si="34"/>
        <v>116760.60229738317</v>
      </c>
      <c r="BF40">
        <f t="shared" si="35"/>
        <v>108534.58322473097</v>
      </c>
      <c r="BG40">
        <f t="shared" si="36"/>
        <v>100445.80783377995</v>
      </c>
      <c r="BH40">
        <f t="shared" si="37"/>
        <v>92587.354785269985</v>
      </c>
      <c r="BI40">
        <f t="shared" si="38"/>
        <v>85097.241447050168</v>
      </c>
      <c r="BJ40">
        <f t="shared" si="39"/>
        <v>78176.811365790752</v>
      </c>
      <c r="BK40">
        <f t="shared" si="40"/>
        <v>72106.262292955886</v>
      </c>
      <c r="BL40">
        <f t="shared" si="41"/>
        <v>67268.955399358441</v>
      </c>
      <c r="BM40">
        <f t="shared" si="42"/>
        <v>64175.580803152596</v>
      </c>
      <c r="BO40">
        <v>119073</v>
      </c>
      <c r="BP40">
        <v>112061</v>
      </c>
      <c r="BQ40">
        <v>104486</v>
      </c>
      <c r="BR40">
        <v>96498.03</v>
      </c>
      <c r="BS40">
        <v>88220.39</v>
      </c>
      <c r="BT40">
        <v>79727.289999999994</v>
      </c>
      <c r="BU40">
        <v>71020.33</v>
      </c>
      <c r="BV40">
        <v>61975.19</v>
      </c>
      <c r="BW40">
        <v>52204.52</v>
      </c>
      <c r="BY40">
        <f t="shared" si="43"/>
        <v>0.97465839997496728</v>
      </c>
    </row>
    <row r="41" spans="1:77" x14ac:dyDescent="0.3">
      <c r="A41" s="6" t="s">
        <v>121</v>
      </c>
      <c r="B41">
        <v>243.51</v>
      </c>
      <c r="C41">
        <v>557</v>
      </c>
      <c r="E41">
        <v>243.51</v>
      </c>
      <c r="F41">
        <v>278.34219999999999</v>
      </c>
      <c r="G41">
        <v>313.17439999999999</v>
      </c>
      <c r="H41">
        <v>348.00670000000002</v>
      </c>
      <c r="I41">
        <v>382.83890000000002</v>
      </c>
      <c r="J41">
        <v>417.67110000000002</v>
      </c>
      <c r="K41">
        <v>452.50330000000002</v>
      </c>
      <c r="L41">
        <v>487.3356</v>
      </c>
      <c r="M41">
        <v>522.16780000000006</v>
      </c>
      <c r="N41">
        <v>557</v>
      </c>
      <c r="O41">
        <v>1.39297</v>
      </c>
      <c r="P41">
        <v>40.471910000000001</v>
      </c>
      <c r="Q41">
        <v>483.76150000000001</v>
      </c>
      <c r="R41">
        <v>3180.7159999999999</v>
      </c>
      <c r="S41">
        <v>13791.07</v>
      </c>
      <c r="T41">
        <v>44397.34</v>
      </c>
      <c r="U41">
        <v>115020</v>
      </c>
      <c r="V41">
        <v>253706</v>
      </c>
      <c r="W41">
        <v>496171</v>
      </c>
      <c r="X41">
        <v>886356</v>
      </c>
      <c r="AA41">
        <f t="shared" si="4"/>
        <v>4.1066075315182131E-3</v>
      </c>
      <c r="AB41">
        <f t="shared" si="5"/>
        <v>3.592699921176164E-3</v>
      </c>
      <c r="AC41">
        <f t="shared" si="6"/>
        <v>3.1931090152962694E-3</v>
      </c>
      <c r="AD41">
        <f t="shared" si="7"/>
        <v>2.8735078951066168E-3</v>
      </c>
      <c r="AE41">
        <f t="shared" si="8"/>
        <v>2.6120647614440431E-3</v>
      </c>
      <c r="AF41">
        <f t="shared" si="9"/>
        <v>2.3942283773045344E-3</v>
      </c>
      <c r="AG41">
        <f t="shared" si="10"/>
        <v>2.2099286347745969E-3</v>
      </c>
      <c r="AH41">
        <f t="shared" si="11"/>
        <v>2.0519740400660245E-3</v>
      </c>
      <c r="AI41">
        <f t="shared" si="12"/>
        <v>1.9150931941801083E-3</v>
      </c>
      <c r="AJ41">
        <f t="shared" si="13"/>
        <v>1.7953321364452424E-3</v>
      </c>
      <c r="AK41">
        <f t="shared" si="14"/>
        <v>0.33143815831306822</v>
      </c>
      <c r="AL41">
        <f t="shared" si="15"/>
        <v>3.7006081532275261</v>
      </c>
      <c r="AM41">
        <f t="shared" si="16"/>
        <v>6.1815920166712468</v>
      </c>
      <c r="AN41">
        <f t="shared" si="17"/>
        <v>8.0648616076628414</v>
      </c>
      <c r="AO41">
        <f t="shared" si="18"/>
        <v>9.531776560235512</v>
      </c>
      <c r="AP41">
        <f t="shared" si="19"/>
        <v>10.700934836715735</v>
      </c>
      <c r="AQ41">
        <f t="shared" si="20"/>
        <v>11.652861305267745</v>
      </c>
      <c r="AR41">
        <f t="shared" si="21"/>
        <v>12.443931395288008</v>
      </c>
      <c r="AS41">
        <f t="shared" si="22"/>
        <v>13.114675904356174</v>
      </c>
      <c r="AT41">
        <f t="shared" si="23"/>
        <v>13.694873954753932</v>
      </c>
      <c r="AU41">
        <f t="shared" si="24"/>
        <v>0.99725914114806613</v>
      </c>
      <c r="AV41">
        <f t="shared" si="25"/>
        <v>6555.983852179168</v>
      </c>
      <c r="AW41">
        <f t="shared" si="26"/>
        <v>6208.8096273878482</v>
      </c>
      <c r="AX41">
        <f t="shared" si="27"/>
        <v>5892.5625475719698</v>
      </c>
      <c r="AY41">
        <f t="shared" si="28"/>
        <v>5610.8375539359713</v>
      </c>
      <c r="AZ41">
        <f t="shared" si="29"/>
        <v>5367.1395671508217</v>
      </c>
      <c r="BA41">
        <f t="shared" si="30"/>
        <v>5165.0992860035058</v>
      </c>
      <c r="BB41">
        <f t="shared" si="31"/>
        <v>5008.2119578717793</v>
      </c>
      <c r="BC41">
        <f t="shared" si="32"/>
        <v>4900.2072183802866</v>
      </c>
      <c r="BD41">
        <f t="shared" si="33"/>
        <v>4844.6303111503503</v>
      </c>
      <c r="BE41">
        <f t="shared" si="34"/>
        <v>54506.449747017607</v>
      </c>
      <c r="BF41">
        <f t="shared" si="35"/>
        <v>51620.043242102569</v>
      </c>
      <c r="BG41">
        <f t="shared" si="36"/>
        <v>48990.765020513354</v>
      </c>
      <c r="BH41">
        <f t="shared" si="37"/>
        <v>46648.503423423666</v>
      </c>
      <c r="BI41">
        <f t="shared" si="38"/>
        <v>44622.398361291933</v>
      </c>
      <c r="BJ41">
        <f t="shared" si="39"/>
        <v>42942.635463833147</v>
      </c>
      <c r="BK41">
        <f t="shared" si="40"/>
        <v>41638.274217745973</v>
      </c>
      <c r="BL41">
        <f t="shared" si="41"/>
        <v>40740.322813613704</v>
      </c>
      <c r="BM41">
        <f t="shared" si="42"/>
        <v>40278.256406904009</v>
      </c>
      <c r="BO41">
        <v>56045.17</v>
      </c>
      <c r="BP41">
        <v>53008.06</v>
      </c>
      <c r="BQ41">
        <v>50142.53</v>
      </c>
      <c r="BR41">
        <v>47385.46</v>
      </c>
      <c r="BS41">
        <v>44666.49</v>
      </c>
      <c r="BT41">
        <v>41900.94</v>
      </c>
      <c r="BU41">
        <v>38977.519999999997</v>
      </c>
      <c r="BV41">
        <v>35733.79</v>
      </c>
      <c r="BW41">
        <v>31899.22</v>
      </c>
      <c r="BY41">
        <f t="shared" si="43"/>
        <v>0.93760675467247256</v>
      </c>
    </row>
    <row r="42" spans="1:77" x14ac:dyDescent="0.3">
      <c r="A42" s="6" t="s">
        <v>124</v>
      </c>
      <c r="B42">
        <v>178.18</v>
      </c>
      <c r="C42">
        <v>511</v>
      </c>
      <c r="E42">
        <v>178.18</v>
      </c>
      <c r="F42">
        <v>215.16</v>
      </c>
      <c r="G42">
        <v>252.14</v>
      </c>
      <c r="H42">
        <v>289.12</v>
      </c>
      <c r="I42">
        <v>326.10000000000002</v>
      </c>
      <c r="J42">
        <v>363.08</v>
      </c>
      <c r="K42">
        <v>400.06</v>
      </c>
      <c r="L42">
        <v>437.04</v>
      </c>
      <c r="M42">
        <v>474.02</v>
      </c>
      <c r="N42">
        <v>511</v>
      </c>
      <c r="O42">
        <v>4.7528399999999998E-2</v>
      </c>
      <c r="P42">
        <v>7.2411820000000002</v>
      </c>
      <c r="Q42">
        <v>213.06190000000001</v>
      </c>
      <c r="R42">
        <v>2350.143</v>
      </c>
      <c r="S42">
        <v>13877.43</v>
      </c>
      <c r="T42">
        <v>53985.75</v>
      </c>
      <c r="U42">
        <v>157335</v>
      </c>
      <c r="V42">
        <v>373448</v>
      </c>
      <c r="W42">
        <v>763841</v>
      </c>
      <c r="X42">
        <v>1400380</v>
      </c>
      <c r="AA42">
        <f t="shared" si="4"/>
        <v>5.6123021663486358E-3</v>
      </c>
      <c r="AB42">
        <f t="shared" si="5"/>
        <v>4.6477040342071015E-3</v>
      </c>
      <c r="AC42">
        <f t="shared" si="6"/>
        <v>3.9660506068057433E-3</v>
      </c>
      <c r="AD42">
        <f t="shared" si="7"/>
        <v>3.4587714443829552E-3</v>
      </c>
      <c r="AE42">
        <f t="shared" si="8"/>
        <v>3.0665440049064702E-3</v>
      </c>
      <c r="AF42">
        <f t="shared" si="9"/>
        <v>2.7542139473394293E-3</v>
      </c>
      <c r="AG42">
        <f t="shared" si="10"/>
        <v>2.4996250562415636E-3</v>
      </c>
      <c r="AH42">
        <f t="shared" si="11"/>
        <v>2.2881200805418269E-3</v>
      </c>
      <c r="AI42">
        <f t="shared" si="12"/>
        <v>2.1096156280325726E-3</v>
      </c>
      <c r="AJ42">
        <f t="shared" si="13"/>
        <v>1.9569471624266144E-3</v>
      </c>
      <c r="AK42">
        <f t="shared" si="14"/>
        <v>-3.0464278518725449</v>
      </c>
      <c r="AL42">
        <f t="shared" si="15"/>
        <v>1.979784452740724</v>
      </c>
      <c r="AM42">
        <f t="shared" si="16"/>
        <v>5.3615827338190618</v>
      </c>
      <c r="AN42">
        <f t="shared" si="17"/>
        <v>7.7622314563506833</v>
      </c>
      <c r="AO42">
        <f t="shared" si="18"/>
        <v>9.5380190584154025</v>
      </c>
      <c r="AP42">
        <f t="shared" si="19"/>
        <v>10.896475401832722</v>
      </c>
      <c r="AQ42">
        <f t="shared" si="20"/>
        <v>11.966132569063815</v>
      </c>
      <c r="AR42">
        <f t="shared" si="21"/>
        <v>12.830534050301599</v>
      </c>
      <c r="AS42">
        <f t="shared" si="22"/>
        <v>13.546114931306441</v>
      </c>
      <c r="AT42">
        <f t="shared" si="23"/>
        <v>14.152254186326845</v>
      </c>
      <c r="AU42">
        <f t="shared" si="24"/>
        <v>0.99782255443848067</v>
      </c>
      <c r="AV42">
        <f t="shared" si="25"/>
        <v>5210.6801134420803</v>
      </c>
      <c r="AW42">
        <f t="shared" si="26"/>
        <v>4961.1696283412539</v>
      </c>
      <c r="AX42">
        <f t="shared" si="27"/>
        <v>4732.4016051950866</v>
      </c>
      <c r="AY42">
        <f t="shared" si="28"/>
        <v>4527.4435782333439</v>
      </c>
      <c r="AZ42">
        <f t="shared" si="29"/>
        <v>4349.4255852263923</v>
      </c>
      <c r="BA42">
        <f t="shared" si="30"/>
        <v>4201.5076251693527</v>
      </c>
      <c r="BB42">
        <f t="shared" si="31"/>
        <v>4086.9084917649097</v>
      </c>
      <c r="BC42">
        <f t="shared" si="32"/>
        <v>4008.7564816779177</v>
      </c>
      <c r="BD42">
        <f t="shared" si="33"/>
        <v>3970.297681414228</v>
      </c>
      <c r="BE42">
        <f t="shared" si="34"/>
        <v>43321.594463157453</v>
      </c>
      <c r="BF42">
        <f t="shared" si="35"/>
        <v>41247.164290029184</v>
      </c>
      <c r="BG42">
        <f t="shared" si="36"/>
        <v>39345.186945591951</v>
      </c>
      <c r="BH42">
        <f t="shared" si="37"/>
        <v>37641.16590943202</v>
      </c>
      <c r="BI42">
        <f t="shared" si="38"/>
        <v>36161.124315572226</v>
      </c>
      <c r="BJ42">
        <f t="shared" si="39"/>
        <v>34931.334395657999</v>
      </c>
      <c r="BK42">
        <f t="shared" si="40"/>
        <v>33978.557200533462</v>
      </c>
      <c r="BL42">
        <f t="shared" si="41"/>
        <v>33328.80138867021</v>
      </c>
      <c r="BM42">
        <f t="shared" si="42"/>
        <v>33009.054923277894</v>
      </c>
      <c r="BO42">
        <v>44006.02</v>
      </c>
      <c r="BP42">
        <v>42113.95</v>
      </c>
      <c r="BQ42">
        <v>40255.279999999999</v>
      </c>
      <c r="BR42">
        <v>38392.49</v>
      </c>
      <c r="BS42">
        <v>36482.230000000003</v>
      </c>
      <c r="BT42">
        <v>34471.65</v>
      </c>
      <c r="BU42">
        <v>32292.04</v>
      </c>
      <c r="BV42">
        <v>29846.7</v>
      </c>
      <c r="BW42">
        <v>26984.55</v>
      </c>
      <c r="BY42">
        <f t="shared" si="43"/>
        <v>0.92126372139150114</v>
      </c>
    </row>
    <row r="43" spans="1:77" x14ac:dyDescent="0.3">
      <c r="A43" s="6" t="s">
        <v>127</v>
      </c>
      <c r="B43">
        <v>228.55</v>
      </c>
      <c r="C43">
        <v>531</v>
      </c>
      <c r="E43">
        <v>228.55</v>
      </c>
      <c r="F43">
        <v>262.15559999999999</v>
      </c>
      <c r="G43">
        <v>295.7611</v>
      </c>
      <c r="H43">
        <v>329.36669999999998</v>
      </c>
      <c r="I43">
        <v>362.97219999999999</v>
      </c>
      <c r="J43">
        <v>396.57780000000002</v>
      </c>
      <c r="K43">
        <v>430.18329999999997</v>
      </c>
      <c r="L43">
        <v>463.78890000000001</v>
      </c>
      <c r="M43">
        <v>497.39440000000002</v>
      </c>
      <c r="N43">
        <v>531</v>
      </c>
      <c r="O43">
        <v>2.24694E-2</v>
      </c>
      <c r="P43">
        <v>2.5616599999999998</v>
      </c>
      <c r="Q43">
        <v>79.314719999999994</v>
      </c>
      <c r="R43">
        <v>1019.58</v>
      </c>
      <c r="S43">
        <v>7084.5619999999999</v>
      </c>
      <c r="T43">
        <v>31627.09</v>
      </c>
      <c r="U43">
        <v>102105</v>
      </c>
      <c r="V43">
        <v>259390</v>
      </c>
      <c r="W43">
        <v>552147</v>
      </c>
      <c r="X43">
        <v>1033970</v>
      </c>
      <c r="AA43">
        <f t="shared" si="4"/>
        <v>4.3754101947057538E-3</v>
      </c>
      <c r="AB43">
        <f t="shared" si="5"/>
        <v>3.814528470877601E-3</v>
      </c>
      <c r="AC43">
        <f t="shared" si="6"/>
        <v>3.3811072517650224E-3</v>
      </c>
      <c r="AD43">
        <f t="shared" si="7"/>
        <v>3.0361296390922338E-3</v>
      </c>
      <c r="AE43">
        <f t="shared" si="8"/>
        <v>2.7550319280650144E-3</v>
      </c>
      <c r="AF43">
        <f t="shared" si="9"/>
        <v>2.5215733205439135E-3</v>
      </c>
      <c r="AG43">
        <f t="shared" si="10"/>
        <v>2.324590471085233E-3</v>
      </c>
      <c r="AH43">
        <f t="shared" si="11"/>
        <v>2.1561533706390989E-3</v>
      </c>
      <c r="AI43">
        <f t="shared" si="12"/>
        <v>2.0104769977305737E-3</v>
      </c>
      <c r="AJ43">
        <f t="shared" si="13"/>
        <v>1.8832391713747645E-3</v>
      </c>
      <c r="AK43">
        <f t="shared" si="14"/>
        <v>-3.7956008954111042</v>
      </c>
      <c r="AL43">
        <f t="shared" si="15"/>
        <v>0.94065548584671421</v>
      </c>
      <c r="AM43">
        <f t="shared" si="16"/>
        <v>4.3734237356266137</v>
      </c>
      <c r="AN43">
        <f t="shared" si="17"/>
        <v>6.9271460567740695</v>
      </c>
      <c r="AO43">
        <f t="shared" si="18"/>
        <v>8.865673329465741</v>
      </c>
      <c r="AP43">
        <f t="shared" si="19"/>
        <v>10.361769310802696</v>
      </c>
      <c r="AQ43">
        <f t="shared" si="20"/>
        <v>11.533756974550162</v>
      </c>
      <c r="AR43">
        <f t="shared" si="21"/>
        <v>12.466087999620234</v>
      </c>
      <c r="AS43">
        <f t="shared" si="22"/>
        <v>13.221569594154349</v>
      </c>
      <c r="AT43">
        <f t="shared" si="23"/>
        <v>13.848916320089959</v>
      </c>
      <c r="AU43">
        <f t="shared" si="24"/>
        <v>0.99335152732235221</v>
      </c>
      <c r="AV43">
        <f t="shared" si="25"/>
        <v>8444.3050647678938</v>
      </c>
      <c r="AW43">
        <f t="shared" si="26"/>
        <v>7920.1665686982869</v>
      </c>
      <c r="AX43">
        <f t="shared" si="27"/>
        <v>7402.5740434631116</v>
      </c>
      <c r="AY43">
        <f t="shared" si="28"/>
        <v>6896.2755534638945</v>
      </c>
      <c r="AZ43">
        <f t="shared" si="29"/>
        <v>6408.3993185033123</v>
      </c>
      <c r="BA43">
        <f t="shared" si="30"/>
        <v>5949.6939300459444</v>
      </c>
      <c r="BB43">
        <f t="shared" si="31"/>
        <v>5535.1880470551669</v>
      </c>
      <c r="BC43">
        <f t="shared" si="32"/>
        <v>5186.0269407483574</v>
      </c>
      <c r="BD43">
        <f t="shared" si="33"/>
        <v>4930.5048970365988</v>
      </c>
      <c r="BE43">
        <f t="shared" si="34"/>
        <v>70205.952308480264</v>
      </c>
      <c r="BF43">
        <f t="shared" si="35"/>
        <v>65848.264852157561</v>
      </c>
      <c r="BG43">
        <f t="shared" si="36"/>
        <v>61545.000597352308</v>
      </c>
      <c r="BH43">
        <f t="shared" si="37"/>
        <v>57335.634951498818</v>
      </c>
      <c r="BI43">
        <f t="shared" si="38"/>
        <v>53279.43193403654</v>
      </c>
      <c r="BJ43">
        <f t="shared" si="39"/>
        <v>49465.755334401983</v>
      </c>
      <c r="BK43">
        <f t="shared" si="40"/>
        <v>46019.553423216661</v>
      </c>
      <c r="BL43">
        <f t="shared" si="41"/>
        <v>43116.627985381841</v>
      </c>
      <c r="BM43">
        <f t="shared" si="42"/>
        <v>40992.21771396228</v>
      </c>
      <c r="BO43">
        <v>71509.119999999995</v>
      </c>
      <c r="BP43">
        <v>68095.19</v>
      </c>
      <c r="BQ43">
        <v>64116.2</v>
      </c>
      <c r="BR43">
        <v>59726.38</v>
      </c>
      <c r="BS43">
        <v>55069.68</v>
      </c>
      <c r="BT43">
        <v>50269.67</v>
      </c>
      <c r="BU43">
        <v>45419.18</v>
      </c>
      <c r="BV43">
        <v>40566.69</v>
      </c>
      <c r="BW43">
        <v>35690.81</v>
      </c>
      <c r="BY43">
        <f t="shared" si="43"/>
        <v>0.98199890708184989</v>
      </c>
    </row>
    <row r="44" spans="1:77" x14ac:dyDescent="0.3">
      <c r="A44" s="6" t="s">
        <v>130</v>
      </c>
      <c r="B44">
        <v>239.15</v>
      </c>
      <c r="C44">
        <v>562</v>
      </c>
      <c r="E44">
        <v>239.15</v>
      </c>
      <c r="F44">
        <v>275.0222</v>
      </c>
      <c r="G44">
        <v>310.89440000000002</v>
      </c>
      <c r="H44">
        <v>346.76670000000001</v>
      </c>
      <c r="I44">
        <v>382.63889999999998</v>
      </c>
      <c r="J44">
        <v>418.5111</v>
      </c>
      <c r="K44">
        <v>454.38330000000002</v>
      </c>
      <c r="L44">
        <v>490.25560000000002</v>
      </c>
      <c r="M44">
        <v>526.12779999999998</v>
      </c>
      <c r="N44">
        <v>562</v>
      </c>
      <c r="O44">
        <v>1.9455799999999999E-2</v>
      </c>
      <c r="P44">
        <v>2.670687</v>
      </c>
      <c r="Q44">
        <v>90.896109999999993</v>
      </c>
      <c r="R44">
        <v>1217.9559999999999</v>
      </c>
      <c r="S44">
        <v>8544.8430000000008</v>
      </c>
      <c r="T44">
        <v>37788.11</v>
      </c>
      <c r="U44">
        <v>119558</v>
      </c>
      <c r="V44">
        <v>296204</v>
      </c>
      <c r="W44">
        <v>614650</v>
      </c>
      <c r="X44">
        <v>1125940</v>
      </c>
      <c r="AA44">
        <f t="shared" si="4"/>
        <v>4.1814760610495508E-3</v>
      </c>
      <c r="AB44">
        <f t="shared" si="5"/>
        <v>3.6360701063405062E-3</v>
      </c>
      <c r="AC44">
        <f t="shared" si="6"/>
        <v>3.2165262545739001E-3</v>
      </c>
      <c r="AD44">
        <f t="shared" si="7"/>
        <v>2.8837832467765792E-3</v>
      </c>
      <c r="AE44">
        <f t="shared" si="8"/>
        <v>2.6134300511526667E-3</v>
      </c>
      <c r="AF44">
        <f t="shared" si="9"/>
        <v>2.3894228850799893E-3</v>
      </c>
      <c r="AG44">
        <f t="shared" si="10"/>
        <v>2.2007851080794562E-3</v>
      </c>
      <c r="AH44">
        <f t="shared" si="11"/>
        <v>2.0397523251136753E-3</v>
      </c>
      <c r="AI44">
        <f t="shared" si="12"/>
        <v>1.9006788844839601E-3</v>
      </c>
      <c r="AJ44">
        <f t="shared" si="13"/>
        <v>1.7793594306049821E-3</v>
      </c>
      <c r="AK44">
        <f t="shared" si="14"/>
        <v>-3.9396100528564792</v>
      </c>
      <c r="AL44">
        <f t="shared" si="15"/>
        <v>0.98233574268610957</v>
      </c>
      <c r="AM44">
        <f t="shared" si="16"/>
        <v>4.5097172059883039</v>
      </c>
      <c r="AN44">
        <f t="shared" si="17"/>
        <v>7.1049293228225805</v>
      </c>
      <c r="AO44">
        <f t="shared" si="18"/>
        <v>9.0530832220631705</v>
      </c>
      <c r="AP44">
        <f t="shared" si="19"/>
        <v>10.539749781861818</v>
      </c>
      <c r="AQ44">
        <f t="shared" si="20"/>
        <v>11.691556888255283</v>
      </c>
      <c r="AR44">
        <f t="shared" si="21"/>
        <v>12.598803685113579</v>
      </c>
      <c r="AS44">
        <f t="shared" si="22"/>
        <v>13.328808279095487</v>
      </c>
      <c r="AT44">
        <f t="shared" si="23"/>
        <v>13.934128800293996</v>
      </c>
      <c r="AU44">
        <f t="shared" si="24"/>
        <v>0.99186970049096645</v>
      </c>
      <c r="AV44">
        <f t="shared" si="25"/>
        <v>9024.3712101901765</v>
      </c>
      <c r="AW44">
        <f t="shared" si="26"/>
        <v>8407.6585759728641</v>
      </c>
      <c r="AX44">
        <f t="shared" si="27"/>
        <v>7799.448992223638</v>
      </c>
      <c r="AY44">
        <f t="shared" si="28"/>
        <v>7205.9584675694396</v>
      </c>
      <c r="AZ44">
        <f t="shared" si="29"/>
        <v>6636.6919677753122</v>
      </c>
      <c r="BA44">
        <f t="shared" si="30"/>
        <v>6105.9196344866241</v>
      </c>
      <c r="BB44">
        <f t="shared" si="31"/>
        <v>5633.9260872805207</v>
      </c>
      <c r="BC44">
        <f t="shared" si="32"/>
        <v>5249.0582722085283</v>
      </c>
      <c r="BD44">
        <f t="shared" si="33"/>
        <v>4989.4761461945391</v>
      </c>
      <c r="BE44">
        <f t="shared" si="34"/>
        <v>75028.622241521123</v>
      </c>
      <c r="BF44">
        <f t="shared" si="35"/>
        <v>69901.273400638398</v>
      </c>
      <c r="BG44">
        <f t="shared" si="36"/>
        <v>64844.618921347326</v>
      </c>
      <c r="BH44">
        <f t="shared" si="37"/>
        <v>59910.338699372318</v>
      </c>
      <c r="BI44">
        <f t="shared" si="38"/>
        <v>55177.457020083944</v>
      </c>
      <c r="BJ44">
        <f t="shared" si="39"/>
        <v>50764.615841121791</v>
      </c>
      <c r="BK44">
        <f t="shared" si="40"/>
        <v>46840.461489650246</v>
      </c>
      <c r="BL44">
        <f t="shared" si="41"/>
        <v>43640.670475141706</v>
      </c>
      <c r="BM44">
        <f t="shared" si="42"/>
        <v>41482.504679461395</v>
      </c>
      <c r="BO44">
        <v>76498.25</v>
      </c>
      <c r="BP44">
        <v>72581.88</v>
      </c>
      <c r="BQ44">
        <v>67893.98</v>
      </c>
      <c r="BR44">
        <v>62674.44</v>
      </c>
      <c r="BS44">
        <v>57147.44</v>
      </c>
      <c r="BT44">
        <v>51504.29</v>
      </c>
      <c r="BU44">
        <v>45887.89</v>
      </c>
      <c r="BV44">
        <v>40374.14</v>
      </c>
      <c r="BW44">
        <v>34935.79</v>
      </c>
      <c r="BY44">
        <f t="shared" si="43"/>
        <v>0.98042703981249157</v>
      </c>
    </row>
    <row r="45" spans="1:77" x14ac:dyDescent="0.3">
      <c r="A45" s="7" t="s">
        <v>133</v>
      </c>
      <c r="B45">
        <v>257.64999999999998</v>
      </c>
      <c r="C45">
        <v>582</v>
      </c>
      <c r="E45">
        <v>257.64999999999998</v>
      </c>
      <c r="F45">
        <v>293.68889999999999</v>
      </c>
      <c r="G45">
        <v>329.7278</v>
      </c>
      <c r="H45">
        <v>365.76670000000001</v>
      </c>
      <c r="I45">
        <v>401.80560000000003</v>
      </c>
      <c r="J45">
        <v>437.84440000000001</v>
      </c>
      <c r="K45">
        <v>473.88330000000002</v>
      </c>
      <c r="L45">
        <v>509.92219999999998</v>
      </c>
      <c r="M45">
        <v>545.96109999999999</v>
      </c>
      <c r="N45">
        <v>582</v>
      </c>
      <c r="O45">
        <v>9.6005900000000005E-2</v>
      </c>
      <c r="P45">
        <v>7.1440039999999998</v>
      </c>
      <c r="Q45">
        <v>165.84370000000001</v>
      </c>
      <c r="R45">
        <v>1737.32</v>
      </c>
      <c r="S45">
        <v>10376.4</v>
      </c>
      <c r="T45">
        <v>41285.75</v>
      </c>
      <c r="U45">
        <v>121943</v>
      </c>
      <c r="V45">
        <v>289211</v>
      </c>
      <c r="W45">
        <v>584476</v>
      </c>
      <c r="X45">
        <v>1054910</v>
      </c>
      <c r="AA45">
        <f t="shared" si="4"/>
        <v>3.881234232485931E-3</v>
      </c>
      <c r="AB45">
        <f t="shared" si="5"/>
        <v>3.4049635515676622E-3</v>
      </c>
      <c r="AC45">
        <f t="shared" si="6"/>
        <v>3.0328046346107303E-3</v>
      </c>
      <c r="AD45">
        <f t="shared" si="7"/>
        <v>2.7339831646784685E-3</v>
      </c>
      <c r="AE45">
        <f t="shared" si="8"/>
        <v>2.4887657115779372E-3</v>
      </c>
      <c r="AF45">
        <f t="shared" si="9"/>
        <v>2.2839163867346482E-3</v>
      </c>
      <c r="AG45">
        <f t="shared" si="10"/>
        <v>2.1102241838866233E-3</v>
      </c>
      <c r="AH45">
        <f t="shared" si="11"/>
        <v>1.9610834750869838E-3</v>
      </c>
      <c r="AI45">
        <f t="shared" si="12"/>
        <v>1.8316323269185295E-3</v>
      </c>
      <c r="AJ45">
        <f t="shared" si="13"/>
        <v>1.718213058419244E-3</v>
      </c>
      <c r="AK45">
        <f t="shared" si="14"/>
        <v>-2.3433456310694534</v>
      </c>
      <c r="AL45">
        <f t="shared" si="15"/>
        <v>1.9662734034844556</v>
      </c>
      <c r="AM45">
        <f t="shared" si="16"/>
        <v>5.1110457785395234</v>
      </c>
      <c r="AN45">
        <f t="shared" si="17"/>
        <v>7.4600989749500926</v>
      </c>
      <c r="AO45">
        <f t="shared" si="18"/>
        <v>9.247289275754385</v>
      </c>
      <c r="AP45">
        <f t="shared" si="19"/>
        <v>10.628272683090785</v>
      </c>
      <c r="AQ45">
        <f t="shared" si="20"/>
        <v>11.711309001422585</v>
      </c>
      <c r="AR45">
        <f t="shared" si="21"/>
        <v>12.574911804504671</v>
      </c>
      <c r="AS45">
        <f t="shared" si="22"/>
        <v>13.278470998315573</v>
      </c>
      <c r="AT45">
        <f t="shared" si="23"/>
        <v>13.868966013196493</v>
      </c>
      <c r="AU45">
        <f t="shared" si="24"/>
        <v>0.99258648831656759</v>
      </c>
      <c r="AV45">
        <f t="shared" si="25"/>
        <v>9048.6759047287815</v>
      </c>
      <c r="AW45">
        <f t="shared" si="26"/>
        <v>8450.0793391415555</v>
      </c>
      <c r="AX45">
        <f t="shared" si="27"/>
        <v>7861.0589692335789</v>
      </c>
      <c r="AY45">
        <f t="shared" si="28"/>
        <v>7288.1855602325404</v>
      </c>
      <c r="AZ45">
        <f t="shared" si="29"/>
        <v>6741.4594038465139</v>
      </c>
      <c r="BA45">
        <f t="shared" si="30"/>
        <v>6235.3767214261325</v>
      </c>
      <c r="BB45">
        <f t="shared" si="31"/>
        <v>5790.5236607281959</v>
      </c>
      <c r="BC45">
        <f t="shared" si="32"/>
        <v>5434.9397727655742</v>
      </c>
      <c r="BD45">
        <f t="shared" si="33"/>
        <v>5206.3024448499236</v>
      </c>
      <c r="BE45">
        <f t="shared" si="34"/>
        <v>75230.691471915095</v>
      </c>
      <c r="BF45">
        <f t="shared" si="35"/>
        <v>70253.959625622898</v>
      </c>
      <c r="BG45">
        <f t="shared" si="36"/>
        <v>65356.844270207977</v>
      </c>
      <c r="BH45">
        <f t="shared" si="37"/>
        <v>60593.97474777334</v>
      </c>
      <c r="BI45">
        <f t="shared" si="38"/>
        <v>56048.493483579914</v>
      </c>
      <c r="BJ45">
        <f t="shared" si="39"/>
        <v>51840.922061936864</v>
      </c>
      <c r="BK45">
        <f t="shared" si="40"/>
        <v>48142.41371529422</v>
      </c>
      <c r="BL45">
        <f t="shared" si="41"/>
        <v>45186.089270772987</v>
      </c>
      <c r="BM45">
        <f t="shared" si="42"/>
        <v>43285.198526482265</v>
      </c>
      <c r="BO45">
        <v>85560.79</v>
      </c>
      <c r="BP45">
        <v>81318.460000000006</v>
      </c>
      <c r="BQ45">
        <v>76520.52</v>
      </c>
      <c r="BR45">
        <v>71225.350000000006</v>
      </c>
      <c r="BS45">
        <v>65642.570000000007</v>
      </c>
      <c r="BT45">
        <v>59955.7</v>
      </c>
      <c r="BU45">
        <v>54311.42</v>
      </c>
      <c r="BV45">
        <v>48809.01</v>
      </c>
      <c r="BW45">
        <v>43484.36</v>
      </c>
      <c r="BY45">
        <f t="shared" si="43"/>
        <v>0.98021578026512379</v>
      </c>
    </row>
    <row r="46" spans="1:77" x14ac:dyDescent="0.3">
      <c r="A46" s="7" t="s">
        <v>136</v>
      </c>
      <c r="B46">
        <v>280.05</v>
      </c>
      <c r="C46">
        <v>608</v>
      </c>
      <c r="E46">
        <v>280.05</v>
      </c>
      <c r="F46">
        <v>316.4889</v>
      </c>
      <c r="G46">
        <v>352.92779999999999</v>
      </c>
      <c r="H46">
        <v>389.36669999999998</v>
      </c>
      <c r="I46">
        <v>425.80560000000003</v>
      </c>
      <c r="J46">
        <v>462.24439999999998</v>
      </c>
      <c r="K46">
        <v>498.68329999999997</v>
      </c>
      <c r="L46">
        <v>535.12220000000002</v>
      </c>
      <c r="M46">
        <v>571.56110000000001</v>
      </c>
      <c r="N46">
        <v>608</v>
      </c>
      <c r="O46">
        <v>0.15055540000000001</v>
      </c>
      <c r="P46">
        <v>8.2596950000000007</v>
      </c>
      <c r="Q46">
        <v>159.8261</v>
      </c>
      <c r="R46">
        <v>1496.23</v>
      </c>
      <c r="S46">
        <v>8323.6820000000007</v>
      </c>
      <c r="T46">
        <v>31651.34</v>
      </c>
      <c r="U46">
        <v>90857.71</v>
      </c>
      <c r="V46">
        <v>211877</v>
      </c>
      <c r="W46">
        <v>424702</v>
      </c>
      <c r="X46">
        <v>765749</v>
      </c>
      <c r="AA46">
        <f t="shared" si="4"/>
        <v>3.5707909301910374E-3</v>
      </c>
      <c r="AB46">
        <f t="shared" si="5"/>
        <v>3.159668474944935E-3</v>
      </c>
      <c r="AC46">
        <f t="shared" si="6"/>
        <v>2.8334407207366492E-3</v>
      </c>
      <c r="AD46">
        <f t="shared" si="7"/>
        <v>2.5682730444077525E-3</v>
      </c>
      <c r="AE46">
        <f t="shared" si="8"/>
        <v>2.3484895454639393E-3</v>
      </c>
      <c r="AF46">
        <f t="shared" si="9"/>
        <v>2.163357738893105E-3</v>
      </c>
      <c r="AG46">
        <f t="shared" si="10"/>
        <v>2.0052807062117383E-3</v>
      </c>
      <c r="AH46">
        <f t="shared" si="11"/>
        <v>1.8687320391491886E-3</v>
      </c>
      <c r="AI46">
        <f t="shared" si="12"/>
        <v>1.7495942253592835E-3</v>
      </c>
      <c r="AJ46">
        <f t="shared" si="13"/>
        <v>1.6447368421052631E-3</v>
      </c>
      <c r="AK46">
        <f t="shared" si="14"/>
        <v>-1.893424156215421</v>
      </c>
      <c r="AL46">
        <f t="shared" si="15"/>
        <v>2.1113876619116771</v>
      </c>
      <c r="AM46">
        <f t="shared" si="16"/>
        <v>5.0740863491568708</v>
      </c>
      <c r="AN46">
        <f t="shared" si="17"/>
        <v>7.310703890032638</v>
      </c>
      <c r="AO46">
        <f t="shared" si="18"/>
        <v>9.0268599839966583</v>
      </c>
      <c r="AP46">
        <f t="shared" si="19"/>
        <v>10.362535764748761</v>
      </c>
      <c r="AQ46">
        <f t="shared" si="20"/>
        <v>11.417049935385828</v>
      </c>
      <c r="AR46">
        <f t="shared" si="21"/>
        <v>12.263761196600324</v>
      </c>
      <c r="AS46">
        <f t="shared" si="22"/>
        <v>12.959143025496774</v>
      </c>
      <c r="AT46">
        <f t="shared" si="23"/>
        <v>13.548609718784929</v>
      </c>
      <c r="AU46">
        <f t="shared" si="24"/>
        <v>0.99235642174741412</v>
      </c>
      <c r="AV46">
        <f t="shared" si="25"/>
        <v>9741.1653560245813</v>
      </c>
      <c r="AW46">
        <f t="shared" si="26"/>
        <v>9081.6880201848398</v>
      </c>
      <c r="AX46">
        <f t="shared" si="27"/>
        <v>8434.7291941481308</v>
      </c>
      <c r="AY46">
        <f t="shared" si="28"/>
        <v>7808.3937247843569</v>
      </c>
      <c r="AZ46">
        <f t="shared" si="29"/>
        <v>7214.728822089538</v>
      </c>
      <c r="BA46">
        <f t="shared" si="30"/>
        <v>6670.8879383043168</v>
      </c>
      <c r="BB46">
        <f t="shared" si="31"/>
        <v>6200.8020981020463</v>
      </c>
      <c r="BC46">
        <f t="shared" si="32"/>
        <v>5836.7852050964138</v>
      </c>
      <c r="BD46">
        <f t="shared" si="33"/>
        <v>5621.6040777992093</v>
      </c>
      <c r="BE46">
        <f t="shared" si="34"/>
        <v>80988.048769988367</v>
      </c>
      <c r="BF46">
        <f t="shared" si="35"/>
        <v>75505.154199816752</v>
      </c>
      <c r="BG46">
        <f t="shared" si="36"/>
        <v>70126.338520147561</v>
      </c>
      <c r="BH46">
        <f t="shared" si="37"/>
        <v>64918.985427857144</v>
      </c>
      <c r="BI46">
        <f t="shared" si="38"/>
        <v>59983.255426852418</v>
      </c>
      <c r="BJ46">
        <f t="shared" si="39"/>
        <v>55461.762319062087</v>
      </c>
      <c r="BK46">
        <f t="shared" si="40"/>
        <v>51553.468643620414</v>
      </c>
      <c r="BL46">
        <f t="shared" si="41"/>
        <v>48527.032195171589</v>
      </c>
      <c r="BM46">
        <f t="shared" si="42"/>
        <v>46738.016302822623</v>
      </c>
      <c r="BO46">
        <v>95544.04</v>
      </c>
      <c r="BP46">
        <v>89691.51</v>
      </c>
      <c r="BQ46">
        <v>83303.34</v>
      </c>
      <c r="BR46">
        <v>76600.34</v>
      </c>
      <c r="BS46">
        <v>69858.460000000006</v>
      </c>
      <c r="BT46">
        <v>63304.88</v>
      </c>
      <c r="BU46">
        <v>57111.77</v>
      </c>
      <c r="BV46">
        <v>51393.23</v>
      </c>
      <c r="BW46">
        <v>46199.59</v>
      </c>
      <c r="BY46">
        <f t="shared" si="43"/>
        <v>0.98947998789882874</v>
      </c>
    </row>
    <row r="47" spans="1:77" x14ac:dyDescent="0.3">
      <c r="A47" s="6" t="s">
        <v>139</v>
      </c>
      <c r="B47">
        <v>296.95</v>
      </c>
      <c r="C47">
        <v>648</v>
      </c>
      <c r="E47">
        <v>296.95</v>
      </c>
      <c r="F47">
        <v>335.9556</v>
      </c>
      <c r="G47">
        <v>374.96109999999999</v>
      </c>
      <c r="H47">
        <v>413.9667</v>
      </c>
      <c r="I47">
        <v>452.97219999999999</v>
      </c>
      <c r="J47">
        <v>491.9778</v>
      </c>
      <c r="K47">
        <v>530.98329999999999</v>
      </c>
      <c r="L47">
        <v>569.98889999999994</v>
      </c>
      <c r="M47">
        <v>608.99440000000004</v>
      </c>
      <c r="N47">
        <v>648</v>
      </c>
      <c r="O47">
        <v>0.1026975</v>
      </c>
      <c r="P47">
        <v>7.0043160000000002</v>
      </c>
      <c r="Q47">
        <v>151.98920000000001</v>
      </c>
      <c r="R47">
        <v>1495.683</v>
      </c>
      <c r="S47">
        <v>8402.1830000000009</v>
      </c>
      <c r="T47">
        <v>31521.09</v>
      </c>
      <c r="U47">
        <v>88329.91</v>
      </c>
      <c r="V47">
        <v>201051</v>
      </c>
      <c r="W47">
        <v>397026</v>
      </c>
      <c r="X47">
        <v>718417</v>
      </c>
      <c r="AA47">
        <f t="shared" si="4"/>
        <v>3.3675702980299716E-3</v>
      </c>
      <c r="AB47">
        <f t="shared" si="5"/>
        <v>2.9765838104797182E-3</v>
      </c>
      <c r="AC47">
        <f t="shared" si="6"/>
        <v>2.6669433175868112E-3</v>
      </c>
      <c r="AD47">
        <f t="shared" si="7"/>
        <v>2.4156532397412644E-3</v>
      </c>
      <c r="AE47">
        <f t="shared" si="8"/>
        <v>2.2076409987191268E-3</v>
      </c>
      <c r="AF47">
        <f t="shared" si="9"/>
        <v>2.0326120406245975E-3</v>
      </c>
      <c r="AG47">
        <f t="shared" si="10"/>
        <v>1.8832984012868202E-3</v>
      </c>
      <c r="AH47">
        <f t="shared" si="11"/>
        <v>1.7544201299358637E-3</v>
      </c>
      <c r="AI47">
        <f t="shared" si="12"/>
        <v>1.6420512241163464E-3</v>
      </c>
      <c r="AJ47">
        <f t="shared" si="13"/>
        <v>1.5432098765432098E-3</v>
      </c>
      <c r="AK47">
        <f t="shared" si="14"/>
        <v>-2.2759675050897759</v>
      </c>
      <c r="AL47">
        <f t="shared" si="15"/>
        <v>1.9465265304818173</v>
      </c>
      <c r="AM47">
        <f t="shared" si="16"/>
        <v>5.0238094656903396</v>
      </c>
      <c r="AN47">
        <f t="shared" si="17"/>
        <v>7.3103382376850634</v>
      </c>
      <c r="AO47">
        <f t="shared" si="18"/>
        <v>9.0362468320205807</v>
      </c>
      <c r="AP47">
        <f t="shared" si="19"/>
        <v>10.358412124592173</v>
      </c>
      <c r="AQ47">
        <f t="shared" si="20"/>
        <v>11.388834060832284</v>
      </c>
      <c r="AR47">
        <f t="shared" si="21"/>
        <v>12.211313886200143</v>
      </c>
      <c r="AS47">
        <f t="shared" si="22"/>
        <v>12.891757048708753</v>
      </c>
      <c r="AT47">
        <f t="shared" si="23"/>
        <v>13.484805459387252</v>
      </c>
      <c r="AU47">
        <f t="shared" si="24"/>
        <v>0.98994102772834736</v>
      </c>
      <c r="AV47">
        <f t="shared" si="25"/>
        <v>10799.590702041529</v>
      </c>
      <c r="AW47">
        <f t="shared" si="26"/>
        <v>9938.2445314503457</v>
      </c>
      <c r="AX47">
        <f t="shared" si="27"/>
        <v>9099.1605860384116</v>
      </c>
      <c r="AY47">
        <f t="shared" si="28"/>
        <v>8297.1491766767613</v>
      </c>
      <c r="AZ47">
        <f t="shared" si="29"/>
        <v>7553.9802496997072</v>
      </c>
      <c r="BA47">
        <f t="shared" si="30"/>
        <v>6901.0570019600927</v>
      </c>
      <c r="BB47">
        <f t="shared" si="31"/>
        <v>6381.8347091893611</v>
      </c>
      <c r="BC47">
        <f t="shared" si="32"/>
        <v>6055.4399595339264</v>
      </c>
      <c r="BD47">
        <f t="shared" si="33"/>
        <v>6000.0032905225098</v>
      </c>
      <c r="BE47">
        <f t="shared" si="34"/>
        <v>89787.797096773269</v>
      </c>
      <c r="BF47">
        <f t="shared" si="35"/>
        <v>82626.565034478175</v>
      </c>
      <c r="BG47">
        <f t="shared" si="36"/>
        <v>75650.421112323354</v>
      </c>
      <c r="BH47">
        <f t="shared" si="37"/>
        <v>68982.498254890597</v>
      </c>
      <c r="BI47">
        <f t="shared" si="38"/>
        <v>62803.791796003366</v>
      </c>
      <c r="BJ47">
        <f t="shared" si="39"/>
        <v>57375.387914296211</v>
      </c>
      <c r="BK47">
        <f t="shared" si="40"/>
        <v>53058.573772200347</v>
      </c>
      <c r="BL47">
        <f t="shared" si="41"/>
        <v>50344.927823565064</v>
      </c>
      <c r="BM47">
        <f t="shared" si="42"/>
        <v>49884.027357404149</v>
      </c>
      <c r="BO47">
        <v>94483.26</v>
      </c>
      <c r="BP47">
        <v>88411.39</v>
      </c>
      <c r="BQ47">
        <v>81856.759999999995</v>
      </c>
      <c r="BR47">
        <v>75097.23</v>
      </c>
      <c r="BS47">
        <v>68380.710000000006</v>
      </c>
      <c r="BT47">
        <v>61903.25</v>
      </c>
      <c r="BU47">
        <v>55802.16</v>
      </c>
      <c r="BV47">
        <v>50146.98</v>
      </c>
      <c r="BW47">
        <v>44913.95</v>
      </c>
      <c r="BY47">
        <f t="shared" si="43"/>
        <v>0.97361141059407474</v>
      </c>
    </row>
    <row r="48" spans="1:77" x14ac:dyDescent="0.3">
      <c r="A48" s="6" t="s">
        <v>142</v>
      </c>
      <c r="B48">
        <v>303.75</v>
      </c>
      <c r="C48">
        <v>662</v>
      </c>
      <c r="E48">
        <v>303.75</v>
      </c>
      <c r="F48">
        <v>343.55560000000003</v>
      </c>
      <c r="G48">
        <v>383.36110000000002</v>
      </c>
      <c r="H48">
        <v>423.16669999999999</v>
      </c>
      <c r="I48">
        <v>462.97219999999999</v>
      </c>
      <c r="J48">
        <v>502.77780000000001</v>
      </c>
      <c r="K48">
        <v>542.58330000000001</v>
      </c>
      <c r="L48">
        <v>582.38890000000004</v>
      </c>
      <c r="M48">
        <v>622.19439999999997</v>
      </c>
      <c r="N48">
        <v>662</v>
      </c>
      <c r="O48">
        <v>0.102835</v>
      </c>
      <c r="P48">
        <v>6.5399580000000004</v>
      </c>
      <c r="Q48">
        <v>136.79499999999999</v>
      </c>
      <c r="R48">
        <v>1325.482</v>
      </c>
      <c r="S48">
        <v>7433.0280000000002</v>
      </c>
      <c r="T48">
        <v>28079.57</v>
      </c>
      <c r="U48">
        <v>79638.81</v>
      </c>
      <c r="V48">
        <v>183890</v>
      </c>
      <c r="W48">
        <v>368392</v>
      </c>
      <c r="X48">
        <v>674844</v>
      </c>
      <c r="AA48">
        <f t="shared" si="4"/>
        <v>3.2921810699588477E-3</v>
      </c>
      <c r="AB48">
        <f t="shared" si="5"/>
        <v>2.910737010253944E-3</v>
      </c>
      <c r="AC48">
        <f t="shared" si="6"/>
        <v>2.6085067055577624E-3</v>
      </c>
      <c r="AD48">
        <f t="shared" si="7"/>
        <v>2.3631349064092235E-3</v>
      </c>
      <c r="AE48">
        <f t="shared" si="8"/>
        <v>2.1599569045398408E-3</v>
      </c>
      <c r="AF48">
        <f t="shared" si="9"/>
        <v>1.9889501883336934E-3</v>
      </c>
      <c r="AG48">
        <f t="shared" si="10"/>
        <v>1.8430349773021026E-3</v>
      </c>
      <c r="AH48">
        <f t="shared" si="11"/>
        <v>1.7170656927012172E-3</v>
      </c>
      <c r="AI48">
        <f t="shared" si="12"/>
        <v>1.6072147226011677E-3</v>
      </c>
      <c r="AJ48">
        <f t="shared" si="13"/>
        <v>1.5105740181268882E-3</v>
      </c>
      <c r="AK48">
        <f t="shared" si="14"/>
        <v>-2.2746295169807142</v>
      </c>
      <c r="AL48">
        <f t="shared" si="15"/>
        <v>1.8779307434301376</v>
      </c>
      <c r="AM48">
        <f t="shared" si="16"/>
        <v>4.9184834548128906</v>
      </c>
      <c r="AN48">
        <f t="shared" si="17"/>
        <v>7.1895314458556596</v>
      </c>
      <c r="AO48">
        <f t="shared" si="18"/>
        <v>8.9136885917032647</v>
      </c>
      <c r="AP48">
        <f t="shared" si="19"/>
        <v>10.242797544632182</v>
      </c>
      <c r="AQ48">
        <f t="shared" si="20"/>
        <v>11.285256815826417</v>
      </c>
      <c r="AR48">
        <f t="shared" si="21"/>
        <v>12.122093031734899</v>
      </c>
      <c r="AS48">
        <f t="shared" si="22"/>
        <v>12.816902867600902</v>
      </c>
      <c r="AT48">
        <f t="shared" si="23"/>
        <v>13.422236832033267</v>
      </c>
      <c r="AU48">
        <f t="shared" si="24"/>
        <v>0.99107349617234641</v>
      </c>
      <c r="AV48">
        <f t="shared" si="25"/>
        <v>10886.42005232273</v>
      </c>
      <c r="AW48">
        <f t="shared" si="26"/>
        <v>10060.383304180175</v>
      </c>
      <c r="AX48">
        <f t="shared" si="27"/>
        <v>9255.5379180635264</v>
      </c>
      <c r="AY48">
        <f t="shared" si="28"/>
        <v>8485.943999764384</v>
      </c>
      <c r="AZ48">
        <f t="shared" si="29"/>
        <v>7772.2617123802693</v>
      </c>
      <c r="BA48">
        <f t="shared" si="30"/>
        <v>7144.2810096648582</v>
      </c>
      <c r="BB48">
        <f t="shared" si="31"/>
        <v>6643.176696286484</v>
      </c>
      <c r="BC48">
        <f t="shared" si="32"/>
        <v>6325.0223027906659</v>
      </c>
      <c r="BD48">
        <f t="shared" si="33"/>
        <v>6263.7577791402773</v>
      </c>
      <c r="BE48">
        <f t="shared" si="34"/>
        <v>90509.696315011184</v>
      </c>
      <c r="BF48">
        <f t="shared" si="35"/>
        <v>83642.026790953983</v>
      </c>
      <c r="BG48">
        <f t="shared" si="36"/>
        <v>76950.542250780156</v>
      </c>
      <c r="BH48">
        <f t="shared" si="37"/>
        <v>70552.138414041096</v>
      </c>
      <c r="BI48">
        <f t="shared" si="38"/>
        <v>64618.583876729557</v>
      </c>
      <c r="BJ48">
        <f t="shared" si="39"/>
        <v>59397.552314353634</v>
      </c>
      <c r="BK48">
        <f t="shared" si="40"/>
        <v>55231.371052925831</v>
      </c>
      <c r="BL48">
        <f t="shared" si="41"/>
        <v>52586.235425401595</v>
      </c>
      <c r="BM48">
        <f t="shared" si="42"/>
        <v>52076.882175772269</v>
      </c>
      <c r="BO48">
        <v>93464.26</v>
      </c>
      <c r="BP48">
        <v>87163.520000000004</v>
      </c>
      <c r="BQ48">
        <v>80409.17</v>
      </c>
      <c r="BR48">
        <v>73500.990000000005</v>
      </c>
      <c r="BS48">
        <v>66690.720000000001</v>
      </c>
      <c r="BT48">
        <v>60171.97</v>
      </c>
      <c r="BU48">
        <v>54072.65</v>
      </c>
      <c r="BV48">
        <v>48442.33</v>
      </c>
      <c r="BW48">
        <v>43211.199999999997</v>
      </c>
      <c r="BY48">
        <f t="shared" si="43"/>
        <v>0.97644763059419559</v>
      </c>
    </row>
    <row r="49" spans="1:77" x14ac:dyDescent="0.3">
      <c r="A49" s="6" t="s">
        <v>145</v>
      </c>
      <c r="B49">
        <v>317.05</v>
      </c>
      <c r="C49">
        <v>687</v>
      </c>
      <c r="E49">
        <v>317.05</v>
      </c>
      <c r="F49">
        <v>358.15559999999999</v>
      </c>
      <c r="G49">
        <v>399.2611</v>
      </c>
      <c r="H49">
        <v>440.36669999999998</v>
      </c>
      <c r="I49">
        <v>481.47219999999999</v>
      </c>
      <c r="J49">
        <v>522.57780000000002</v>
      </c>
      <c r="K49">
        <v>563.68330000000003</v>
      </c>
      <c r="L49">
        <v>604.78890000000001</v>
      </c>
      <c r="M49">
        <v>645.89440000000002</v>
      </c>
      <c r="N49">
        <v>687</v>
      </c>
      <c r="O49">
        <v>6.8152400000000002E-2</v>
      </c>
      <c r="P49">
        <v>4.5800020000000004</v>
      </c>
      <c r="Q49">
        <v>100.271</v>
      </c>
      <c r="R49">
        <v>1008.237</v>
      </c>
      <c r="S49">
        <v>5825.9949999999999</v>
      </c>
      <c r="T49">
        <v>22554.98</v>
      </c>
      <c r="U49">
        <v>65302.29</v>
      </c>
      <c r="V49">
        <v>153552</v>
      </c>
      <c r="W49">
        <v>312928</v>
      </c>
      <c r="X49">
        <v>583349</v>
      </c>
      <c r="AA49">
        <f t="shared" si="4"/>
        <v>3.1540766440624505E-3</v>
      </c>
      <c r="AB49">
        <f t="shared" si="5"/>
        <v>2.7920825473620962E-3</v>
      </c>
      <c r="AC49">
        <f t="shared" si="6"/>
        <v>2.5046266716191486E-3</v>
      </c>
      <c r="AD49">
        <f t="shared" si="7"/>
        <v>2.270834738412328E-3</v>
      </c>
      <c r="AE49">
        <f t="shared" si="8"/>
        <v>2.0769631143812664E-3</v>
      </c>
      <c r="AF49">
        <f t="shared" si="9"/>
        <v>1.913590665351647E-3</v>
      </c>
      <c r="AG49">
        <f t="shared" si="10"/>
        <v>1.7740458161524387E-3</v>
      </c>
      <c r="AH49">
        <f t="shared" si="11"/>
        <v>1.6534694998535852E-3</v>
      </c>
      <c r="AI49">
        <f t="shared" si="12"/>
        <v>1.5482407031242259E-3</v>
      </c>
      <c r="AJ49">
        <f t="shared" si="13"/>
        <v>1.455604075691412E-3</v>
      </c>
      <c r="AK49">
        <f t="shared" si="14"/>
        <v>-2.6860089050253433</v>
      </c>
      <c r="AL49">
        <f t="shared" si="15"/>
        <v>1.521699434807221</v>
      </c>
      <c r="AM49">
        <f t="shared" si="16"/>
        <v>4.6078765205588068</v>
      </c>
      <c r="AN49">
        <f t="shared" si="17"/>
        <v>6.9159585400427819</v>
      </c>
      <c r="AO49">
        <f t="shared" si="18"/>
        <v>8.6700850792972464</v>
      </c>
      <c r="AP49">
        <f t="shared" si="19"/>
        <v>10.023711163120755</v>
      </c>
      <c r="AQ49">
        <f t="shared" si="20"/>
        <v>11.086782383562333</v>
      </c>
      <c r="AR49">
        <f t="shared" si="21"/>
        <v>11.941794550857409</v>
      </c>
      <c r="AS49">
        <f t="shared" si="22"/>
        <v>12.653728411112002</v>
      </c>
      <c r="AT49">
        <f t="shared" si="23"/>
        <v>13.276540914013797</v>
      </c>
      <c r="AU49">
        <f t="shared" si="24"/>
        <v>0.99106496732127281</v>
      </c>
      <c r="AV49">
        <f t="shared" si="25"/>
        <v>11623.693254079644</v>
      </c>
      <c r="AW49">
        <f t="shared" si="26"/>
        <v>10736.176735908315</v>
      </c>
      <c r="AX49">
        <f t="shared" si="27"/>
        <v>9872.376637743806</v>
      </c>
      <c r="AY49">
        <f t="shared" si="28"/>
        <v>9047.8766452867949</v>
      </c>
      <c r="AZ49">
        <f t="shared" si="29"/>
        <v>8285.5223868138019</v>
      </c>
      <c r="BA49">
        <f t="shared" si="30"/>
        <v>7618.132998402426</v>
      </c>
      <c r="BB49">
        <f t="shared" si="31"/>
        <v>7091.0456840951438</v>
      </c>
      <c r="BC49">
        <f t="shared" si="32"/>
        <v>6765.5801679993956</v>
      </c>
      <c r="BD49">
        <f t="shared" si="33"/>
        <v>6723.177647561688</v>
      </c>
      <c r="BE49">
        <f t="shared" si="34"/>
        <v>96639.385714418167</v>
      </c>
      <c r="BF49">
        <f t="shared" si="35"/>
        <v>89260.573382341739</v>
      </c>
      <c r="BG49">
        <f t="shared" si="36"/>
        <v>82078.939366202001</v>
      </c>
      <c r="BH49">
        <f t="shared" si="37"/>
        <v>75224.046428914415</v>
      </c>
      <c r="BI49">
        <f t="shared" si="38"/>
        <v>68885.833123969947</v>
      </c>
      <c r="BJ49">
        <f t="shared" si="39"/>
        <v>63337.157748717771</v>
      </c>
      <c r="BK49">
        <f t="shared" si="40"/>
        <v>58954.953817567024</v>
      </c>
      <c r="BL49">
        <f t="shared" si="41"/>
        <v>56249.033516746975</v>
      </c>
      <c r="BM49">
        <f t="shared" si="42"/>
        <v>55896.498961827878</v>
      </c>
      <c r="BO49">
        <v>99731.22</v>
      </c>
      <c r="BP49">
        <v>93005.28</v>
      </c>
      <c r="BQ49">
        <v>85792.92</v>
      </c>
      <c r="BR49">
        <v>78422.47</v>
      </c>
      <c r="BS49">
        <v>71169.63</v>
      </c>
      <c r="BT49">
        <v>64246.76</v>
      </c>
      <c r="BU49">
        <v>57795.33</v>
      </c>
      <c r="BV49">
        <v>51872.959999999999</v>
      </c>
      <c r="BW49">
        <v>46409.35</v>
      </c>
      <c r="BY49">
        <f t="shared" si="43"/>
        <v>0.97506597260011973</v>
      </c>
    </row>
    <row r="50" spans="1:77" x14ac:dyDescent="0.3">
      <c r="A50" s="6" t="s">
        <v>148</v>
      </c>
      <c r="B50">
        <v>327.05</v>
      </c>
      <c r="C50">
        <v>719</v>
      </c>
      <c r="E50">
        <v>327.05</v>
      </c>
      <c r="F50">
        <v>370.6</v>
      </c>
      <c r="G50">
        <v>414.15</v>
      </c>
      <c r="H50">
        <v>457.7</v>
      </c>
      <c r="I50">
        <v>501.25</v>
      </c>
      <c r="J50">
        <v>544.79999999999995</v>
      </c>
      <c r="K50">
        <v>588.35</v>
      </c>
      <c r="L50">
        <v>631.9</v>
      </c>
      <c r="M50">
        <v>675.45</v>
      </c>
      <c r="N50">
        <v>719</v>
      </c>
      <c r="O50">
        <v>4.7180300000000001E-2</v>
      </c>
      <c r="P50">
        <v>3.4761829999999998</v>
      </c>
      <c r="Q50">
        <v>81.165649999999999</v>
      </c>
      <c r="R50">
        <v>857.82749999999999</v>
      </c>
      <c r="S50">
        <v>5167.7259999999997</v>
      </c>
      <c r="T50">
        <v>20752.5</v>
      </c>
      <c r="U50">
        <v>62099.22</v>
      </c>
      <c r="V50">
        <v>150453</v>
      </c>
      <c r="W50">
        <v>314947</v>
      </c>
      <c r="X50">
        <v>601011</v>
      </c>
      <c r="AA50">
        <f t="shared" si="4"/>
        <v>3.0576364470264483E-3</v>
      </c>
      <c r="AB50">
        <f t="shared" si="5"/>
        <v>2.6983270372369131E-3</v>
      </c>
      <c r="AC50">
        <f t="shared" si="6"/>
        <v>2.4145840878908608E-3</v>
      </c>
      <c r="AD50">
        <f t="shared" si="7"/>
        <v>2.1848372296263928E-3</v>
      </c>
      <c r="AE50">
        <f t="shared" si="8"/>
        <v>1.99501246882793E-3</v>
      </c>
      <c r="AF50">
        <f t="shared" si="9"/>
        <v>1.8355359765051397E-3</v>
      </c>
      <c r="AG50">
        <f t="shared" si="10"/>
        <v>1.6996685646298972E-3</v>
      </c>
      <c r="AH50">
        <f t="shared" si="11"/>
        <v>1.5825288811520811E-3</v>
      </c>
      <c r="AI50">
        <f t="shared" si="12"/>
        <v>1.4804944851580426E-3</v>
      </c>
      <c r="AJ50">
        <f t="shared" si="13"/>
        <v>1.3908205841446453E-3</v>
      </c>
      <c r="AK50">
        <f t="shared" si="14"/>
        <v>-3.0537788463962872</v>
      </c>
      <c r="AL50">
        <f t="shared" si="15"/>
        <v>1.2459348527377239</v>
      </c>
      <c r="AM50">
        <f t="shared" si="16"/>
        <v>4.3964921281087372</v>
      </c>
      <c r="AN50">
        <f t="shared" si="17"/>
        <v>6.7544030303238634</v>
      </c>
      <c r="AO50">
        <f t="shared" si="18"/>
        <v>8.5501880254810523</v>
      </c>
      <c r="AP50">
        <f t="shared" si="19"/>
        <v>9.9404220003291908</v>
      </c>
      <c r="AQ50">
        <f t="shared" si="20"/>
        <v>11.036488707456215</v>
      </c>
      <c r="AR50">
        <f t="shared" si="21"/>
        <v>11.92140602203885</v>
      </c>
      <c r="AS50">
        <f t="shared" si="22"/>
        <v>12.66015964968323</v>
      </c>
      <c r="AT50">
        <f t="shared" si="23"/>
        <v>13.30636851617847</v>
      </c>
      <c r="AU50">
        <f t="shared" si="24"/>
        <v>0.99224509922360804</v>
      </c>
      <c r="AV50">
        <f t="shared" si="25"/>
        <v>11966.604775679434</v>
      </c>
      <c r="AW50">
        <f t="shared" si="26"/>
        <v>11103.561454591776</v>
      </c>
      <c r="AX50">
        <f t="shared" si="27"/>
        <v>10263.082246377748</v>
      </c>
      <c r="AY50">
        <f t="shared" si="28"/>
        <v>9460.2252498754715</v>
      </c>
      <c r="AZ50">
        <f t="shared" si="29"/>
        <v>8717.4852832492597</v>
      </c>
      <c r="BA50">
        <f t="shared" si="30"/>
        <v>8067.1788179307141</v>
      </c>
      <c r="BB50">
        <f t="shared" si="31"/>
        <v>7554.3768628179796</v>
      </c>
      <c r="BC50">
        <f t="shared" si="32"/>
        <v>7240.2411015158305</v>
      </c>
      <c r="BD50">
        <f t="shared" si="33"/>
        <v>7206.2089325041825</v>
      </c>
      <c r="BE50">
        <f t="shared" si="34"/>
        <v>99490.352104998819</v>
      </c>
      <c r="BF50">
        <f t="shared" si="35"/>
        <v>92315.009933476031</v>
      </c>
      <c r="BG50">
        <f t="shared" si="36"/>
        <v>85327.2657963846</v>
      </c>
      <c r="BH50">
        <f t="shared" si="37"/>
        <v>78652.312727464669</v>
      </c>
      <c r="BI50">
        <f t="shared" si="38"/>
        <v>72477.17264493434</v>
      </c>
      <c r="BJ50">
        <f t="shared" si="39"/>
        <v>67070.524692275954</v>
      </c>
      <c r="BK50">
        <f t="shared" si="40"/>
        <v>62807.089237468681</v>
      </c>
      <c r="BL50">
        <f t="shared" si="41"/>
        <v>60195.364518002614</v>
      </c>
      <c r="BM50">
        <f t="shared" si="42"/>
        <v>59912.421064839771</v>
      </c>
      <c r="BO50">
        <v>102612</v>
      </c>
      <c r="BP50">
        <v>95936.05</v>
      </c>
      <c r="BQ50">
        <v>88914.98</v>
      </c>
      <c r="BR50">
        <v>81783.44</v>
      </c>
      <c r="BS50">
        <v>74733.259999999995</v>
      </c>
      <c r="BT50">
        <v>67903.14</v>
      </c>
      <c r="BU50">
        <v>61364.15</v>
      </c>
      <c r="BV50">
        <v>55087.11</v>
      </c>
      <c r="BW50">
        <v>48844.4</v>
      </c>
      <c r="BY50">
        <f t="shared" si="43"/>
        <v>0.96773271925825377</v>
      </c>
    </row>
    <row r="51" spans="1:77" x14ac:dyDescent="0.3">
      <c r="A51" s="6" t="s">
        <v>151</v>
      </c>
      <c r="B51">
        <v>146.94999999999999</v>
      </c>
      <c r="C51">
        <v>466</v>
      </c>
      <c r="E51">
        <v>146.94999999999999</v>
      </c>
      <c r="F51">
        <v>182.4</v>
      </c>
      <c r="G51">
        <v>217.85</v>
      </c>
      <c r="H51">
        <v>253.3</v>
      </c>
      <c r="I51">
        <v>288.75</v>
      </c>
      <c r="J51">
        <v>324.2</v>
      </c>
      <c r="K51">
        <v>359.65</v>
      </c>
      <c r="L51">
        <v>395.1</v>
      </c>
      <c r="M51">
        <v>430.55</v>
      </c>
      <c r="N51">
        <v>466</v>
      </c>
      <c r="O51" s="13">
        <v>4.2753000000000002E-7</v>
      </c>
      <c r="P51">
        <v>3.9595799999999999E-3</v>
      </c>
      <c r="Q51">
        <v>1.4288179999999999</v>
      </c>
      <c r="R51">
        <v>81.589740000000006</v>
      </c>
      <c r="S51">
        <v>1490.711</v>
      </c>
      <c r="T51">
        <v>12887.77</v>
      </c>
      <c r="U51">
        <v>66651.490000000005</v>
      </c>
      <c r="V51">
        <v>239359</v>
      </c>
      <c r="W51">
        <v>659484</v>
      </c>
      <c r="X51">
        <v>1494720</v>
      </c>
      <c r="AA51">
        <f t="shared" si="4"/>
        <v>6.8050357264375647E-3</v>
      </c>
      <c r="AB51">
        <f t="shared" si="5"/>
        <v>5.4824561403508769E-3</v>
      </c>
      <c r="AC51">
        <f t="shared" si="6"/>
        <v>4.590314436538903E-3</v>
      </c>
      <c r="AD51">
        <f t="shared" si="7"/>
        <v>3.9478878799842085E-3</v>
      </c>
      <c r="AE51">
        <f t="shared" si="8"/>
        <v>3.4632034632034632E-3</v>
      </c>
      <c r="AF51">
        <f t="shared" si="9"/>
        <v>3.0845157310302285E-3</v>
      </c>
      <c r="AG51">
        <f t="shared" si="10"/>
        <v>2.7804810232170169E-3</v>
      </c>
      <c r="AH51">
        <f t="shared" si="11"/>
        <v>2.5310048089091366E-3</v>
      </c>
      <c r="AI51">
        <f t="shared" si="12"/>
        <v>2.3226106143305076E-3</v>
      </c>
      <c r="AJ51">
        <f t="shared" si="13"/>
        <v>2.1459227467811159E-3</v>
      </c>
      <c r="AK51">
        <f t="shared" si="14"/>
        <v>-14.665241375593181</v>
      </c>
      <c r="AL51">
        <f t="shared" si="15"/>
        <v>-5.5316173199466325</v>
      </c>
      <c r="AM51">
        <f t="shared" si="16"/>
        <v>0.35684752904506606</v>
      </c>
      <c r="AN51">
        <f t="shared" si="17"/>
        <v>4.4017035187705993</v>
      </c>
      <c r="AO51">
        <f t="shared" si="18"/>
        <v>7.3070084663328112</v>
      </c>
      <c r="AP51">
        <f t="shared" si="19"/>
        <v>9.4640340786392194</v>
      </c>
      <c r="AQ51">
        <f t="shared" si="20"/>
        <v>11.10723268094587</v>
      </c>
      <c r="AR51">
        <f t="shared" si="21"/>
        <v>12.385719795952037</v>
      </c>
      <c r="AS51">
        <f t="shared" si="22"/>
        <v>13.399212990041569</v>
      </c>
      <c r="AT51">
        <f t="shared" si="23"/>
        <v>14.21744945629588</v>
      </c>
      <c r="AU51">
        <f t="shared" si="24"/>
        <v>0.9969215366853873</v>
      </c>
      <c r="AV51">
        <f t="shared" si="25"/>
        <v>6905.9164013498475</v>
      </c>
      <c r="AW51">
        <f t="shared" si="26"/>
        <v>6600.369452331689</v>
      </c>
      <c r="AX51">
        <f t="shared" si="27"/>
        <v>6296.2154170866152</v>
      </c>
      <c r="AY51">
        <f t="shared" si="28"/>
        <v>5994.2198407349924</v>
      </c>
      <c r="AZ51">
        <f t="shared" si="29"/>
        <v>5696.0535793635208</v>
      </c>
      <c r="BA51">
        <f t="shared" si="30"/>
        <v>5404.6415099297647</v>
      </c>
      <c r="BB51">
        <f t="shared" si="31"/>
        <v>5124.6854075971232</v>
      </c>
      <c r="BC51">
        <f t="shared" si="32"/>
        <v>4863.3465828489389</v>
      </c>
      <c r="BD51">
        <f t="shared" si="33"/>
        <v>4630.9714277669846</v>
      </c>
      <c r="BE51">
        <f t="shared" si="34"/>
        <v>57415.788960822632</v>
      </c>
      <c r="BF51">
        <f t="shared" si="35"/>
        <v>54875.471626685663</v>
      </c>
      <c r="BG51">
        <f t="shared" si="36"/>
        <v>52346.734977658118</v>
      </c>
      <c r="BH51">
        <f t="shared" si="37"/>
        <v>49835.943755870729</v>
      </c>
      <c r="BI51">
        <f t="shared" si="38"/>
        <v>47356.989458828313</v>
      </c>
      <c r="BJ51">
        <f t="shared" si="39"/>
        <v>44934.189513556063</v>
      </c>
      <c r="BK51">
        <f t="shared" si="40"/>
        <v>42606.634478762484</v>
      </c>
      <c r="BL51">
        <f t="shared" si="41"/>
        <v>40433.863489806077</v>
      </c>
      <c r="BM51">
        <f t="shared" si="42"/>
        <v>38501.896450454711</v>
      </c>
      <c r="BO51">
        <v>58355.74</v>
      </c>
      <c r="BP51">
        <v>56028.13</v>
      </c>
      <c r="BQ51">
        <v>53680.160000000003</v>
      </c>
      <c r="BR51">
        <v>51248.49</v>
      </c>
      <c r="BS51">
        <v>48660.26</v>
      </c>
      <c r="BT51">
        <v>45828.02</v>
      </c>
      <c r="BU51">
        <v>42641.05</v>
      </c>
      <c r="BV51">
        <v>38949</v>
      </c>
      <c r="BW51">
        <v>34525.29</v>
      </c>
      <c r="BY51">
        <f t="shared" si="43"/>
        <v>0.97752686439557634</v>
      </c>
    </row>
    <row r="52" spans="1:77" x14ac:dyDescent="0.3">
      <c r="A52" s="6" t="s">
        <v>154</v>
      </c>
      <c r="B52">
        <v>195.56</v>
      </c>
      <c r="C52">
        <v>528</v>
      </c>
      <c r="E52">
        <v>195.56</v>
      </c>
      <c r="F52">
        <v>232.49780000000001</v>
      </c>
      <c r="G52">
        <v>269.43560000000002</v>
      </c>
      <c r="H52">
        <v>306.37329999999997</v>
      </c>
      <c r="I52">
        <v>343.31110000000001</v>
      </c>
      <c r="J52">
        <v>380.24889999999999</v>
      </c>
      <c r="K52">
        <v>417.18669999999997</v>
      </c>
      <c r="L52">
        <v>454.12439999999998</v>
      </c>
      <c r="M52">
        <v>491.06220000000002</v>
      </c>
      <c r="N52">
        <v>528</v>
      </c>
      <c r="O52">
        <v>5.4780200000000001E-4</v>
      </c>
      <c r="P52">
        <v>0.33738980000000002</v>
      </c>
      <c r="Q52">
        <v>27.00658</v>
      </c>
      <c r="R52">
        <v>609.19110000000001</v>
      </c>
      <c r="S52">
        <v>5980.2640000000001</v>
      </c>
      <c r="T52">
        <v>33224.879999999997</v>
      </c>
      <c r="U52">
        <v>123663</v>
      </c>
      <c r="V52">
        <v>345668</v>
      </c>
      <c r="W52">
        <v>787186</v>
      </c>
      <c r="X52">
        <v>1552550</v>
      </c>
      <c r="AA52">
        <f t="shared" si="4"/>
        <v>5.1135201472693806E-3</v>
      </c>
      <c r="AB52">
        <f t="shared" si="5"/>
        <v>4.3011159675489397E-3</v>
      </c>
      <c r="AC52">
        <f t="shared" si="6"/>
        <v>3.7114620339702693E-3</v>
      </c>
      <c r="AD52">
        <f t="shared" si="7"/>
        <v>3.2639919993028114E-3</v>
      </c>
      <c r="AE52">
        <f t="shared" si="8"/>
        <v>2.9128099848796034E-3</v>
      </c>
      <c r="AF52">
        <f t="shared" si="9"/>
        <v>2.6298563914320329E-3</v>
      </c>
      <c r="AG52">
        <f t="shared" si="10"/>
        <v>2.3970083418287306E-3</v>
      </c>
      <c r="AH52">
        <f t="shared" si="11"/>
        <v>2.2020397935015165E-3</v>
      </c>
      <c r="AI52">
        <f t="shared" si="12"/>
        <v>2.0364019059092718E-3</v>
      </c>
      <c r="AJ52">
        <f t="shared" si="13"/>
        <v>1.893939393939394E-3</v>
      </c>
      <c r="AK52">
        <f t="shared" si="14"/>
        <v>-7.5095966501744549</v>
      </c>
      <c r="AL52">
        <f t="shared" si="15"/>
        <v>-1.0865163405068492</v>
      </c>
      <c r="AM52">
        <f t="shared" si="16"/>
        <v>3.2960805400171087</v>
      </c>
      <c r="AN52">
        <f t="shared" si="17"/>
        <v>6.412132011590586</v>
      </c>
      <c r="AO52">
        <f t="shared" si="18"/>
        <v>8.6962199931274107</v>
      </c>
      <c r="AP52">
        <f t="shared" si="19"/>
        <v>10.411054271836775</v>
      </c>
      <c r="AQ52">
        <f t="shared" si="20"/>
        <v>11.725315402886217</v>
      </c>
      <c r="AR52">
        <f t="shared" si="21"/>
        <v>12.753234055816733</v>
      </c>
      <c r="AS52">
        <f t="shared" si="22"/>
        <v>13.576219840009188</v>
      </c>
      <c r="AT52">
        <f t="shared" si="23"/>
        <v>14.255409298390328</v>
      </c>
      <c r="AU52">
        <f t="shared" si="24"/>
        <v>0.99417615720928743</v>
      </c>
      <c r="AV52">
        <f t="shared" si="25"/>
        <v>7906.2620183439658</v>
      </c>
      <c r="AW52">
        <f t="shared" si="26"/>
        <v>7432.4898571023286</v>
      </c>
      <c r="AX52">
        <f t="shared" si="27"/>
        <v>6963.7098133044919</v>
      </c>
      <c r="AY52">
        <f t="shared" si="28"/>
        <v>6504.000454830466</v>
      </c>
      <c r="AZ52">
        <f t="shared" si="29"/>
        <v>6060.4788856555469</v>
      </c>
      <c r="BA52">
        <f t="shared" si="30"/>
        <v>5644.2866207748675</v>
      </c>
      <c r="BB52">
        <f t="shared" si="31"/>
        <v>5272.2280683208919</v>
      </c>
      <c r="BC52">
        <f t="shared" si="32"/>
        <v>4968.5841576199091</v>
      </c>
      <c r="BD52">
        <f t="shared" si="33"/>
        <v>4767.496016950392</v>
      </c>
      <c r="BE52">
        <f t="shared" si="34"/>
        <v>65732.662420511726</v>
      </c>
      <c r="BF52">
        <f t="shared" si="35"/>
        <v>61793.720671948759</v>
      </c>
      <c r="BG52">
        <f t="shared" si="36"/>
        <v>57896.28338781355</v>
      </c>
      <c r="BH52">
        <f t="shared" si="37"/>
        <v>54074.259781460496</v>
      </c>
      <c r="BI52">
        <f t="shared" si="38"/>
        <v>50386.821455340221</v>
      </c>
      <c r="BJ52">
        <f t="shared" si="39"/>
        <v>46926.598965122248</v>
      </c>
      <c r="BK52">
        <f t="shared" si="40"/>
        <v>43833.304160019892</v>
      </c>
      <c r="BL52">
        <f t="shared" si="41"/>
        <v>41308.808686451921</v>
      </c>
      <c r="BM52">
        <f t="shared" si="42"/>
        <v>39636.961884925557</v>
      </c>
      <c r="BO52">
        <v>67004.710000000006</v>
      </c>
      <c r="BP52">
        <v>63776.53</v>
      </c>
      <c r="BQ52">
        <v>60144.02</v>
      </c>
      <c r="BR52">
        <v>56194.42</v>
      </c>
      <c r="BS52">
        <v>52003.27</v>
      </c>
      <c r="BT52">
        <v>47625.66</v>
      </c>
      <c r="BU52">
        <v>43083.38</v>
      </c>
      <c r="BV52">
        <v>38340.79</v>
      </c>
      <c r="BW52">
        <v>33247.160000000003</v>
      </c>
      <c r="BY52">
        <f t="shared" si="43"/>
        <v>0.97372447992211164</v>
      </c>
    </row>
    <row r="53" spans="1:77" x14ac:dyDescent="0.3">
      <c r="A53" s="6" t="s">
        <v>156</v>
      </c>
      <c r="B53">
        <v>236.2</v>
      </c>
      <c r="C53">
        <v>590</v>
      </c>
      <c r="E53">
        <v>236.2</v>
      </c>
      <c r="F53">
        <v>275.5111</v>
      </c>
      <c r="G53">
        <v>314.82220000000001</v>
      </c>
      <c r="H53">
        <v>354.13330000000002</v>
      </c>
      <c r="I53">
        <v>393.44439999999997</v>
      </c>
      <c r="J53">
        <v>432.75560000000002</v>
      </c>
      <c r="K53">
        <v>472.06670000000003</v>
      </c>
      <c r="L53">
        <v>511.37779999999998</v>
      </c>
      <c r="M53">
        <v>550.68889999999999</v>
      </c>
      <c r="N53">
        <v>590</v>
      </c>
      <c r="O53">
        <v>0.11267489999999999</v>
      </c>
      <c r="P53">
        <v>8.0058009999999999</v>
      </c>
      <c r="Q53">
        <v>172.8699</v>
      </c>
      <c r="R53">
        <v>1711.7190000000001</v>
      </c>
      <c r="S53">
        <v>9924.4330000000009</v>
      </c>
      <c r="T53">
        <v>39311.660000000003</v>
      </c>
      <c r="U53">
        <v>117830</v>
      </c>
      <c r="V53">
        <v>286790</v>
      </c>
      <c r="W53">
        <v>596242</v>
      </c>
      <c r="X53">
        <v>1099430</v>
      </c>
      <c r="AA53">
        <f t="shared" si="4"/>
        <v>4.2337002540220152E-3</v>
      </c>
      <c r="AB53">
        <f t="shared" si="5"/>
        <v>3.6296178266501783E-3</v>
      </c>
      <c r="AC53">
        <f t="shared" si="6"/>
        <v>3.1763960737203412E-3</v>
      </c>
      <c r="AD53">
        <f t="shared" si="7"/>
        <v>2.8237954465168903E-3</v>
      </c>
      <c r="AE53">
        <f t="shared" si="8"/>
        <v>2.5416551868574062E-3</v>
      </c>
      <c r="AF53">
        <f t="shared" si="9"/>
        <v>2.3107731014919276E-3</v>
      </c>
      <c r="AG53">
        <f t="shared" si="10"/>
        <v>2.1183447169647847E-3</v>
      </c>
      <c r="AH53">
        <f t="shared" si="11"/>
        <v>1.9555013925125417E-3</v>
      </c>
      <c r="AI53">
        <f t="shared" si="12"/>
        <v>1.8159073117326317E-3</v>
      </c>
      <c r="AJ53">
        <f t="shared" si="13"/>
        <v>1.6949152542372881E-3</v>
      </c>
      <c r="AK53">
        <f t="shared" si="14"/>
        <v>-2.1832485979141394</v>
      </c>
      <c r="AL53">
        <f t="shared" si="15"/>
        <v>2.0801664039037258</v>
      </c>
      <c r="AM53">
        <f t="shared" si="16"/>
        <v>5.1525392884651584</v>
      </c>
      <c r="AN53">
        <f t="shared" si="17"/>
        <v>7.4452534077159616</v>
      </c>
      <c r="AO53">
        <f t="shared" si="18"/>
        <v>9.2027549754600226</v>
      </c>
      <c r="AP53">
        <f t="shared" si="19"/>
        <v>10.579276445964911</v>
      </c>
      <c r="AQ53">
        <f t="shared" si="20"/>
        <v>11.676998186707387</v>
      </c>
      <c r="AR53">
        <f t="shared" si="21"/>
        <v>12.56650551959623</v>
      </c>
      <c r="AS53">
        <f t="shared" si="22"/>
        <v>13.298401903903901</v>
      </c>
      <c r="AT53">
        <f t="shared" si="23"/>
        <v>13.910302421647822</v>
      </c>
      <c r="AU53">
        <f t="shared" si="24"/>
        <v>0.9975078705891709</v>
      </c>
      <c r="AV53">
        <f t="shared" si="25"/>
        <v>7057.6709545526355</v>
      </c>
      <c r="AW53">
        <f t="shared" si="26"/>
        <v>6778.9616555255325</v>
      </c>
      <c r="AX53">
        <f t="shared" si="27"/>
        <v>6502.2973368901748</v>
      </c>
      <c r="AY53">
        <f t="shared" si="28"/>
        <v>6229.1768280967563</v>
      </c>
      <c r="AZ53">
        <f t="shared" si="29"/>
        <v>5962.0107308278239</v>
      </c>
      <c r="BA53">
        <f t="shared" si="30"/>
        <v>5704.5728645486643</v>
      </c>
      <c r="BB53">
        <f t="shared" si="31"/>
        <v>5462.3506114290176</v>
      </c>
      <c r="BC53">
        <f t="shared" si="32"/>
        <v>5243.0330872095528</v>
      </c>
      <c r="BD53">
        <f t="shared" si="33"/>
        <v>5057.361040144885</v>
      </c>
      <c r="BE53">
        <f t="shared" si="34"/>
        <v>58677.476316150613</v>
      </c>
      <c r="BF53">
        <f t="shared" si="35"/>
        <v>56360.287204039276</v>
      </c>
      <c r="BG53">
        <f t="shared" si="36"/>
        <v>54060.100058904914</v>
      </c>
      <c r="BH53">
        <f t="shared" si="37"/>
        <v>51789.376148796429</v>
      </c>
      <c r="BI53">
        <f t="shared" si="38"/>
        <v>49568.157216102525</v>
      </c>
      <c r="BJ53">
        <f t="shared" si="39"/>
        <v>47427.818795857595</v>
      </c>
      <c r="BK53">
        <f t="shared" si="40"/>
        <v>45413.98298342085</v>
      </c>
      <c r="BL53">
        <f t="shared" si="41"/>
        <v>43590.577087060221</v>
      </c>
      <c r="BM53">
        <f t="shared" si="42"/>
        <v>42046.899687764577</v>
      </c>
      <c r="BO53">
        <v>59769.65</v>
      </c>
      <c r="BP53">
        <v>57622.25</v>
      </c>
      <c r="BQ53">
        <v>55383.67</v>
      </c>
      <c r="BR53">
        <v>52966.98</v>
      </c>
      <c r="BS53">
        <v>50271.69</v>
      </c>
      <c r="BT53">
        <v>47177.58</v>
      </c>
      <c r="BU53">
        <v>43534.11</v>
      </c>
      <c r="BV53">
        <v>39139.17</v>
      </c>
      <c r="BW53">
        <v>33686.980000000003</v>
      </c>
      <c r="BY53">
        <f t="shared" si="43"/>
        <v>0.95298803077901073</v>
      </c>
    </row>
    <row r="54" spans="1:77" x14ac:dyDescent="0.3">
      <c r="A54" s="6" t="s">
        <v>158</v>
      </c>
      <c r="B54">
        <v>238.72</v>
      </c>
      <c r="C54">
        <v>596</v>
      </c>
      <c r="E54">
        <v>238.72</v>
      </c>
      <c r="F54">
        <v>278.4178</v>
      </c>
      <c r="G54">
        <v>318.11559999999997</v>
      </c>
      <c r="H54">
        <v>357.81330000000003</v>
      </c>
      <c r="I54">
        <v>397.5111</v>
      </c>
      <c r="J54">
        <v>437.20890000000003</v>
      </c>
      <c r="K54">
        <v>476.9067</v>
      </c>
      <c r="L54">
        <v>516.60440000000006</v>
      </c>
      <c r="M54">
        <v>556.30219999999997</v>
      </c>
      <c r="N54">
        <v>596</v>
      </c>
      <c r="O54">
        <v>2.8475199999999999E-2</v>
      </c>
      <c r="P54">
        <v>2.861097</v>
      </c>
      <c r="Q54">
        <v>78.240610000000004</v>
      </c>
      <c r="R54">
        <v>909.21870000000001</v>
      </c>
      <c r="S54">
        <v>5873.2969999999996</v>
      </c>
      <c r="T54">
        <v>25053.02</v>
      </c>
      <c r="U54">
        <v>79271.070000000007</v>
      </c>
      <c r="V54">
        <v>202048</v>
      </c>
      <c r="W54">
        <v>441223</v>
      </c>
      <c r="X54">
        <v>867683</v>
      </c>
      <c r="AA54">
        <f t="shared" si="4"/>
        <v>4.1890080428954425E-3</v>
      </c>
      <c r="AB54">
        <f t="shared" si="5"/>
        <v>3.5917243796912408E-3</v>
      </c>
      <c r="AC54">
        <f t="shared" si="6"/>
        <v>3.1435113524768987E-3</v>
      </c>
      <c r="AD54">
        <f t="shared" si="7"/>
        <v>2.7947535767954964E-3</v>
      </c>
      <c r="AE54">
        <f t="shared" si="8"/>
        <v>2.5156530220162405E-3</v>
      </c>
      <c r="AF54">
        <f t="shared" si="9"/>
        <v>2.2872361472970927E-3</v>
      </c>
      <c r="AG54">
        <f t="shared" si="10"/>
        <v>2.0968461965411682E-3</v>
      </c>
      <c r="AH54">
        <f t="shared" si="11"/>
        <v>1.9357171561062969E-3</v>
      </c>
      <c r="AI54">
        <f t="shared" si="12"/>
        <v>1.7975841188476336E-3</v>
      </c>
      <c r="AJ54">
        <f t="shared" si="13"/>
        <v>1.6778523489932886E-3</v>
      </c>
      <c r="AK54">
        <f t="shared" si="14"/>
        <v>-3.558721745968553</v>
      </c>
      <c r="AL54">
        <f t="shared" si="15"/>
        <v>1.0512051177225283</v>
      </c>
      <c r="AM54">
        <f t="shared" si="16"/>
        <v>4.359788822219687</v>
      </c>
      <c r="AN54">
        <f t="shared" si="17"/>
        <v>6.8125856592987759</v>
      </c>
      <c r="AO54">
        <f t="shared" si="18"/>
        <v>8.6781714246508272</v>
      </c>
      <c r="AP54">
        <f t="shared" si="19"/>
        <v>10.128749658128609</v>
      </c>
      <c r="AQ54">
        <f t="shared" si="20"/>
        <v>11.280628523910911</v>
      </c>
      <c r="AR54">
        <f t="shared" si="21"/>
        <v>12.216260571917664</v>
      </c>
      <c r="AS54">
        <f t="shared" si="22"/>
        <v>12.997305695555772</v>
      </c>
      <c r="AT54">
        <f t="shared" si="23"/>
        <v>13.673581719564762</v>
      </c>
      <c r="AU54">
        <f t="shared" si="24"/>
        <v>0.99703246343682006</v>
      </c>
      <c r="AV54">
        <f t="shared" si="25"/>
        <v>7718.1532790643587</v>
      </c>
      <c r="AW54">
        <f t="shared" si="26"/>
        <v>7381.7214217536448</v>
      </c>
      <c r="AX54">
        <f t="shared" si="27"/>
        <v>7032.9524045358403</v>
      </c>
      <c r="AY54">
        <f t="shared" si="28"/>
        <v>6684.2782409643232</v>
      </c>
      <c r="AZ54">
        <f t="shared" si="29"/>
        <v>6350.5738587017886</v>
      </c>
      <c r="BA54">
        <f t="shared" si="30"/>
        <v>6050.103281233497</v>
      </c>
      <c r="BB54">
        <f t="shared" si="31"/>
        <v>5806.7251283913465</v>
      </c>
      <c r="BC54">
        <f t="shared" si="32"/>
        <v>5654.2963156275891</v>
      </c>
      <c r="BD54">
        <f t="shared" si="33"/>
        <v>5648.2588107708316</v>
      </c>
      <c r="BE54">
        <f t="shared" si="34"/>
        <v>64168.726362141082</v>
      </c>
      <c r="BF54">
        <f t="shared" si="35"/>
        <v>61371.631900459804</v>
      </c>
      <c r="BG54">
        <f t="shared" si="36"/>
        <v>58471.966291310979</v>
      </c>
      <c r="BH54">
        <f t="shared" si="37"/>
        <v>55573.089295377387</v>
      </c>
      <c r="BI54">
        <f t="shared" si="38"/>
        <v>52798.67106124667</v>
      </c>
      <c r="BJ54">
        <f t="shared" si="39"/>
        <v>50300.558680175294</v>
      </c>
      <c r="BK54">
        <f t="shared" si="40"/>
        <v>48277.112717445656</v>
      </c>
      <c r="BL54">
        <f t="shared" si="41"/>
        <v>47009.819568127779</v>
      </c>
      <c r="BM54">
        <f t="shared" si="42"/>
        <v>46959.623752748696</v>
      </c>
      <c r="BO54">
        <v>65242.43</v>
      </c>
      <c r="BP54">
        <v>62758.67</v>
      </c>
      <c r="BQ54">
        <v>59979.46</v>
      </c>
      <c r="BR54">
        <v>56934.01</v>
      </c>
      <c r="BS54">
        <v>53641.85</v>
      </c>
      <c r="BT54">
        <v>50105.59</v>
      </c>
      <c r="BU54">
        <v>46297.89</v>
      </c>
      <c r="BV54">
        <v>42134.19</v>
      </c>
      <c r="BW54">
        <v>37403.589999999997</v>
      </c>
      <c r="BY54">
        <f t="shared" si="43"/>
        <v>0.92565832020491468</v>
      </c>
    </row>
    <row r="55" spans="1:77" x14ac:dyDescent="0.3">
      <c r="A55" s="6" t="s">
        <v>160</v>
      </c>
      <c r="B55">
        <v>255.15</v>
      </c>
      <c r="C55">
        <v>626</v>
      </c>
      <c r="E55">
        <v>255.15</v>
      </c>
      <c r="F55">
        <v>296.35559999999998</v>
      </c>
      <c r="G55">
        <v>337.56110000000001</v>
      </c>
      <c r="H55">
        <v>378.76670000000001</v>
      </c>
      <c r="I55">
        <v>419.97219999999999</v>
      </c>
      <c r="J55">
        <v>461.17779999999999</v>
      </c>
      <c r="K55">
        <v>502.38330000000002</v>
      </c>
      <c r="L55">
        <v>543.58889999999997</v>
      </c>
      <c r="M55">
        <v>584.7944</v>
      </c>
      <c r="N55">
        <v>626</v>
      </c>
      <c r="O55">
        <v>5.6920900000000003E-2</v>
      </c>
      <c r="P55">
        <v>4.8218290000000001</v>
      </c>
      <c r="Q55">
        <v>117.4299</v>
      </c>
      <c r="R55">
        <v>1258.846</v>
      </c>
      <c r="S55">
        <v>7672.451</v>
      </c>
      <c r="T55">
        <v>31294.23</v>
      </c>
      <c r="U55">
        <v>95265.13</v>
      </c>
      <c r="V55">
        <v>233589</v>
      </c>
      <c r="W55">
        <v>487688</v>
      </c>
      <c r="X55">
        <v>904331</v>
      </c>
      <c r="AA55">
        <f t="shared" si="4"/>
        <v>3.9192631785224374E-3</v>
      </c>
      <c r="AB55">
        <f t="shared" si="5"/>
        <v>3.3743246289255208E-3</v>
      </c>
      <c r="AC55">
        <f t="shared" si="6"/>
        <v>2.9624266540190796E-3</v>
      </c>
      <c r="AD55">
        <f t="shared" si="7"/>
        <v>2.6401476159335019E-3</v>
      </c>
      <c r="AE55">
        <f t="shared" si="8"/>
        <v>2.3811099877563326E-3</v>
      </c>
      <c r="AF55">
        <f t="shared" si="9"/>
        <v>2.1683610963060236E-3</v>
      </c>
      <c r="AG55">
        <f t="shared" si="10"/>
        <v>1.9905120253798244E-3</v>
      </c>
      <c r="AH55">
        <f t="shared" si="11"/>
        <v>1.8396254963999449E-3</v>
      </c>
      <c r="AI55">
        <f t="shared" si="12"/>
        <v>1.7100026949642474E-3</v>
      </c>
      <c r="AJ55">
        <f t="shared" si="13"/>
        <v>1.5974440894568689E-3</v>
      </c>
      <c r="AK55">
        <f t="shared" si="14"/>
        <v>-2.8660926942199931</v>
      </c>
      <c r="AL55">
        <f t="shared" si="15"/>
        <v>1.5731533166664633</v>
      </c>
      <c r="AM55">
        <f t="shared" si="16"/>
        <v>4.7658415598054784</v>
      </c>
      <c r="AN55">
        <f t="shared" si="17"/>
        <v>7.137950707261699</v>
      </c>
      <c r="AO55">
        <f t="shared" si="18"/>
        <v>8.9453914000284023</v>
      </c>
      <c r="AP55">
        <f t="shared" si="19"/>
        <v>10.351189014486684</v>
      </c>
      <c r="AQ55">
        <f t="shared" si="20"/>
        <v>11.46441912551875</v>
      </c>
      <c r="AR55">
        <f t="shared" si="21"/>
        <v>12.361318439786389</v>
      </c>
      <c r="AS55">
        <f t="shared" si="22"/>
        <v>13.097431136105291</v>
      </c>
      <c r="AT55">
        <f t="shared" si="23"/>
        <v>13.714950722800076</v>
      </c>
      <c r="AU55">
        <f t="shared" si="24"/>
        <v>0.99628345312994304</v>
      </c>
      <c r="AV55">
        <f t="shared" si="25"/>
        <v>8146.3240473079113</v>
      </c>
      <c r="AW55">
        <f t="shared" si="26"/>
        <v>7751.1627578751868</v>
      </c>
      <c r="AX55">
        <f t="shared" si="27"/>
        <v>7360.4202170490944</v>
      </c>
      <c r="AY55">
        <f t="shared" si="28"/>
        <v>6977.5217812390583</v>
      </c>
      <c r="AZ55">
        <f t="shared" si="29"/>
        <v>6607.7787991042405</v>
      </c>
      <c r="BA55">
        <f t="shared" si="30"/>
        <v>6259.4092014909411</v>
      </c>
      <c r="BB55">
        <f t="shared" si="31"/>
        <v>5944.1974066965204</v>
      </c>
      <c r="BC55">
        <f t="shared" si="32"/>
        <v>5678.8827904176069</v>
      </c>
      <c r="BD55">
        <f t="shared" si="33"/>
        <v>5486.205021030627</v>
      </c>
      <c r="BE55">
        <f t="shared" si="34"/>
        <v>67728.538129317982</v>
      </c>
      <c r="BF55">
        <f t="shared" si="35"/>
        <v>64443.167168974302</v>
      </c>
      <c r="BG55">
        <f t="shared" si="36"/>
        <v>61194.533684546172</v>
      </c>
      <c r="BH55">
        <f t="shared" si="37"/>
        <v>58011.116089221534</v>
      </c>
      <c r="BI55">
        <f t="shared" si="38"/>
        <v>54937.072935752658</v>
      </c>
      <c r="BJ55">
        <f t="shared" si="39"/>
        <v>52040.728101195687</v>
      </c>
      <c r="BK55">
        <f t="shared" si="40"/>
        <v>49420.057239274873</v>
      </c>
      <c r="BL55">
        <f t="shared" si="41"/>
        <v>47214.231519531982</v>
      </c>
      <c r="BM55">
        <f t="shared" si="42"/>
        <v>45612.308544848631</v>
      </c>
      <c r="BO55">
        <v>69288.67</v>
      </c>
      <c r="BP55">
        <v>66195.62</v>
      </c>
      <c r="BQ55">
        <v>62977.99</v>
      </c>
      <c r="BR55">
        <v>59585.55</v>
      </c>
      <c r="BS55">
        <v>55955.15</v>
      </c>
      <c r="BT55">
        <v>52003.33</v>
      </c>
      <c r="BU55">
        <v>47612.39</v>
      </c>
      <c r="BV55">
        <v>42601.16</v>
      </c>
      <c r="BW55">
        <v>36652.620000000003</v>
      </c>
      <c r="BY55">
        <f t="shared" si="43"/>
        <v>0.96078729255870154</v>
      </c>
    </row>
    <row r="56" spans="1:77" x14ac:dyDescent="0.3">
      <c r="A56" s="6" t="s">
        <v>162</v>
      </c>
      <c r="B56">
        <v>261.8</v>
      </c>
      <c r="C56">
        <v>618</v>
      </c>
      <c r="E56">
        <v>261.8</v>
      </c>
      <c r="F56">
        <v>301.37779999999998</v>
      </c>
      <c r="G56">
        <v>340.9556</v>
      </c>
      <c r="H56">
        <v>380.5333</v>
      </c>
      <c r="I56">
        <v>420.11110000000002</v>
      </c>
      <c r="J56">
        <v>459.68889999999999</v>
      </c>
      <c r="K56">
        <v>499.26670000000001</v>
      </c>
      <c r="L56">
        <v>538.84439999999995</v>
      </c>
      <c r="M56">
        <v>578.42219999999998</v>
      </c>
      <c r="N56">
        <v>618</v>
      </c>
      <c r="O56">
        <v>3.6036499999999999E-2</v>
      </c>
      <c r="P56">
        <v>2.669645</v>
      </c>
      <c r="Q56">
        <v>62.801519999999996</v>
      </c>
      <c r="R56">
        <v>678.46420000000001</v>
      </c>
      <c r="S56">
        <v>4239.4440000000004</v>
      </c>
      <c r="T56">
        <v>17840.02</v>
      </c>
      <c r="U56">
        <v>56157.09</v>
      </c>
      <c r="V56">
        <v>142628</v>
      </c>
      <c r="W56">
        <v>309460</v>
      </c>
      <c r="X56">
        <v>600644</v>
      </c>
      <c r="AA56">
        <f t="shared" si="4"/>
        <v>3.819709702062643E-3</v>
      </c>
      <c r="AB56">
        <f t="shared" si="5"/>
        <v>3.318094431640287E-3</v>
      </c>
      <c r="AC56">
        <f t="shared" si="6"/>
        <v>2.9329332030328874E-3</v>
      </c>
      <c r="AD56">
        <f t="shared" si="7"/>
        <v>2.6278909099413904E-3</v>
      </c>
      <c r="AE56">
        <f t="shared" si="8"/>
        <v>2.3803227289162319E-3</v>
      </c>
      <c r="AF56">
        <f t="shared" si="9"/>
        <v>2.1753842653150861E-3</v>
      </c>
      <c r="AG56">
        <f t="shared" si="10"/>
        <v>2.002937508149452E-3</v>
      </c>
      <c r="AH56">
        <f t="shared" si="11"/>
        <v>1.8558233137432626E-3</v>
      </c>
      <c r="AI56">
        <f t="shared" si="12"/>
        <v>1.7288409746375572E-3</v>
      </c>
      <c r="AJ56">
        <f t="shared" si="13"/>
        <v>1.6181229773462784E-3</v>
      </c>
      <c r="AK56">
        <f t="shared" si="14"/>
        <v>-3.3232229652753258</v>
      </c>
      <c r="AL56">
        <f t="shared" si="15"/>
        <v>0.98194550477085507</v>
      </c>
      <c r="AM56">
        <f t="shared" si="16"/>
        <v>4.1399792770029009</v>
      </c>
      <c r="AN56">
        <f t="shared" si="17"/>
        <v>6.5198317144341003</v>
      </c>
      <c r="AO56">
        <f t="shared" si="18"/>
        <v>8.3521874075519698</v>
      </c>
      <c r="AP56">
        <f t="shared" si="19"/>
        <v>9.7891995272096057</v>
      </c>
      <c r="AQ56">
        <f t="shared" si="20"/>
        <v>10.935908221117868</v>
      </c>
      <c r="AR56">
        <f t="shared" si="21"/>
        <v>11.867995121123705</v>
      </c>
      <c r="AS56">
        <f t="shared" si="22"/>
        <v>12.642584122043663</v>
      </c>
      <c r="AT56">
        <f t="shared" si="23"/>
        <v>13.305757691921238</v>
      </c>
      <c r="AU56">
        <f t="shared" si="24"/>
        <v>0.99654447079485209</v>
      </c>
      <c r="AV56">
        <f t="shared" si="25"/>
        <v>8582.6104664263203</v>
      </c>
      <c r="AW56">
        <f t="shared" si="26"/>
        <v>8199.2514761943348</v>
      </c>
      <c r="AX56">
        <f t="shared" si="27"/>
        <v>7801.7130454673243</v>
      </c>
      <c r="AY56">
        <f t="shared" si="28"/>
        <v>7401.4184114058708</v>
      </c>
      <c r="AZ56">
        <f t="shared" si="29"/>
        <v>7011.9200388579575</v>
      </c>
      <c r="BA56">
        <f t="shared" si="30"/>
        <v>6649.6390697962242</v>
      </c>
      <c r="BB56">
        <f t="shared" si="31"/>
        <v>6335.8053501778377</v>
      </c>
      <c r="BC56">
        <f t="shared" si="32"/>
        <v>6099.9742670920377</v>
      </c>
      <c r="BD56">
        <f t="shared" si="33"/>
        <v>5989.7540246585777</v>
      </c>
      <c r="BE56">
        <f t="shared" si="34"/>
        <v>71355.823417868422</v>
      </c>
      <c r="BF56">
        <f t="shared" si="35"/>
        <v>68168.576773079694</v>
      </c>
      <c r="BG56">
        <f t="shared" si="36"/>
        <v>64863.442260015334</v>
      </c>
      <c r="BH56">
        <f t="shared" si="37"/>
        <v>61535.39267242841</v>
      </c>
      <c r="BI56">
        <f t="shared" si="38"/>
        <v>58297.10320306506</v>
      </c>
      <c r="BJ56">
        <f t="shared" si="39"/>
        <v>55285.099226285805</v>
      </c>
      <c r="BK56">
        <f t="shared" si="40"/>
        <v>52675.885681378546</v>
      </c>
      <c r="BL56">
        <f t="shared" si="41"/>
        <v>50715.186056603205</v>
      </c>
      <c r="BM56">
        <f t="shared" si="42"/>
        <v>49798.814961011412</v>
      </c>
      <c r="BO56">
        <v>72837.179999999993</v>
      </c>
      <c r="BP56">
        <v>69731.360000000001</v>
      </c>
      <c r="BQ56">
        <v>66477.16</v>
      </c>
      <c r="BR56">
        <v>63031.62</v>
      </c>
      <c r="BS56">
        <v>59338.42</v>
      </c>
      <c r="BT56">
        <v>55320.11</v>
      </c>
      <c r="BU56">
        <v>50863.56</v>
      </c>
      <c r="BV56">
        <v>45789.13</v>
      </c>
      <c r="BW56">
        <v>39774.68</v>
      </c>
      <c r="BY56">
        <f t="shared" si="43"/>
        <v>0.94678898338048401</v>
      </c>
    </row>
    <row r="57" spans="1:77" x14ac:dyDescent="0.3">
      <c r="A57" s="6" t="s">
        <v>164</v>
      </c>
      <c r="B57" s="1">
        <v>278.14999999999998</v>
      </c>
      <c r="C57">
        <v>632</v>
      </c>
      <c r="E57">
        <v>278.14999999999998</v>
      </c>
      <c r="F57">
        <v>317.4667</v>
      </c>
      <c r="G57">
        <v>356.7833</v>
      </c>
      <c r="H57">
        <v>396.1</v>
      </c>
      <c r="I57">
        <v>435.41669999999999</v>
      </c>
      <c r="J57">
        <v>474.73329999999999</v>
      </c>
      <c r="K57">
        <v>514.04999999999995</v>
      </c>
      <c r="L57">
        <v>553.36670000000004</v>
      </c>
      <c r="M57">
        <v>592.68330000000003</v>
      </c>
      <c r="N57">
        <v>632</v>
      </c>
      <c r="O57">
        <v>7.3056899999999994E-2</v>
      </c>
      <c r="P57">
        <v>4.0150730000000001</v>
      </c>
      <c r="Q57">
        <v>78.572040000000001</v>
      </c>
      <c r="R57">
        <v>757.0394</v>
      </c>
      <c r="S57">
        <v>4408.268</v>
      </c>
      <c r="T57">
        <v>17776.48</v>
      </c>
      <c r="U57">
        <v>54553.2</v>
      </c>
      <c r="V57">
        <v>136364</v>
      </c>
      <c r="W57">
        <v>292118</v>
      </c>
      <c r="X57">
        <v>557901</v>
      </c>
      <c r="AA57">
        <f t="shared" si="4"/>
        <v>3.5951824555096176E-3</v>
      </c>
      <c r="AB57">
        <f t="shared" si="5"/>
        <v>3.1499366705232392E-3</v>
      </c>
      <c r="AC57">
        <f t="shared" si="6"/>
        <v>2.8028217688440015E-3</v>
      </c>
      <c r="AD57">
        <f t="shared" si="7"/>
        <v>2.5246149962130774E-3</v>
      </c>
      <c r="AE57">
        <f t="shared" si="8"/>
        <v>2.2966505418832123E-3</v>
      </c>
      <c r="AF57">
        <f t="shared" si="9"/>
        <v>2.106445871818977E-3</v>
      </c>
      <c r="AG57">
        <f t="shared" si="10"/>
        <v>1.9453360568038129E-3</v>
      </c>
      <c r="AH57">
        <f t="shared" si="11"/>
        <v>1.8071199441527651E-3</v>
      </c>
      <c r="AI57">
        <f t="shared" si="12"/>
        <v>1.68724173601652E-3</v>
      </c>
      <c r="AJ57">
        <f t="shared" si="13"/>
        <v>1.5822784810126582E-3</v>
      </c>
      <c r="AK57">
        <f t="shared" si="14"/>
        <v>-2.6165166893939458</v>
      </c>
      <c r="AL57">
        <f t="shared" si="15"/>
        <v>1.3900555290516197</v>
      </c>
      <c r="AM57">
        <f t="shared" si="16"/>
        <v>4.3640159109591066</v>
      </c>
      <c r="AN57">
        <f t="shared" si="17"/>
        <v>6.629415299639164</v>
      </c>
      <c r="AO57">
        <f t="shared" si="18"/>
        <v>8.3912371475326886</v>
      </c>
      <c r="AP57">
        <f t="shared" si="19"/>
        <v>9.7856315142151153</v>
      </c>
      <c r="AQ57">
        <f t="shared" si="20"/>
        <v>10.906931651318867</v>
      </c>
      <c r="AR57">
        <f t="shared" si="21"/>
        <v>11.823083059937179</v>
      </c>
      <c r="AS57">
        <f t="shared" si="22"/>
        <v>12.584913109209172</v>
      </c>
      <c r="AT57">
        <f t="shared" si="23"/>
        <v>13.231936806267933</v>
      </c>
      <c r="AU57">
        <f t="shared" si="24"/>
        <v>0.9964331768692557</v>
      </c>
      <c r="AV57">
        <f t="shared" si="25"/>
        <v>8998.5629365770219</v>
      </c>
      <c r="AW57">
        <f t="shared" si="26"/>
        <v>8567.6540175035952</v>
      </c>
      <c r="AX57">
        <f t="shared" si="27"/>
        <v>8142.8621138759681</v>
      </c>
      <c r="AY57">
        <f t="shared" si="28"/>
        <v>7728.4936946536573</v>
      </c>
      <c r="AZ57">
        <f t="shared" si="29"/>
        <v>7331.0206642745261</v>
      </c>
      <c r="BA57">
        <f t="shared" si="30"/>
        <v>6959.8499445748375</v>
      </c>
      <c r="BB57">
        <f t="shared" si="31"/>
        <v>6628.398028609774</v>
      </c>
      <c r="BC57">
        <f t="shared" si="32"/>
        <v>6355.0336722263155</v>
      </c>
      <c r="BD57">
        <f t="shared" si="33"/>
        <v>6164.2876550937426</v>
      </c>
      <c r="BE57">
        <f t="shared" si="34"/>
        <v>74814.052254701353</v>
      </c>
      <c r="BF57">
        <f t="shared" si="35"/>
        <v>71231.475501524896</v>
      </c>
      <c r="BG57">
        <f t="shared" si="36"/>
        <v>67699.755614764799</v>
      </c>
      <c r="BH57">
        <f t="shared" si="37"/>
        <v>64254.696577350507</v>
      </c>
      <c r="BI57">
        <f t="shared" si="38"/>
        <v>60950.105802778409</v>
      </c>
      <c r="BJ57">
        <f t="shared" si="39"/>
        <v>57864.192439195198</v>
      </c>
      <c r="BK57">
        <f t="shared" si="40"/>
        <v>55108.501209861664</v>
      </c>
      <c r="BL57">
        <f t="shared" si="41"/>
        <v>52835.749950889585</v>
      </c>
      <c r="BM57">
        <f t="shared" si="42"/>
        <v>51249.887564449375</v>
      </c>
      <c r="BO57">
        <v>77474.509999999995</v>
      </c>
      <c r="BP57">
        <v>73582.710000000006</v>
      </c>
      <c r="BQ57">
        <v>69762.759999999995</v>
      </c>
      <c r="BR57">
        <v>65960.479999999996</v>
      </c>
      <c r="BS57">
        <v>62111.08</v>
      </c>
      <c r="BT57">
        <v>58132.34</v>
      </c>
      <c r="BU57">
        <v>53912.36</v>
      </c>
      <c r="BV57">
        <v>49285.61</v>
      </c>
      <c r="BW57">
        <v>43979.26</v>
      </c>
      <c r="BY57">
        <f t="shared" si="43"/>
        <v>0.97641031863406336</v>
      </c>
    </row>
    <row r="58" spans="1:77" x14ac:dyDescent="0.3">
      <c r="A58" s="6" t="s">
        <v>166</v>
      </c>
      <c r="B58">
        <v>279.07</v>
      </c>
      <c r="C58">
        <v>631</v>
      </c>
      <c r="E58">
        <v>279.07</v>
      </c>
      <c r="F58">
        <v>318.17329999999998</v>
      </c>
      <c r="G58">
        <v>357.27670000000001</v>
      </c>
      <c r="H58">
        <v>396.38</v>
      </c>
      <c r="I58">
        <v>435.48329999999999</v>
      </c>
      <c r="J58">
        <v>474.58670000000001</v>
      </c>
      <c r="K58">
        <v>513.69000000000005</v>
      </c>
      <c r="L58">
        <v>552.79330000000004</v>
      </c>
      <c r="M58">
        <v>591.89670000000001</v>
      </c>
      <c r="N58">
        <v>631</v>
      </c>
      <c r="O58">
        <v>2.7751499999999998E-2</v>
      </c>
      <c r="P58">
        <v>1.725063</v>
      </c>
      <c r="Q58">
        <v>37.362879999999997</v>
      </c>
      <c r="R58">
        <v>395.19709999999998</v>
      </c>
      <c r="S58">
        <v>2523.348</v>
      </c>
      <c r="T58">
        <v>11170.77</v>
      </c>
      <c r="U58">
        <v>37643.85</v>
      </c>
      <c r="V58">
        <v>103006</v>
      </c>
      <c r="W58">
        <v>239543</v>
      </c>
      <c r="X58">
        <v>489136</v>
      </c>
      <c r="AA58">
        <f t="shared" si="4"/>
        <v>3.5833303472247108E-3</v>
      </c>
      <c r="AB58">
        <f t="shared" si="5"/>
        <v>3.1429412838852289E-3</v>
      </c>
      <c r="AC58">
        <f t="shared" si="6"/>
        <v>2.7989510650988435E-3</v>
      </c>
      <c r="AD58">
        <f t="shared" si="7"/>
        <v>2.5228316262172661E-3</v>
      </c>
      <c r="AE58">
        <f t="shared" si="8"/>
        <v>2.2962993069998321E-3</v>
      </c>
      <c r="AF58">
        <f t="shared" si="9"/>
        <v>2.1070965536960896E-3</v>
      </c>
      <c r="AG58">
        <f t="shared" si="10"/>
        <v>1.9466993712161029E-3</v>
      </c>
      <c r="AH58">
        <f t="shared" si="11"/>
        <v>1.8089944288398573E-3</v>
      </c>
      <c r="AI58">
        <f t="shared" si="12"/>
        <v>1.6894839927304882E-3</v>
      </c>
      <c r="AJ58">
        <f t="shared" si="13"/>
        <v>1.5847860538827259E-3</v>
      </c>
      <c r="AK58">
        <f t="shared" si="14"/>
        <v>-3.5844653861965075</v>
      </c>
      <c r="AL58">
        <f t="shared" si="15"/>
        <v>0.54526357155555105</v>
      </c>
      <c r="AM58">
        <f t="shared" si="16"/>
        <v>3.6206776981839628</v>
      </c>
      <c r="AN58">
        <f t="shared" si="17"/>
        <v>5.9793846277901093</v>
      </c>
      <c r="AO58">
        <f t="shared" si="18"/>
        <v>7.8333418701639301</v>
      </c>
      <c r="AP58">
        <f t="shared" si="19"/>
        <v>9.3210558243337367</v>
      </c>
      <c r="AQ58">
        <f t="shared" si="20"/>
        <v>10.535924873271982</v>
      </c>
      <c r="AR58">
        <f t="shared" si="21"/>
        <v>11.542542517942351</v>
      </c>
      <c r="AS58">
        <f t="shared" si="22"/>
        <v>12.386488220427415</v>
      </c>
      <c r="AT58">
        <f t="shared" si="23"/>
        <v>13.100395848398605</v>
      </c>
      <c r="AU58">
        <f t="shared" si="24"/>
        <v>0.9975868737408129</v>
      </c>
      <c r="AV58">
        <f t="shared" si="25"/>
        <v>9377.4557579523334</v>
      </c>
      <c r="AW58">
        <f t="shared" si="26"/>
        <v>8940.4115543710068</v>
      </c>
      <c r="AX58">
        <f t="shared" si="27"/>
        <v>8542.3429047954614</v>
      </c>
      <c r="AY58">
        <f t="shared" si="28"/>
        <v>8184.0739051204673</v>
      </c>
      <c r="AZ58">
        <f t="shared" si="29"/>
        <v>7863.0671498815782</v>
      </c>
      <c r="BA58">
        <f t="shared" si="30"/>
        <v>7574.1296084788091</v>
      </c>
      <c r="BB58">
        <f t="shared" si="31"/>
        <v>7309.9601749952335</v>
      </c>
      <c r="BC58">
        <f t="shared" si="32"/>
        <v>7061.690426037213</v>
      </c>
      <c r="BD58">
        <f t="shared" si="33"/>
        <v>6818.7362218205581</v>
      </c>
      <c r="BE58">
        <f t="shared" si="34"/>
        <v>77964.1671716157</v>
      </c>
      <c r="BF58">
        <f t="shared" si="35"/>
        <v>74330.581663040546</v>
      </c>
      <c r="BG58">
        <f t="shared" si="36"/>
        <v>71021.038910469462</v>
      </c>
      <c r="BH58">
        <f t="shared" si="37"/>
        <v>68042.390447171565</v>
      </c>
      <c r="BI58">
        <f t="shared" si="38"/>
        <v>65373.540284115443</v>
      </c>
      <c r="BJ58">
        <f t="shared" si="39"/>
        <v>62971.313564892822</v>
      </c>
      <c r="BK58">
        <f t="shared" si="40"/>
        <v>60775.008894910374</v>
      </c>
      <c r="BL58">
        <f t="shared" si="41"/>
        <v>58710.894202073388</v>
      </c>
      <c r="BM58">
        <f t="shared" si="42"/>
        <v>56690.97294821612</v>
      </c>
      <c r="BO58">
        <v>79763.14</v>
      </c>
      <c r="BP58">
        <v>76025.97</v>
      </c>
      <c r="BQ58">
        <v>72659.460000000006</v>
      </c>
      <c r="BR58">
        <v>69488.429999999993</v>
      </c>
      <c r="BS58">
        <v>66327.360000000001</v>
      </c>
      <c r="BT58">
        <v>62966.95</v>
      </c>
      <c r="BU58">
        <v>59156.13</v>
      </c>
      <c r="BV58">
        <v>54573.38</v>
      </c>
      <c r="BW58">
        <v>48770.69</v>
      </c>
      <c r="BY58">
        <f t="shared" si="43"/>
        <v>0.96504169707865728</v>
      </c>
    </row>
    <row r="59" spans="1:77" x14ac:dyDescent="0.3">
      <c r="A59" s="6" t="s">
        <v>168</v>
      </c>
      <c r="B59">
        <v>291.85000000000002</v>
      </c>
      <c r="C59">
        <v>661</v>
      </c>
      <c r="E59">
        <v>291.85000000000002</v>
      </c>
      <c r="F59">
        <v>332.86669999999998</v>
      </c>
      <c r="G59">
        <v>373.88330000000002</v>
      </c>
      <c r="H59">
        <v>414.9</v>
      </c>
      <c r="I59">
        <v>455.91669999999999</v>
      </c>
      <c r="J59">
        <v>496.93329999999997</v>
      </c>
      <c r="K59">
        <v>537.95000000000005</v>
      </c>
      <c r="L59">
        <v>578.96669999999995</v>
      </c>
      <c r="M59">
        <v>619.98329999999999</v>
      </c>
      <c r="N59">
        <v>661</v>
      </c>
      <c r="O59">
        <v>3.9730099999999997E-2</v>
      </c>
      <c r="P59">
        <v>2.4637120000000001</v>
      </c>
      <c r="Q59">
        <v>53.316189999999999</v>
      </c>
      <c r="R59">
        <v>558.75980000000004</v>
      </c>
      <c r="S59">
        <v>3489.605</v>
      </c>
      <c r="T59">
        <v>14903.19</v>
      </c>
      <c r="U59">
        <v>47860.02</v>
      </c>
      <c r="V59">
        <v>123683</v>
      </c>
      <c r="W59">
        <v>270401</v>
      </c>
      <c r="X59">
        <v>519485</v>
      </c>
      <c r="AA59">
        <f t="shared" si="4"/>
        <v>3.4264176803152301E-3</v>
      </c>
      <c r="AB59">
        <f t="shared" si="5"/>
        <v>3.0042055874018041E-3</v>
      </c>
      <c r="AC59">
        <f t="shared" si="6"/>
        <v>2.6746313622459201E-3</v>
      </c>
      <c r="AD59">
        <f t="shared" si="7"/>
        <v>2.4102193299590266E-3</v>
      </c>
      <c r="AE59">
        <f t="shared" si="8"/>
        <v>2.1933831333662487E-3</v>
      </c>
      <c r="AF59">
        <f t="shared" si="9"/>
        <v>2.0123425014986923E-3</v>
      </c>
      <c r="AG59">
        <f t="shared" si="10"/>
        <v>1.8589088205223532E-3</v>
      </c>
      <c r="AH59">
        <f t="shared" si="11"/>
        <v>1.7272150539918792E-3</v>
      </c>
      <c r="AI59">
        <f t="shared" si="12"/>
        <v>1.6129466713055013E-3</v>
      </c>
      <c r="AJ59">
        <f t="shared" si="13"/>
        <v>1.5128593040847202E-3</v>
      </c>
      <c r="AK59">
        <f t="shared" si="14"/>
        <v>-3.2256461921691169</v>
      </c>
      <c r="AL59">
        <f t="shared" si="15"/>
        <v>0.90166915572302642</v>
      </c>
      <c r="AM59">
        <f t="shared" si="16"/>
        <v>3.9762400373936106</v>
      </c>
      <c r="AN59">
        <f t="shared" si="17"/>
        <v>6.3257196849238575</v>
      </c>
      <c r="AO59">
        <f t="shared" si="18"/>
        <v>8.1575438282753154</v>
      </c>
      <c r="AP59">
        <f t="shared" si="19"/>
        <v>9.6093305629784407</v>
      </c>
      <c r="AQ59">
        <f t="shared" si="20"/>
        <v>10.776035779347776</v>
      </c>
      <c r="AR59">
        <f t="shared" si="21"/>
        <v>11.725477119671963</v>
      </c>
      <c r="AS59">
        <f t="shared" si="22"/>
        <v>12.50766132136896</v>
      </c>
      <c r="AT59">
        <f t="shared" si="23"/>
        <v>13.160593215187331</v>
      </c>
      <c r="AU59">
        <f t="shared" si="24"/>
        <v>0.99639514116820227</v>
      </c>
      <c r="AV59">
        <f t="shared" si="25"/>
        <v>9775.4550785413994</v>
      </c>
      <c r="AW59">
        <f t="shared" si="26"/>
        <v>9328.9178794742093</v>
      </c>
      <c r="AX59">
        <f t="shared" si="27"/>
        <v>8885.6759929177679</v>
      </c>
      <c r="AY59">
        <f t="shared" si="28"/>
        <v>8447.9628961194867</v>
      </c>
      <c r="AZ59">
        <f t="shared" si="29"/>
        <v>8019.1210101675179</v>
      </c>
      <c r="BA59">
        <f t="shared" si="30"/>
        <v>7603.9707119407021</v>
      </c>
      <c r="BB59">
        <f t="shared" si="31"/>
        <v>7209.4630242387739</v>
      </c>
      <c r="BC59">
        <f t="shared" si="32"/>
        <v>6845.1498420502558</v>
      </c>
      <c r="BD59">
        <f t="shared" si="33"/>
        <v>6523.6194331905926</v>
      </c>
      <c r="BE59">
        <f t="shared" si="34"/>
        <v>81273.133522993201</v>
      </c>
      <c r="BF59">
        <f t="shared" si="35"/>
        <v>77560.623249948578</v>
      </c>
      <c r="BG59">
        <f t="shared" si="36"/>
        <v>73875.51020511832</v>
      </c>
      <c r="BH59">
        <f t="shared" si="37"/>
        <v>70236.363518337414</v>
      </c>
      <c r="BI59">
        <f t="shared" si="38"/>
        <v>66670.972078532737</v>
      </c>
      <c r="BJ59">
        <f t="shared" si="39"/>
        <v>63219.412499074999</v>
      </c>
      <c r="BK59">
        <f t="shared" si="40"/>
        <v>59939.475583521169</v>
      </c>
      <c r="BL59">
        <f t="shared" si="41"/>
        <v>56910.575786805828</v>
      </c>
      <c r="BM59">
        <f t="shared" si="42"/>
        <v>54237.371967546591</v>
      </c>
      <c r="BO59">
        <v>82901.759999999995</v>
      </c>
      <c r="BP59">
        <v>79336.3</v>
      </c>
      <c r="BQ59">
        <v>75738.39</v>
      </c>
      <c r="BR59">
        <v>72008.009999999995</v>
      </c>
      <c r="BS59">
        <v>68031.83</v>
      </c>
      <c r="BT59">
        <v>63676.07</v>
      </c>
      <c r="BU59">
        <v>58774.76</v>
      </c>
      <c r="BV59">
        <v>53107.53</v>
      </c>
      <c r="BW59">
        <v>46350.22</v>
      </c>
      <c r="BY59">
        <f t="shared" si="43"/>
        <v>0.97489425063386836</v>
      </c>
    </row>
    <row r="60" spans="1:77" x14ac:dyDescent="0.3">
      <c r="A60" s="6" t="s">
        <v>170</v>
      </c>
      <c r="B60">
        <v>292.35000000000002</v>
      </c>
      <c r="C60">
        <v>666</v>
      </c>
      <c r="E60">
        <v>292.35000000000002</v>
      </c>
      <c r="F60">
        <v>333.86669999999998</v>
      </c>
      <c r="G60">
        <v>375.38330000000002</v>
      </c>
      <c r="H60">
        <v>416.9</v>
      </c>
      <c r="I60">
        <v>458.41669999999999</v>
      </c>
      <c r="J60">
        <v>499.93329999999997</v>
      </c>
      <c r="K60">
        <v>541.45000000000005</v>
      </c>
      <c r="L60">
        <v>582.96669999999995</v>
      </c>
      <c r="M60">
        <v>624.48329999999999</v>
      </c>
      <c r="N60">
        <v>666</v>
      </c>
      <c r="O60">
        <v>1.55064E-2</v>
      </c>
      <c r="P60">
        <v>1.16222</v>
      </c>
      <c r="Q60">
        <v>29.316960000000002</v>
      </c>
      <c r="R60">
        <v>347.8032</v>
      </c>
      <c r="S60">
        <v>2402.8069999999998</v>
      </c>
      <c r="T60">
        <v>11153.26</v>
      </c>
      <c r="U60">
        <v>38431.29</v>
      </c>
      <c r="V60">
        <v>105650</v>
      </c>
      <c r="W60">
        <v>244578</v>
      </c>
      <c r="X60">
        <v>497456</v>
      </c>
      <c r="AA60">
        <f t="shared" si="4"/>
        <v>3.4205575508807931E-3</v>
      </c>
      <c r="AB60">
        <f t="shared" si="5"/>
        <v>2.9952073686893605E-3</v>
      </c>
      <c r="AC60">
        <f t="shared" si="6"/>
        <v>2.6639437609504739E-3</v>
      </c>
      <c r="AD60">
        <f t="shared" si="7"/>
        <v>2.3986567522187576E-3</v>
      </c>
      <c r="AE60">
        <f t="shared" si="8"/>
        <v>2.1814214010964263E-3</v>
      </c>
      <c r="AF60">
        <f t="shared" si="9"/>
        <v>2.0002668355958686E-3</v>
      </c>
      <c r="AG60">
        <f t="shared" si="10"/>
        <v>1.846892603195124E-3</v>
      </c>
      <c r="AH60">
        <f t="shared" si="11"/>
        <v>1.7153638449674744E-3</v>
      </c>
      <c r="AI60">
        <f t="shared" si="12"/>
        <v>1.6013238464503375E-3</v>
      </c>
      <c r="AJ60">
        <f t="shared" si="13"/>
        <v>1.5015015015015015E-3</v>
      </c>
      <c r="AK60">
        <f t="shared" si="14"/>
        <v>-4.166502437052209</v>
      </c>
      <c r="AL60">
        <f t="shared" si="15"/>
        <v>0.15033196925284042</v>
      </c>
      <c r="AM60">
        <f t="shared" si="16"/>
        <v>3.3781661881504492</v>
      </c>
      <c r="AN60">
        <f t="shared" si="17"/>
        <v>5.8516368025679082</v>
      </c>
      <c r="AO60">
        <f t="shared" si="18"/>
        <v>7.784392916239617</v>
      </c>
      <c r="AP60">
        <f t="shared" si="19"/>
        <v>9.3194871108361461</v>
      </c>
      <c r="AQ60">
        <f t="shared" si="20"/>
        <v>10.556627250520883</v>
      </c>
      <c r="AR60">
        <f t="shared" si="21"/>
        <v>11.567887023044202</v>
      </c>
      <c r="AS60">
        <f t="shared" si="22"/>
        <v>12.40728955542642</v>
      </c>
      <c r="AT60">
        <f t="shared" si="23"/>
        <v>13.117262389458487</v>
      </c>
      <c r="AU60">
        <f t="shared" si="24"/>
        <v>0.99701295241287657</v>
      </c>
      <c r="AV60">
        <f t="shared" si="25"/>
        <v>10148.895162250617</v>
      </c>
      <c r="AW60">
        <f t="shared" si="26"/>
        <v>9744.0049057302367</v>
      </c>
      <c r="AX60">
        <f t="shared" si="27"/>
        <v>9323.7532672354537</v>
      </c>
      <c r="AY60">
        <f t="shared" si="28"/>
        <v>8897.0607393605969</v>
      </c>
      <c r="AZ60">
        <f t="shared" si="29"/>
        <v>8473.9470427081433</v>
      </c>
      <c r="BA60">
        <f t="shared" si="30"/>
        <v>8066.1537490356841</v>
      </c>
      <c r="BB60">
        <f t="shared" si="31"/>
        <v>7688.5069558174746</v>
      </c>
      <c r="BC60">
        <f t="shared" si="32"/>
        <v>7360.5975385564452</v>
      </c>
      <c r="BD60">
        <f t="shared" si="33"/>
        <v>7112.3638138932083</v>
      </c>
      <c r="BE60">
        <f t="shared" si="34"/>
        <v>84377.914378951638</v>
      </c>
      <c r="BF60">
        <f t="shared" si="35"/>
        <v>81011.65678624119</v>
      </c>
      <c r="BG60">
        <f t="shared" si="36"/>
        <v>77517.68466379556</v>
      </c>
      <c r="BH60">
        <f t="shared" si="37"/>
        <v>73970.162987044008</v>
      </c>
      <c r="BI60">
        <f t="shared" si="38"/>
        <v>70452.395713075501</v>
      </c>
      <c r="BJ60">
        <f t="shared" si="39"/>
        <v>67062.002269482677</v>
      </c>
      <c r="BK60">
        <f t="shared" si="40"/>
        <v>63922.246830666481</v>
      </c>
      <c r="BL60">
        <f t="shared" si="41"/>
        <v>61196.007935558286</v>
      </c>
      <c r="BM60">
        <f t="shared" si="42"/>
        <v>59132.192748708134</v>
      </c>
      <c r="BO60">
        <v>86139.81</v>
      </c>
      <c r="BP60">
        <v>82765.759999999995</v>
      </c>
      <c r="BQ60">
        <v>79301.11</v>
      </c>
      <c r="BR60">
        <v>75658.36</v>
      </c>
      <c r="BS60">
        <v>71733.69</v>
      </c>
      <c r="BT60">
        <v>67398.05</v>
      </c>
      <c r="BU60">
        <v>62481.23</v>
      </c>
      <c r="BV60">
        <v>56739.78</v>
      </c>
      <c r="BW60">
        <v>49780.89</v>
      </c>
      <c r="BY60">
        <f t="shared" si="43"/>
        <v>0.96496170569141249</v>
      </c>
    </row>
    <row r="61" spans="1:77" x14ac:dyDescent="0.3">
      <c r="A61" s="6" t="s">
        <v>173</v>
      </c>
      <c r="B61">
        <v>303.05</v>
      </c>
      <c r="C61">
        <v>682</v>
      </c>
      <c r="E61">
        <v>303.05</v>
      </c>
      <c r="F61">
        <v>345.15559999999999</v>
      </c>
      <c r="G61">
        <v>387.2611</v>
      </c>
      <c r="H61">
        <v>429.36669999999998</v>
      </c>
      <c r="I61">
        <v>471.47219999999999</v>
      </c>
      <c r="J61">
        <v>513.57780000000002</v>
      </c>
      <c r="K61">
        <v>555.68330000000003</v>
      </c>
      <c r="L61">
        <v>597.78890000000001</v>
      </c>
      <c r="M61">
        <v>639.89440000000002</v>
      </c>
      <c r="N61">
        <v>682</v>
      </c>
      <c r="O61">
        <v>1.8381499999999999E-2</v>
      </c>
      <c r="P61">
        <v>1.3284450000000001</v>
      </c>
      <c r="Q61">
        <v>32.391889999999997</v>
      </c>
      <c r="R61">
        <v>372.79910000000001</v>
      </c>
      <c r="S61">
        <v>2506.8339999999998</v>
      </c>
      <c r="T61">
        <v>11351.14</v>
      </c>
      <c r="U61">
        <v>38180.199999999997</v>
      </c>
      <c r="V61">
        <v>102329</v>
      </c>
      <c r="W61">
        <v>230136</v>
      </c>
      <c r="X61">
        <v>451709</v>
      </c>
      <c r="AA61">
        <f t="shared" si="4"/>
        <v>3.2997855139415937E-3</v>
      </c>
      <c r="AB61">
        <f t="shared" si="5"/>
        <v>2.8972440255930947E-3</v>
      </c>
      <c r="AC61">
        <f t="shared" si="6"/>
        <v>2.5822371521436053E-3</v>
      </c>
      <c r="AD61">
        <f t="shared" si="7"/>
        <v>2.3290115418824983E-3</v>
      </c>
      <c r="AE61">
        <f t="shared" si="8"/>
        <v>2.1210158308379583E-3</v>
      </c>
      <c r="AF61">
        <f t="shared" si="9"/>
        <v>1.9471246615410556E-3</v>
      </c>
      <c r="AG61">
        <f t="shared" si="10"/>
        <v>1.7995862031484479E-3</v>
      </c>
      <c r="AH61">
        <f t="shared" si="11"/>
        <v>1.6728313289189544E-3</v>
      </c>
      <c r="AI61">
        <f t="shared" si="12"/>
        <v>1.5627578550460825E-3</v>
      </c>
      <c r="AJ61">
        <f t="shared" si="13"/>
        <v>1.4662756598240469E-3</v>
      </c>
      <c r="AK61">
        <f t="shared" si="14"/>
        <v>-3.9964105549384104</v>
      </c>
      <c r="AL61">
        <f t="shared" si="15"/>
        <v>0.2840090852854516</v>
      </c>
      <c r="AM61">
        <f t="shared" si="16"/>
        <v>3.4779080828238715</v>
      </c>
      <c r="AN61">
        <f t="shared" si="17"/>
        <v>5.9210396686454319</v>
      </c>
      <c r="AO61">
        <f t="shared" si="18"/>
        <v>7.8267758813668875</v>
      </c>
      <c r="AP61">
        <f t="shared" si="19"/>
        <v>9.3370734583943715</v>
      </c>
      <c r="AQ61">
        <f t="shared" si="20"/>
        <v>10.550072335610702</v>
      </c>
      <c r="AR61">
        <f t="shared" si="21"/>
        <v>11.535948391727764</v>
      </c>
      <c r="AS61">
        <f t="shared" si="22"/>
        <v>12.346425717501626</v>
      </c>
      <c r="AT61">
        <f t="shared" si="23"/>
        <v>13.020793446173004</v>
      </c>
      <c r="AU61">
        <f t="shared" si="24"/>
        <v>0.99618600982256045</v>
      </c>
      <c r="AV61">
        <f t="shared" si="25"/>
        <v>10633.486892953759</v>
      </c>
      <c r="AW61">
        <f t="shared" si="26"/>
        <v>10139.140656086522</v>
      </c>
      <c r="AX61">
        <f t="shared" si="27"/>
        <v>9648.0430368096986</v>
      </c>
      <c r="AY61">
        <f t="shared" si="28"/>
        <v>9162.3822585137987</v>
      </c>
      <c r="AZ61">
        <f t="shared" si="29"/>
        <v>8685.3034753524171</v>
      </c>
      <c r="BA61">
        <f t="shared" si="30"/>
        <v>8221.5775495530488</v>
      </c>
      <c r="BB61">
        <f t="shared" si="31"/>
        <v>7777.8157416818913</v>
      </c>
      <c r="BC61">
        <f t="shared" si="32"/>
        <v>7363.0575765230487</v>
      </c>
      <c r="BD61">
        <f t="shared" si="33"/>
        <v>6989.5562297214292</v>
      </c>
      <c r="BE61">
        <f t="shared" si="34"/>
        <v>88406.810028017557</v>
      </c>
      <c r="BF61">
        <f t="shared" si="35"/>
        <v>84296.815414703335</v>
      </c>
      <c r="BG61">
        <f t="shared" si="36"/>
        <v>80213.829808035836</v>
      </c>
      <c r="BH61">
        <f t="shared" si="37"/>
        <v>76176.046097283717</v>
      </c>
      <c r="BI61">
        <f t="shared" si="38"/>
        <v>72209.613094079992</v>
      </c>
      <c r="BJ61">
        <f t="shared" si="39"/>
        <v>68354.195746984042</v>
      </c>
      <c r="BK61">
        <f t="shared" si="40"/>
        <v>64664.760076343242</v>
      </c>
      <c r="BL61">
        <f t="shared" si="41"/>
        <v>61216.460691212626</v>
      </c>
      <c r="BM61">
        <f t="shared" si="42"/>
        <v>58111.170493903963</v>
      </c>
      <c r="BO61">
        <v>90271.55</v>
      </c>
      <c r="BP61">
        <v>86264.960000000006</v>
      </c>
      <c r="BQ61">
        <v>82275.740000000005</v>
      </c>
      <c r="BR61">
        <v>78180.570000000007</v>
      </c>
      <c r="BS61">
        <v>73841.3</v>
      </c>
      <c r="BT61">
        <v>69096.460000000006</v>
      </c>
      <c r="BU61">
        <v>63747.6</v>
      </c>
      <c r="BV61">
        <v>57533.86</v>
      </c>
      <c r="BW61">
        <v>50075.63</v>
      </c>
      <c r="BY61">
        <f t="shared" si="43"/>
        <v>0.97718631689383395</v>
      </c>
    </row>
    <row r="62" spans="1:77" x14ac:dyDescent="0.3">
      <c r="A62" s="6" t="s">
        <v>175</v>
      </c>
      <c r="B62">
        <v>303.08999999999997</v>
      </c>
      <c r="C62">
        <v>700</v>
      </c>
      <c r="E62">
        <v>303.08999999999997</v>
      </c>
      <c r="F62">
        <v>347.19110000000001</v>
      </c>
      <c r="G62">
        <v>391.29219999999998</v>
      </c>
      <c r="H62">
        <v>435.39330000000001</v>
      </c>
      <c r="I62">
        <v>479.49439999999998</v>
      </c>
      <c r="J62">
        <v>523.59559999999999</v>
      </c>
      <c r="K62">
        <v>567.69669999999996</v>
      </c>
      <c r="L62">
        <v>611.79780000000005</v>
      </c>
      <c r="M62">
        <v>655.89890000000003</v>
      </c>
      <c r="N62">
        <v>700</v>
      </c>
      <c r="O62">
        <v>7.1591199999999997E-3</v>
      </c>
      <c r="P62">
        <v>0.64264849999999996</v>
      </c>
      <c r="Q62">
        <v>18.67971</v>
      </c>
      <c r="R62">
        <v>249.08500000000001</v>
      </c>
      <c r="S62">
        <v>1899.701</v>
      </c>
      <c r="T62">
        <v>9595.1779999999999</v>
      </c>
      <c r="U62">
        <v>35523.910000000003</v>
      </c>
      <c r="V62">
        <v>103676</v>
      </c>
      <c r="W62">
        <v>251712</v>
      </c>
      <c r="X62">
        <v>529811</v>
      </c>
      <c r="AA62">
        <f t="shared" si="4"/>
        <v>3.2993500280444755E-3</v>
      </c>
      <c r="AB62">
        <f t="shared" si="5"/>
        <v>2.8802581632996929E-3</v>
      </c>
      <c r="AC62">
        <f t="shared" si="6"/>
        <v>2.5556348938210374E-3</v>
      </c>
      <c r="AD62">
        <f t="shared" si="7"/>
        <v>2.2967739742435172E-3</v>
      </c>
      <c r="AE62">
        <f t="shared" si="8"/>
        <v>2.0855300916965873E-3</v>
      </c>
      <c r="AF62">
        <f t="shared" si="9"/>
        <v>1.9098709003666189E-3</v>
      </c>
      <c r="AG62">
        <f t="shared" si="10"/>
        <v>1.7615039861954456E-3</v>
      </c>
      <c r="AH62">
        <f t="shared" si="11"/>
        <v>1.6345269629933286E-3</v>
      </c>
      <c r="AI62">
        <f t="shared" si="12"/>
        <v>1.5246252128186218E-3</v>
      </c>
      <c r="AJ62">
        <f t="shared" si="13"/>
        <v>1.4285714285714286E-3</v>
      </c>
      <c r="AK62">
        <f t="shared" si="14"/>
        <v>-4.939368210590958</v>
      </c>
      <c r="AL62">
        <f t="shared" si="15"/>
        <v>-0.44215736051414778</v>
      </c>
      <c r="AM62">
        <f t="shared" si="16"/>
        <v>2.9274379080549204</v>
      </c>
      <c r="AN62">
        <f t="shared" si="17"/>
        <v>5.5177942036746224</v>
      </c>
      <c r="AO62">
        <f t="shared" si="18"/>
        <v>7.5494517843497704</v>
      </c>
      <c r="AP62">
        <f t="shared" si="19"/>
        <v>9.1690159595985428</v>
      </c>
      <c r="AQ62">
        <f t="shared" si="20"/>
        <v>10.477961269876706</v>
      </c>
      <c r="AR62">
        <f t="shared" si="21"/>
        <v>11.549025930594951</v>
      </c>
      <c r="AS62">
        <f t="shared" si="22"/>
        <v>12.436040855791481</v>
      </c>
      <c r="AT62">
        <f t="shared" si="23"/>
        <v>13.180275618156474</v>
      </c>
      <c r="AU62">
        <f t="shared" si="24"/>
        <v>0.99771001324123587</v>
      </c>
      <c r="AV62">
        <f t="shared" si="25"/>
        <v>10730.847406965318</v>
      </c>
      <c r="AW62">
        <f t="shared" si="26"/>
        <v>10380.017655483023</v>
      </c>
      <c r="AX62">
        <f t="shared" si="27"/>
        <v>10006.749183489545</v>
      </c>
      <c r="AY62">
        <f t="shared" si="28"/>
        <v>9617.5925010457777</v>
      </c>
      <c r="AZ62">
        <f t="shared" si="29"/>
        <v>9219.9227548901126</v>
      </c>
      <c r="BA62">
        <f t="shared" si="30"/>
        <v>8822.3531343922987</v>
      </c>
      <c r="BB62">
        <f t="shared" si="31"/>
        <v>8435.1060822505333</v>
      </c>
      <c r="BC62">
        <f t="shared" si="32"/>
        <v>8070.9808878063786</v>
      </c>
      <c r="BD62">
        <f t="shared" si="33"/>
        <v>7748.1045457794125</v>
      </c>
      <c r="BE62">
        <f t="shared" si="34"/>
        <v>89216.265341509657</v>
      </c>
      <c r="BF62">
        <f t="shared" si="35"/>
        <v>86299.466787685858</v>
      </c>
      <c r="BG62">
        <f t="shared" si="36"/>
        <v>83196.112711532071</v>
      </c>
      <c r="BH62">
        <f t="shared" si="37"/>
        <v>79960.664053694592</v>
      </c>
      <c r="BI62">
        <f t="shared" si="38"/>
        <v>76654.437784156398</v>
      </c>
      <c r="BJ62">
        <f t="shared" si="39"/>
        <v>73349.043959337578</v>
      </c>
      <c r="BK62">
        <f t="shared" si="40"/>
        <v>70129.471967830934</v>
      </c>
      <c r="BL62">
        <f t="shared" si="41"/>
        <v>67102.135101222229</v>
      </c>
      <c r="BM62">
        <f t="shared" si="42"/>
        <v>64417.74119361004</v>
      </c>
      <c r="BO62">
        <v>96885.759999999995</v>
      </c>
      <c r="BP62">
        <v>91068.02</v>
      </c>
      <c r="BQ62">
        <v>85751.35</v>
      </c>
      <c r="BR62">
        <v>80746.77</v>
      </c>
      <c r="BS62">
        <v>75854.070000000007</v>
      </c>
      <c r="BT62">
        <v>70842.55</v>
      </c>
      <c r="BU62">
        <v>65419.69</v>
      </c>
      <c r="BV62">
        <v>59170.22</v>
      </c>
      <c r="BW62">
        <v>51410.54</v>
      </c>
      <c r="BY62">
        <f t="shared" si="43"/>
        <v>0.99282459401568968</v>
      </c>
    </row>
    <row r="63" spans="1:77" x14ac:dyDescent="0.3">
      <c r="A63" s="6" t="s">
        <v>178</v>
      </c>
      <c r="B63">
        <v>312.14999999999998</v>
      </c>
      <c r="C63">
        <v>701</v>
      </c>
      <c r="E63">
        <v>312.14999999999998</v>
      </c>
      <c r="F63">
        <v>355.35559999999998</v>
      </c>
      <c r="G63">
        <v>398.56110000000001</v>
      </c>
      <c r="H63">
        <v>441.76670000000001</v>
      </c>
      <c r="I63">
        <v>484.97219999999999</v>
      </c>
      <c r="J63">
        <v>528.17780000000005</v>
      </c>
      <c r="K63">
        <v>571.38329999999996</v>
      </c>
      <c r="L63">
        <v>614.58889999999997</v>
      </c>
      <c r="M63">
        <v>657.7944</v>
      </c>
      <c r="N63">
        <v>701</v>
      </c>
      <c r="O63">
        <v>8.0438999999999997E-3</v>
      </c>
      <c r="P63">
        <v>0.68023560000000005</v>
      </c>
      <c r="Q63">
        <v>18.778790000000001</v>
      </c>
      <c r="R63">
        <v>238.82259999999999</v>
      </c>
      <c r="S63">
        <v>1742.0060000000001</v>
      </c>
      <c r="T63">
        <v>8431.9169999999995</v>
      </c>
      <c r="U63">
        <v>29954.71</v>
      </c>
      <c r="V63">
        <v>83924.53</v>
      </c>
      <c r="W63">
        <v>195490</v>
      </c>
      <c r="X63">
        <v>393969</v>
      </c>
      <c r="AA63">
        <f t="shared" si="4"/>
        <v>3.2035880185808108E-3</v>
      </c>
      <c r="AB63">
        <f t="shared" si="5"/>
        <v>2.8140825696851266E-3</v>
      </c>
      <c r="AC63">
        <f t="shared" si="6"/>
        <v>2.5090255923119441E-3</v>
      </c>
      <c r="AD63">
        <f t="shared" si="7"/>
        <v>2.2636382506875234E-3</v>
      </c>
      <c r="AE63">
        <f t="shared" si="8"/>
        <v>2.0619738615945409E-3</v>
      </c>
      <c r="AF63">
        <f t="shared" si="9"/>
        <v>1.8933018388883438E-3</v>
      </c>
      <c r="AG63">
        <f t="shared" si="10"/>
        <v>1.7501386547349215E-3</v>
      </c>
      <c r="AH63">
        <f t="shared" si="11"/>
        <v>1.6271039063673295E-3</v>
      </c>
      <c r="AI63">
        <f t="shared" si="12"/>
        <v>1.5202318536004563E-3</v>
      </c>
      <c r="AJ63">
        <f t="shared" si="13"/>
        <v>1.4265335235378032E-3</v>
      </c>
      <c r="AK63">
        <f t="shared" si="14"/>
        <v>-4.8228412387750614</v>
      </c>
      <c r="AL63">
        <f t="shared" si="15"/>
        <v>-0.38531607023082348</v>
      </c>
      <c r="AM63">
        <f t="shared" si="16"/>
        <v>2.9327280414594581</v>
      </c>
      <c r="AN63">
        <f t="shared" si="17"/>
        <v>5.4757210169063741</v>
      </c>
      <c r="AO63">
        <f t="shared" si="18"/>
        <v>7.4627926017233941</v>
      </c>
      <c r="AP63">
        <f t="shared" si="19"/>
        <v>9.0397794272791856</v>
      </c>
      <c r="AQ63">
        <f t="shared" si="20"/>
        <v>10.307441853282713</v>
      </c>
      <c r="AR63">
        <f t="shared" si="21"/>
        <v>11.337673221594246</v>
      </c>
      <c r="AS63">
        <f t="shared" si="22"/>
        <v>12.183264506204166</v>
      </c>
      <c r="AT63">
        <f t="shared" si="23"/>
        <v>12.884027504981576</v>
      </c>
      <c r="AU63">
        <f t="shared" si="24"/>
        <v>0.99627774444465045</v>
      </c>
      <c r="AV63">
        <f t="shared" si="25"/>
        <v>11392.716536123937</v>
      </c>
      <c r="AW63">
        <f t="shared" si="26"/>
        <v>10876.801246316845</v>
      </c>
      <c r="AX63">
        <f t="shared" si="27"/>
        <v>10363.179121680658</v>
      </c>
      <c r="AY63">
        <f t="shared" si="28"/>
        <v>9853.3588094268343</v>
      </c>
      <c r="AZ63">
        <f t="shared" si="29"/>
        <v>9349.4273694854564</v>
      </c>
      <c r="BA63">
        <f t="shared" si="30"/>
        <v>8854.667724105826</v>
      </c>
      <c r="BB63">
        <f t="shared" si="31"/>
        <v>8373.4992104303838</v>
      </c>
      <c r="BC63">
        <f t="shared" si="32"/>
        <v>7912.1834260493024</v>
      </c>
      <c r="BD63">
        <f t="shared" si="33"/>
        <v>7478.9273011464784</v>
      </c>
      <c r="BE63">
        <f t="shared" si="34"/>
        <v>94719.045281334416</v>
      </c>
      <c r="BF63">
        <f t="shared" si="35"/>
        <v>90429.725561878251</v>
      </c>
      <c r="BG63">
        <f t="shared" si="36"/>
        <v>86159.471217652987</v>
      </c>
      <c r="BH63">
        <f t="shared" si="37"/>
        <v>81920.825141574707</v>
      </c>
      <c r="BI63">
        <f t="shared" si="38"/>
        <v>77731.139149902083</v>
      </c>
      <c r="BJ63">
        <f t="shared" si="39"/>
        <v>73617.707458215838</v>
      </c>
      <c r="BK63">
        <f t="shared" si="40"/>
        <v>69617.272435518214</v>
      </c>
      <c r="BL63">
        <f t="shared" si="41"/>
        <v>65781.893004173908</v>
      </c>
      <c r="BM63">
        <f t="shared" si="42"/>
        <v>62179.801581731823</v>
      </c>
      <c r="BO63">
        <v>96726.19</v>
      </c>
      <c r="BP63">
        <v>92449.79</v>
      </c>
      <c r="BQ63">
        <v>88273.53</v>
      </c>
      <c r="BR63">
        <v>84031.82</v>
      </c>
      <c r="BS63">
        <v>79541.89</v>
      </c>
      <c r="BT63">
        <v>74593.19</v>
      </c>
      <c r="BU63">
        <v>68931.520000000004</v>
      </c>
      <c r="BV63">
        <v>62230.83</v>
      </c>
      <c r="BW63">
        <v>54031.67</v>
      </c>
      <c r="BY63">
        <f t="shared" si="43"/>
        <v>0.97867012769181261</v>
      </c>
    </row>
    <row r="64" spans="1:77" x14ac:dyDescent="0.3">
      <c r="A64" s="6" t="s">
        <v>180</v>
      </c>
      <c r="B64">
        <v>312.02</v>
      </c>
      <c r="C64">
        <v>704</v>
      </c>
      <c r="E64">
        <v>312.02</v>
      </c>
      <c r="F64">
        <v>355.57330000000002</v>
      </c>
      <c r="G64">
        <v>399.12670000000003</v>
      </c>
      <c r="H64">
        <v>442.68</v>
      </c>
      <c r="I64">
        <v>486.23329999999999</v>
      </c>
      <c r="J64">
        <v>529.7867</v>
      </c>
      <c r="K64">
        <v>573.34</v>
      </c>
      <c r="L64">
        <v>616.89329999999995</v>
      </c>
      <c r="M64">
        <v>660.44669999999996</v>
      </c>
      <c r="N64">
        <v>704</v>
      </c>
      <c r="O64">
        <v>2.3213399999999999E-3</v>
      </c>
      <c r="P64">
        <v>0.3272832</v>
      </c>
      <c r="Q64">
        <v>11.740449999999999</v>
      </c>
      <c r="R64">
        <v>169.33340000000001</v>
      </c>
      <c r="S64">
        <v>1306.18</v>
      </c>
      <c r="T64">
        <v>6482.5320000000002</v>
      </c>
      <c r="U64">
        <v>23421.23</v>
      </c>
      <c r="V64">
        <v>67054.97</v>
      </c>
      <c r="W64">
        <v>161520</v>
      </c>
      <c r="X64">
        <v>342056</v>
      </c>
      <c r="AA64">
        <f t="shared" si="4"/>
        <v>3.2049227613614516E-3</v>
      </c>
      <c r="AB64">
        <f t="shared" si="5"/>
        <v>2.8123596456764328E-3</v>
      </c>
      <c r="AC64">
        <f t="shared" si="6"/>
        <v>2.5054700675249237E-3</v>
      </c>
      <c r="AD64">
        <f t="shared" si="7"/>
        <v>2.2589681033703805E-3</v>
      </c>
      <c r="AE64">
        <f t="shared" si="8"/>
        <v>2.0566259036557144E-3</v>
      </c>
      <c r="AF64">
        <f t="shared" si="9"/>
        <v>1.8875521035163774E-3</v>
      </c>
      <c r="AG64">
        <f t="shared" si="10"/>
        <v>1.7441657655143544E-3</v>
      </c>
      <c r="AH64">
        <f t="shared" si="11"/>
        <v>1.6210258727076467E-3</v>
      </c>
      <c r="AI64">
        <f t="shared" si="12"/>
        <v>1.5141267266533395E-3</v>
      </c>
      <c r="AJ64">
        <f t="shared" si="13"/>
        <v>1.4204545454545455E-3</v>
      </c>
      <c r="AK64">
        <f t="shared" si="14"/>
        <v>-6.0656106738357343</v>
      </c>
      <c r="AL64">
        <f t="shared" si="15"/>
        <v>-1.1169294278482953</v>
      </c>
      <c r="AM64">
        <f t="shared" si="16"/>
        <v>2.4630401441593932</v>
      </c>
      <c r="AN64">
        <f t="shared" si="17"/>
        <v>5.1318695526110822</v>
      </c>
      <c r="AO64">
        <f t="shared" si="18"/>
        <v>7.174862125760459</v>
      </c>
      <c r="AP64">
        <f t="shared" si="19"/>
        <v>8.7768664537677772</v>
      </c>
      <c r="AQ64">
        <f t="shared" si="20"/>
        <v>10.06139815498697</v>
      </c>
      <c r="AR64">
        <f t="shared" si="21"/>
        <v>11.11326800975101</v>
      </c>
      <c r="AS64">
        <f t="shared" si="22"/>
        <v>11.992384252986719</v>
      </c>
      <c r="AT64">
        <f t="shared" si="23"/>
        <v>12.742729745330429</v>
      </c>
      <c r="AU64">
        <f t="shared" si="24"/>
        <v>0.99428812918660781</v>
      </c>
      <c r="AV64">
        <f t="shared" si="25"/>
        <v>12606.077973861704</v>
      </c>
      <c r="AW64">
        <f t="shared" si="26"/>
        <v>11665.334461896531</v>
      </c>
      <c r="AX64">
        <f t="shared" si="27"/>
        <v>10826.807882060037</v>
      </c>
      <c r="AY64">
        <f t="shared" si="28"/>
        <v>10096.720190006401</v>
      </c>
      <c r="AZ64">
        <f t="shared" si="29"/>
        <v>9475.1778613071656</v>
      </c>
      <c r="BA64">
        <f t="shared" si="30"/>
        <v>8958.5362114559994</v>
      </c>
      <c r="BB64">
        <f t="shared" si="31"/>
        <v>8542.0721976358873</v>
      </c>
      <c r="BC64">
        <f t="shared" si="32"/>
        <v>8223.7910748987379</v>
      </c>
      <c r="BD64">
        <f t="shared" si="33"/>
        <v>8010.3343675888564</v>
      </c>
      <c r="BE64">
        <f t="shared" si="34"/>
        <v>104806.9322746862</v>
      </c>
      <c r="BF64">
        <f t="shared" si="35"/>
        <v>96985.590716207764</v>
      </c>
      <c r="BG64">
        <f t="shared" si="36"/>
        <v>90014.080731447146</v>
      </c>
      <c r="BH64">
        <f t="shared" si="37"/>
        <v>83944.131659713225</v>
      </c>
      <c r="BI64">
        <f t="shared" si="38"/>
        <v>78776.628738907777</v>
      </c>
      <c r="BJ64">
        <f t="shared" si="39"/>
        <v>74481.27006204518</v>
      </c>
      <c r="BK64">
        <f t="shared" si="40"/>
        <v>71018.788251144768</v>
      </c>
      <c r="BL64">
        <f t="shared" si="41"/>
        <v>68372.598996708111</v>
      </c>
      <c r="BM64">
        <f t="shared" si="42"/>
        <v>66597.919932133751</v>
      </c>
      <c r="BO64">
        <v>108704</v>
      </c>
      <c r="BP64">
        <v>100515</v>
      </c>
      <c r="BQ64">
        <v>93311.13</v>
      </c>
      <c r="BR64">
        <v>86861.74</v>
      </c>
      <c r="BS64">
        <v>80943.789999999994</v>
      </c>
      <c r="BT64">
        <v>75323.31</v>
      </c>
      <c r="BU64">
        <v>69725.539999999994</v>
      </c>
      <c r="BV64">
        <v>63782.01</v>
      </c>
      <c r="BW64">
        <v>56915.78</v>
      </c>
      <c r="BY64">
        <f t="shared" si="43"/>
        <v>0.97310572668342088</v>
      </c>
    </row>
    <row r="65" spans="1:77" x14ac:dyDescent="0.3">
      <c r="A65" s="6" t="s">
        <v>183</v>
      </c>
      <c r="B65">
        <v>319.48</v>
      </c>
      <c r="C65">
        <v>727</v>
      </c>
      <c r="E65">
        <v>319.48</v>
      </c>
      <c r="F65">
        <v>364.76</v>
      </c>
      <c r="G65">
        <v>410.04</v>
      </c>
      <c r="H65">
        <v>455.32</v>
      </c>
      <c r="I65">
        <v>500.6</v>
      </c>
      <c r="J65">
        <v>545.88</v>
      </c>
      <c r="K65">
        <v>591.16</v>
      </c>
      <c r="L65">
        <v>636.44000000000005</v>
      </c>
      <c r="M65">
        <v>681.72</v>
      </c>
      <c r="N65">
        <v>727</v>
      </c>
      <c r="O65">
        <v>2.5976300000000001E-3</v>
      </c>
      <c r="P65">
        <v>0.36632199999999998</v>
      </c>
      <c r="Q65">
        <v>13.666969999999999</v>
      </c>
      <c r="R65">
        <v>205.96129999999999</v>
      </c>
      <c r="S65">
        <v>1637.325</v>
      </c>
      <c r="T65">
        <v>8195.9310000000005</v>
      </c>
      <c r="U65">
        <v>29204.65</v>
      </c>
      <c r="V65">
        <v>80943.350000000006</v>
      </c>
      <c r="W65">
        <v>186538</v>
      </c>
      <c r="X65">
        <v>376705</v>
      </c>
      <c r="AA65">
        <f t="shared" si="4"/>
        <v>3.1300863903843744E-3</v>
      </c>
      <c r="AB65">
        <f t="shared" si="5"/>
        <v>2.7415286763899549E-3</v>
      </c>
      <c r="AC65">
        <f t="shared" si="6"/>
        <v>2.4387864598575748E-3</v>
      </c>
      <c r="AD65">
        <f t="shared" si="7"/>
        <v>2.1962575770886408E-3</v>
      </c>
      <c r="AE65">
        <f t="shared" si="8"/>
        <v>1.997602876548142E-3</v>
      </c>
      <c r="AF65">
        <f t="shared" si="9"/>
        <v>1.8319044478639994E-3</v>
      </c>
      <c r="AG65">
        <f t="shared" si="10"/>
        <v>1.6915894174166048E-3</v>
      </c>
      <c r="AH65">
        <f t="shared" si="11"/>
        <v>1.5712400226258563E-3</v>
      </c>
      <c r="AI65">
        <f t="shared" si="12"/>
        <v>1.4668778970838468E-3</v>
      </c>
      <c r="AJ65">
        <f t="shared" si="13"/>
        <v>1.375515818431912E-3</v>
      </c>
      <c r="AK65">
        <f t="shared" si="14"/>
        <v>-5.9531557881200614</v>
      </c>
      <c r="AL65">
        <f t="shared" si="15"/>
        <v>-1.0042425509408415</v>
      </c>
      <c r="AM65">
        <f t="shared" si="16"/>
        <v>2.6149819729118411</v>
      </c>
      <c r="AN65">
        <f t="shared" si="17"/>
        <v>5.3276882870632445</v>
      </c>
      <c r="AO65">
        <f t="shared" si="18"/>
        <v>7.4008190915693692</v>
      </c>
      <c r="AP65">
        <f t="shared" si="19"/>
        <v>9.0113930905825033</v>
      </c>
      <c r="AQ65">
        <f t="shared" si="20"/>
        <v>10.282083222153325</v>
      </c>
      <c r="AR65">
        <f t="shared" si="21"/>
        <v>11.301504806256343</v>
      </c>
      <c r="AS65">
        <f t="shared" si="22"/>
        <v>12.136390250662318</v>
      </c>
      <c r="AT65">
        <f t="shared" si="23"/>
        <v>12.839217666753711</v>
      </c>
      <c r="AU65">
        <f t="shared" si="24"/>
        <v>0.99377551128506847</v>
      </c>
      <c r="AV65">
        <f t="shared" si="25"/>
        <v>12736.623309582003</v>
      </c>
      <c r="AW65">
        <f t="shared" si="26"/>
        <v>11954.806188933302</v>
      </c>
      <c r="AX65">
        <f t="shared" si="27"/>
        <v>11185.085599622771</v>
      </c>
      <c r="AY65">
        <f t="shared" si="28"/>
        <v>10435.850744359734</v>
      </c>
      <c r="AZ65">
        <f t="shared" si="29"/>
        <v>9719.9111168594118</v>
      </c>
      <c r="BA65">
        <f t="shared" si="30"/>
        <v>9055.9801577865546</v>
      </c>
      <c r="BB65">
        <f t="shared" si="31"/>
        <v>8470.5169134874814</v>
      </c>
      <c r="BC65">
        <f t="shared" si="32"/>
        <v>7999.889232515714</v>
      </c>
      <c r="BD65">
        <f t="shared" si="33"/>
        <v>7692.7695435759397</v>
      </c>
      <c r="BE65">
        <f t="shared" si="34"/>
        <v>105892.28619586477</v>
      </c>
      <c r="BF65">
        <f t="shared" si="35"/>
        <v>99392.258654791469</v>
      </c>
      <c r="BG65">
        <f t="shared" si="36"/>
        <v>92992.80167526372</v>
      </c>
      <c r="BH65">
        <f t="shared" si="37"/>
        <v>86763.663088606831</v>
      </c>
      <c r="BI65">
        <f t="shared" si="38"/>
        <v>80811.341025569156</v>
      </c>
      <c r="BJ65">
        <f t="shared" si="39"/>
        <v>75291.419031837417</v>
      </c>
      <c r="BK65">
        <f t="shared" si="40"/>
        <v>70423.877618734914</v>
      </c>
      <c r="BL65">
        <f t="shared" si="41"/>
        <v>66511.079079135641</v>
      </c>
      <c r="BM65">
        <f t="shared" si="42"/>
        <v>63957.685985290365</v>
      </c>
      <c r="BO65">
        <v>108781</v>
      </c>
      <c r="BP65">
        <v>102558</v>
      </c>
      <c r="BQ65">
        <v>96227.68</v>
      </c>
      <c r="BR65">
        <v>89811.35</v>
      </c>
      <c r="BS65">
        <v>83306.429999999993</v>
      </c>
      <c r="BT65">
        <v>76677.63</v>
      </c>
      <c r="BU65">
        <v>69835.839999999997</v>
      </c>
      <c r="BV65">
        <v>62594</v>
      </c>
      <c r="BW65">
        <v>54556.45</v>
      </c>
      <c r="BY65">
        <f t="shared" si="43"/>
        <v>0.97790147513548542</v>
      </c>
    </row>
    <row r="66" spans="1:77" x14ac:dyDescent="0.3">
      <c r="A66" s="6" t="s">
        <v>185</v>
      </c>
      <c r="B66">
        <v>257.2</v>
      </c>
      <c r="C66">
        <v>621</v>
      </c>
      <c r="E66">
        <v>257.2</v>
      </c>
      <c r="F66">
        <v>297.62220000000002</v>
      </c>
      <c r="G66">
        <v>338.0444</v>
      </c>
      <c r="H66">
        <v>378.4667</v>
      </c>
      <c r="I66">
        <v>418.88889999999998</v>
      </c>
      <c r="J66">
        <v>459.31110000000001</v>
      </c>
      <c r="K66">
        <v>499.73329999999999</v>
      </c>
      <c r="L66">
        <v>540.15560000000005</v>
      </c>
      <c r="M66">
        <v>580.57780000000002</v>
      </c>
      <c r="N66">
        <v>621</v>
      </c>
      <c r="O66">
        <v>1.5758399999999999E-2</v>
      </c>
      <c r="P66">
        <v>1.8818699999999999</v>
      </c>
      <c r="Q66">
        <v>52.041519999999998</v>
      </c>
      <c r="R66">
        <v>575.98770000000002</v>
      </c>
      <c r="S66">
        <v>3518.6909999999998</v>
      </c>
      <c r="T66">
        <v>14440.72</v>
      </c>
      <c r="U66">
        <v>45041.62</v>
      </c>
      <c r="V66">
        <v>115523</v>
      </c>
      <c r="W66">
        <v>256324</v>
      </c>
      <c r="X66">
        <v>508364</v>
      </c>
      <c r="AA66">
        <f t="shared" si="4"/>
        <v>3.8880248833592537E-3</v>
      </c>
      <c r="AB66">
        <f t="shared" si="5"/>
        <v>3.3599644112569556E-3</v>
      </c>
      <c r="AC66">
        <f t="shared" si="6"/>
        <v>2.9581912908481843E-3</v>
      </c>
      <c r="AD66">
        <f t="shared" si="7"/>
        <v>2.642240387331303E-3</v>
      </c>
      <c r="AE66">
        <f t="shared" si="8"/>
        <v>2.3872678411865295E-3</v>
      </c>
      <c r="AF66">
        <f t="shared" si="9"/>
        <v>2.1771735975899559E-3</v>
      </c>
      <c r="AG66">
        <f t="shared" si="10"/>
        <v>2.0010673693348032E-3</v>
      </c>
      <c r="AH66">
        <f t="shared" si="11"/>
        <v>1.8513183978838689E-3</v>
      </c>
      <c r="AI66">
        <f t="shared" si="12"/>
        <v>1.7224220423171536E-3</v>
      </c>
      <c r="AJ66">
        <f t="shared" si="13"/>
        <v>1.6103059581320451E-3</v>
      </c>
      <c r="AK66">
        <f t="shared" si="14"/>
        <v>-4.1503817225488362</v>
      </c>
      <c r="AL66">
        <f t="shared" si="15"/>
        <v>0.63226596332572182</v>
      </c>
      <c r="AM66">
        <f t="shared" si="16"/>
        <v>3.9520418615190569</v>
      </c>
      <c r="AN66">
        <f t="shared" si="17"/>
        <v>6.3560863063012212</v>
      </c>
      <c r="AO66">
        <f t="shared" si="18"/>
        <v>8.1658443244294876</v>
      </c>
      <c r="AP66">
        <f t="shared" si="19"/>
        <v>9.5778072726996193</v>
      </c>
      <c r="AQ66">
        <f t="shared" si="20"/>
        <v>10.715342230195157</v>
      </c>
      <c r="AR66">
        <f t="shared" si="21"/>
        <v>11.657224923318537</v>
      </c>
      <c r="AS66">
        <f t="shared" si="22"/>
        <v>12.4541975482335</v>
      </c>
      <c r="AT66">
        <f t="shared" si="23"/>
        <v>13.138953005404739</v>
      </c>
      <c r="AU66">
        <f t="shared" si="24"/>
        <v>0.99489378026258468</v>
      </c>
      <c r="AV66">
        <f t="shared" si="25"/>
        <v>9057.0075560362002</v>
      </c>
      <c r="AW66">
        <f t="shared" si="26"/>
        <v>8262.8123424875575</v>
      </c>
      <c r="AX66">
        <f t="shared" si="27"/>
        <v>7608.9177717882858</v>
      </c>
      <c r="AY66">
        <f t="shared" si="28"/>
        <v>7097.8544376330037</v>
      </c>
      <c r="AZ66">
        <f t="shared" si="29"/>
        <v>6720.6170150068765</v>
      </c>
      <c r="BA66">
        <f t="shared" si="30"/>
        <v>6459.3681255123602</v>
      </c>
      <c r="BB66">
        <f t="shared" si="31"/>
        <v>6289.7439895404623</v>
      </c>
      <c r="BC66">
        <f t="shared" si="32"/>
        <v>6183.0501057297843</v>
      </c>
      <c r="BD66">
        <f t="shared" si="33"/>
        <v>6107.5577348980332</v>
      </c>
      <c r="BE66">
        <f t="shared" si="34"/>
        <v>75299.960820884968</v>
      </c>
      <c r="BF66">
        <f t="shared" si="35"/>
        <v>68697.021815441549</v>
      </c>
      <c r="BG66">
        <f t="shared" si="36"/>
        <v>63260.542354647805</v>
      </c>
      <c r="BH66">
        <f t="shared" si="37"/>
        <v>59011.561794480796</v>
      </c>
      <c r="BI66">
        <f t="shared" si="38"/>
        <v>55875.209862767173</v>
      </c>
      <c r="BJ66">
        <f t="shared" si="39"/>
        <v>53703.18659550976</v>
      </c>
      <c r="BK66">
        <f t="shared" si="40"/>
        <v>52292.931529039401</v>
      </c>
      <c r="BL66">
        <f t="shared" si="41"/>
        <v>51405.878579037424</v>
      </c>
      <c r="BM66">
        <f t="shared" si="42"/>
        <v>50778.235007942247</v>
      </c>
      <c r="BO66">
        <v>78843.13</v>
      </c>
      <c r="BP66">
        <v>71524.289999999994</v>
      </c>
      <c r="BQ66">
        <v>65695.509999999995</v>
      </c>
      <c r="BR66">
        <v>60963.03</v>
      </c>
      <c r="BS66">
        <v>56995.32</v>
      </c>
      <c r="BT66">
        <v>53484.61</v>
      </c>
      <c r="BU66">
        <v>50106.45</v>
      </c>
      <c r="BV66">
        <v>46465.84</v>
      </c>
      <c r="BW66">
        <v>42003.94</v>
      </c>
      <c r="BY66">
        <f t="shared" si="43"/>
        <v>0.95223463501185335</v>
      </c>
    </row>
    <row r="67" spans="1:77" x14ac:dyDescent="0.3">
      <c r="A67" s="6" t="s">
        <v>187</v>
      </c>
      <c r="B67">
        <v>272.39999999999998</v>
      </c>
      <c r="C67">
        <v>657</v>
      </c>
      <c r="E67">
        <v>272.39999999999998</v>
      </c>
      <c r="F67">
        <v>315.13330000000002</v>
      </c>
      <c r="G67">
        <v>357.86669999999998</v>
      </c>
      <c r="H67">
        <v>400.6</v>
      </c>
      <c r="I67">
        <v>443.33330000000001</v>
      </c>
      <c r="J67">
        <v>486.06670000000003</v>
      </c>
      <c r="K67">
        <v>528.79999999999995</v>
      </c>
      <c r="L67">
        <v>571.53330000000005</v>
      </c>
      <c r="M67">
        <v>614.26670000000001</v>
      </c>
      <c r="N67">
        <v>657</v>
      </c>
      <c r="O67">
        <v>9.8068800000000005E-3</v>
      </c>
      <c r="P67">
        <v>1.2714859999999999</v>
      </c>
      <c r="Q67">
        <v>40.651429999999998</v>
      </c>
      <c r="R67">
        <v>521.74260000000004</v>
      </c>
      <c r="S67">
        <v>3607.259</v>
      </c>
      <c r="T67">
        <v>16191.5</v>
      </c>
      <c r="U67">
        <v>53378.69</v>
      </c>
      <c r="V67">
        <v>140666</v>
      </c>
      <c r="W67">
        <v>314790</v>
      </c>
      <c r="X67">
        <v>626311</v>
      </c>
      <c r="AA67">
        <f t="shared" ref="AA67:AA130" si="44">1/E67</f>
        <v>3.6710719530102793E-3</v>
      </c>
      <c r="AB67">
        <f t="shared" ref="AB67:AB130" si="45">1/F67</f>
        <v>3.1732603314216555E-3</v>
      </c>
      <c r="AC67">
        <f t="shared" ref="AC67:AC130" si="46">1/G67</f>
        <v>2.7943365504530041E-3</v>
      </c>
      <c r="AD67">
        <f t="shared" ref="AD67:AD130" si="47">1/H67</f>
        <v>2.496255616575137E-3</v>
      </c>
      <c r="AE67">
        <f t="shared" ref="AE67:AE130" si="48">1/I67</f>
        <v>2.2556392673412982E-3</v>
      </c>
      <c r="AF67">
        <f t="shared" ref="AF67:AF130" si="49">1/J67</f>
        <v>2.0573308148861052E-3</v>
      </c>
      <c r="AG67">
        <f t="shared" ref="AG67:AG130" si="50">1/K67</f>
        <v>1.8910741301059004E-3</v>
      </c>
      <c r="AH67">
        <f t="shared" ref="AH67:AH130" si="51">1/L67</f>
        <v>1.7496793275212485E-3</v>
      </c>
      <c r="AI67">
        <f t="shared" ref="AI67:AI130" si="52">1/M67</f>
        <v>1.6279573677036375E-3</v>
      </c>
      <c r="AJ67">
        <f t="shared" ref="AJ67:AJ130" si="53">1/N67</f>
        <v>1.5220700152207001E-3</v>
      </c>
      <c r="AK67">
        <f t="shared" ref="AK67:AK130" si="54">LN(O67)</f>
        <v>-4.6246710988046624</v>
      </c>
      <c r="AL67">
        <f t="shared" ref="AL67:AL130" si="55">LN(P67)</f>
        <v>0.24018629520203885</v>
      </c>
      <c r="AM67">
        <f t="shared" ref="AM67:AM130" si="56">LN(Q67)</f>
        <v>3.7050340137268591</v>
      </c>
      <c r="AN67">
        <f t="shared" ref="AN67:AN130" si="57">LN(R67)</f>
        <v>6.2571743628188763</v>
      </c>
      <c r="AO67">
        <f t="shared" ref="AO67:AO130" si="58">LN(S67)</f>
        <v>8.1907034831496492</v>
      </c>
      <c r="AP67">
        <f t="shared" ref="AP67:AP130" si="59">LN(T67)</f>
        <v>9.6922416921637726</v>
      </c>
      <c r="AQ67">
        <f t="shared" ref="AQ67:AQ130" si="60">LN(U67)</f>
        <v>10.885166881630777</v>
      </c>
      <c r="AR67">
        <f t="shared" ref="AR67:AR130" si="61">LN(V67)</f>
        <v>11.854143565002316</v>
      </c>
      <c r="AS67">
        <f t="shared" ref="AS67:AS130" si="62">LN(W67)</f>
        <v>12.659661028820066</v>
      </c>
      <c r="AT67">
        <f t="shared" ref="AT67:AT130" si="63">LN(X67)</f>
        <v>13.347602331827256</v>
      </c>
      <c r="AU67">
        <f t="shared" ref="AU67:AU130" si="64">RSQ(AK67:AT67, AA67:AJ67)</f>
        <v>0.99531103543654953</v>
      </c>
      <c r="AV67">
        <f t="shared" ref="AV67:AV130" si="65">-SLOPE(AK67:AL67, AA67:AB67)</f>
        <v>9772.4865853510946</v>
      </c>
      <c r="AW67">
        <f t="shared" ref="AW67:AW130" si="66">-SLOPE(AL67:AM67, AB67:AC67)</f>
        <v>9143.9173061863548</v>
      </c>
      <c r="AX67">
        <f t="shared" ref="AX67:AX130" si="67">-SLOPE(AM67:AN67, AC67:AD67)</f>
        <v>8561.9040301910372</v>
      </c>
      <c r="AY67">
        <f t="shared" ref="AY67:AY130" si="68">-SLOPE(AN67:AO67, AD67:AE67)</f>
        <v>8035.73458947175</v>
      </c>
      <c r="AZ67">
        <f t="shared" ref="AZ67:AZ130" si="69">-SLOPE(AO67:AP67, AE67:AF67)</f>
        <v>7571.7307579382677</v>
      </c>
      <c r="BA67">
        <f t="shared" ref="BA67:BA130" si="70">-SLOPE(AP67:AQ67, AF67:AG67)</f>
        <v>7175.2013523190326</v>
      </c>
      <c r="BB67">
        <f t="shared" ref="BB67:BB130" si="71">-SLOPE(AQ67:AR67, AG67:AH67)</f>
        <v>6852.9865713516583</v>
      </c>
      <c r="BC67">
        <f t="shared" ref="BC67:BC130" si="72">-SLOPE(AR67:AS67, AH67:AI67)</f>
        <v>6617.6839826169671</v>
      </c>
      <c r="BD67">
        <f t="shared" ref="BD67:BD130" si="73">-SLOPE(AS67:AT67, AI67:AJ67)</f>
        <v>6496.9166465659227</v>
      </c>
      <c r="BE67">
        <f t="shared" ref="BE67:BE130" si="74">AV67*8.314</f>
        <v>81248.453470609005</v>
      </c>
      <c r="BF67">
        <f t="shared" ref="BF67:BF130" si="75">AW67*8.314</f>
        <v>76022.528483633359</v>
      </c>
      <c r="BG67">
        <f t="shared" ref="BG67:BG130" si="76">AX67*8.314</f>
        <v>71183.670107008278</v>
      </c>
      <c r="BH67">
        <f t="shared" ref="BH67:BH130" si="77">AY67*8.314</f>
        <v>66809.097376868129</v>
      </c>
      <c r="BI67">
        <f t="shared" ref="BI67:BI130" si="78">AZ67*8.314</f>
        <v>62951.36952149876</v>
      </c>
      <c r="BJ67">
        <f t="shared" ref="BJ67:BJ130" si="79">BA67*8.314</f>
        <v>59654.62404318044</v>
      </c>
      <c r="BK67">
        <f t="shared" ref="BK67:BK130" si="80">BB67*8.314</f>
        <v>56975.730354217689</v>
      </c>
      <c r="BL67">
        <f t="shared" ref="BL67:BL130" si="81">BC67*8.314</f>
        <v>55019.424631477465</v>
      </c>
      <c r="BM67">
        <f t="shared" ref="BM67:BM130" si="82">BD67*8.314</f>
        <v>54015.364999549085</v>
      </c>
      <c r="BO67">
        <v>83572.38</v>
      </c>
      <c r="BP67">
        <v>78428.509999999995</v>
      </c>
      <c r="BQ67">
        <v>73576.039999999994</v>
      </c>
      <c r="BR67">
        <v>68907.81</v>
      </c>
      <c r="BS67">
        <v>64304.9</v>
      </c>
      <c r="BT67">
        <v>59624.160000000003</v>
      </c>
      <c r="BU67">
        <v>54676.09</v>
      </c>
      <c r="BV67">
        <v>49179.16</v>
      </c>
      <c r="BW67">
        <v>42647.85</v>
      </c>
      <c r="BY67">
        <f t="shared" ref="BY67:BY130" si="83">RSQ(BE67:BM67, BO67:BW67)</f>
        <v>0.9483163327978692</v>
      </c>
    </row>
    <row r="68" spans="1:77" x14ac:dyDescent="0.3">
      <c r="A68" s="6" t="s">
        <v>190</v>
      </c>
      <c r="B68">
        <v>145.59</v>
      </c>
      <c r="C68">
        <v>338</v>
      </c>
      <c r="E68">
        <v>145.59</v>
      </c>
      <c r="F68">
        <v>166.96889999999999</v>
      </c>
      <c r="G68">
        <v>188.34780000000001</v>
      </c>
      <c r="H68">
        <v>209.72669999999999</v>
      </c>
      <c r="I68">
        <v>231.10560000000001</v>
      </c>
      <c r="J68">
        <v>252.48439999999999</v>
      </c>
      <c r="K68">
        <v>273.86329999999998</v>
      </c>
      <c r="L68">
        <v>295.24220000000003</v>
      </c>
      <c r="M68">
        <v>316.62110000000001</v>
      </c>
      <c r="N68">
        <v>338</v>
      </c>
      <c r="O68">
        <v>77.960130000000007</v>
      </c>
      <c r="P68">
        <v>859.8415</v>
      </c>
      <c r="Q68">
        <v>5276.0249999999996</v>
      </c>
      <c r="R68">
        <v>21653.77</v>
      </c>
      <c r="S68">
        <v>66722.03</v>
      </c>
      <c r="T68">
        <v>166579</v>
      </c>
      <c r="U68">
        <v>355132</v>
      </c>
      <c r="V68">
        <v>671278</v>
      </c>
      <c r="W68">
        <v>1156830</v>
      </c>
      <c r="X68">
        <v>1856950</v>
      </c>
      <c r="AA68">
        <f t="shared" si="44"/>
        <v>6.8686036128855002E-3</v>
      </c>
      <c r="AB68">
        <f t="shared" si="45"/>
        <v>5.9891392948028047E-3</v>
      </c>
      <c r="AC68">
        <f t="shared" si="46"/>
        <v>5.3093266818088659E-3</v>
      </c>
      <c r="AD68">
        <f t="shared" si="47"/>
        <v>4.7681101166422782E-3</v>
      </c>
      <c r="AE68">
        <f t="shared" si="48"/>
        <v>4.3270262598569652E-3</v>
      </c>
      <c r="AF68">
        <f t="shared" si="49"/>
        <v>3.9606407366158071E-3</v>
      </c>
      <c r="AG68">
        <f t="shared" si="50"/>
        <v>3.6514567669344525E-3</v>
      </c>
      <c r="AH68">
        <f t="shared" si="51"/>
        <v>3.3870496832769837E-3</v>
      </c>
      <c r="AI68">
        <f t="shared" si="52"/>
        <v>3.1583492066700543E-3</v>
      </c>
      <c r="AJ68">
        <f t="shared" si="53"/>
        <v>2.9585798816568047E-3</v>
      </c>
      <c r="AK68">
        <f t="shared" si="54"/>
        <v>4.3561975421597756</v>
      </c>
      <c r="AL68">
        <f t="shared" si="55"/>
        <v>6.7567480699362115</v>
      </c>
      <c r="AM68">
        <f t="shared" si="56"/>
        <v>8.5709282522641903</v>
      </c>
      <c r="AN68">
        <f t="shared" si="57"/>
        <v>9.9829348522202714</v>
      </c>
      <c r="AO68">
        <f t="shared" si="58"/>
        <v>11.108290462229251</v>
      </c>
      <c r="AP68">
        <f t="shared" si="59"/>
        <v>12.02322495034969</v>
      </c>
      <c r="AQ68">
        <f t="shared" si="60"/>
        <v>12.780244830331458</v>
      </c>
      <c r="AR68">
        <f t="shared" si="61"/>
        <v>13.416938637156841</v>
      </c>
      <c r="AS68">
        <f t="shared" si="62"/>
        <v>13.961194063660326</v>
      </c>
      <c r="AT68">
        <f t="shared" si="63"/>
        <v>14.434445914824266</v>
      </c>
      <c r="AU68">
        <f t="shared" si="64"/>
        <v>0.99940200804266721</v>
      </c>
      <c r="AV68">
        <f t="shared" si="65"/>
        <v>2729.559890513618</v>
      </c>
      <c r="AW68">
        <f t="shared" si="66"/>
        <v>2668.6474296765577</v>
      </c>
      <c r="AX68">
        <f t="shared" si="67"/>
        <v>2608.9493390163734</v>
      </c>
      <c r="AY68">
        <f t="shared" si="68"/>
        <v>2551.3416387775883</v>
      </c>
      <c r="AZ68">
        <f t="shared" si="69"/>
        <v>2497.1906095706213</v>
      </c>
      <c r="BA68">
        <f t="shared" si="70"/>
        <v>2448.4447908536613</v>
      </c>
      <c r="BB68">
        <f t="shared" si="71"/>
        <v>2408.0058598210617</v>
      </c>
      <c r="BC68">
        <f t="shared" si="72"/>
        <v>2379.7739059324476</v>
      </c>
      <c r="BD68">
        <f t="shared" si="73"/>
        <v>2368.991591339422</v>
      </c>
      <c r="BE68">
        <f t="shared" si="74"/>
        <v>22693.560929730222</v>
      </c>
      <c r="BF68">
        <f t="shared" si="75"/>
        <v>22187.134730330901</v>
      </c>
      <c r="BG68">
        <f t="shared" si="76"/>
        <v>21690.804804582127</v>
      </c>
      <c r="BH68">
        <f t="shared" si="77"/>
        <v>21211.854384796869</v>
      </c>
      <c r="BI68">
        <f t="shared" si="78"/>
        <v>20761.642727970146</v>
      </c>
      <c r="BJ68">
        <f t="shared" si="79"/>
        <v>20356.369991157339</v>
      </c>
      <c r="BK68">
        <f t="shared" si="80"/>
        <v>20020.160718552306</v>
      </c>
      <c r="BL68">
        <f t="shared" si="81"/>
        <v>19785.44025392237</v>
      </c>
      <c r="BM68">
        <f t="shared" si="82"/>
        <v>19695.796090395954</v>
      </c>
      <c r="BO68">
        <v>23384.16</v>
      </c>
      <c r="BP68">
        <v>22707.09</v>
      </c>
      <c r="BQ68">
        <v>21988.49</v>
      </c>
      <c r="BR68">
        <v>21214.560000000001</v>
      </c>
      <c r="BS68">
        <v>20368.78</v>
      </c>
      <c r="BT68">
        <v>19430.689999999999</v>
      </c>
      <c r="BU68">
        <v>18373.8</v>
      </c>
      <c r="BV68">
        <v>17161.919999999998</v>
      </c>
      <c r="BW68">
        <v>15741.43</v>
      </c>
      <c r="BY68">
        <f t="shared" si="83"/>
        <v>0.9203015971257843</v>
      </c>
    </row>
    <row r="69" spans="1:77" x14ac:dyDescent="0.3">
      <c r="A69" s="6" t="s">
        <v>193</v>
      </c>
      <c r="B69">
        <v>85.47</v>
      </c>
      <c r="C69">
        <v>309</v>
      </c>
      <c r="E69">
        <v>85.47</v>
      </c>
      <c r="F69">
        <v>110.30670000000001</v>
      </c>
      <c r="G69">
        <v>135.14330000000001</v>
      </c>
      <c r="H69">
        <v>159.97999999999999</v>
      </c>
      <c r="I69">
        <v>184.8167</v>
      </c>
      <c r="J69">
        <v>209.6533</v>
      </c>
      <c r="K69">
        <v>234.49</v>
      </c>
      <c r="L69">
        <v>259.32670000000002</v>
      </c>
      <c r="M69">
        <v>284.16329999999999</v>
      </c>
      <c r="N69">
        <v>309</v>
      </c>
      <c r="O69">
        <v>1.6787799999999999E-4</v>
      </c>
      <c r="P69">
        <v>0.37306060000000002</v>
      </c>
      <c r="Q69">
        <v>39.153889999999997</v>
      </c>
      <c r="R69">
        <v>842.32339999999999</v>
      </c>
      <c r="S69">
        <v>7244.1850000000004</v>
      </c>
      <c r="T69">
        <v>35195.269999999997</v>
      </c>
      <c r="U69">
        <v>117519</v>
      </c>
      <c r="V69">
        <v>303757</v>
      </c>
      <c r="W69">
        <v>655811</v>
      </c>
      <c r="X69">
        <v>1244240</v>
      </c>
      <c r="Y69" s="13"/>
      <c r="AA69">
        <f t="shared" si="44"/>
        <v>1.1700011700011699E-2</v>
      </c>
      <c r="AB69">
        <f t="shared" si="45"/>
        <v>9.0656324593157075E-3</v>
      </c>
      <c r="AC69">
        <f t="shared" si="46"/>
        <v>7.3995529190126327E-3</v>
      </c>
      <c r="AD69">
        <f t="shared" si="47"/>
        <v>6.2507813476684587E-3</v>
      </c>
      <c r="AE69">
        <f t="shared" si="48"/>
        <v>5.4107664513001258E-3</v>
      </c>
      <c r="AF69">
        <f t="shared" si="49"/>
        <v>4.7697794406288858E-3</v>
      </c>
      <c r="AG69">
        <f t="shared" si="50"/>
        <v>4.2645741822679006E-3</v>
      </c>
      <c r="AH69">
        <f t="shared" si="51"/>
        <v>3.8561397650145549E-3</v>
      </c>
      <c r="AI69">
        <f t="shared" si="52"/>
        <v>3.519103276179577E-3</v>
      </c>
      <c r="AJ69">
        <f t="shared" si="53"/>
        <v>3.2362459546925568E-3</v>
      </c>
      <c r="AK69">
        <f t="shared" si="54"/>
        <v>-8.6922730328412321</v>
      </c>
      <c r="AL69">
        <f t="shared" si="55"/>
        <v>-0.98601440604663637</v>
      </c>
      <c r="AM69">
        <f t="shared" si="56"/>
        <v>3.6674997789311878</v>
      </c>
      <c r="AN69">
        <f t="shared" si="57"/>
        <v>6.7361640260110569</v>
      </c>
      <c r="AO69">
        <f t="shared" si="58"/>
        <v>8.8879543570537933</v>
      </c>
      <c r="AP69">
        <f t="shared" si="59"/>
        <v>10.46866697755706</v>
      </c>
      <c r="AQ69">
        <f t="shared" si="60"/>
        <v>11.674355301621631</v>
      </c>
      <c r="AR69">
        <f t="shared" si="61"/>
        <v>12.623983318638848</v>
      </c>
      <c r="AS69">
        <f t="shared" si="62"/>
        <v>13.39362791665854</v>
      </c>
      <c r="AT69">
        <f t="shared" si="63"/>
        <v>14.034035459718442</v>
      </c>
      <c r="AU69">
        <f t="shared" si="64"/>
        <v>0.99814229557873002</v>
      </c>
      <c r="AV69">
        <f t="shared" si="65"/>
        <v>2925.2654696590439</v>
      </c>
      <c r="AW69">
        <f t="shared" si="66"/>
        <v>2793.0924499146713</v>
      </c>
      <c r="AX69">
        <f t="shared" si="67"/>
        <v>2671.2571268535435</v>
      </c>
      <c r="AY69">
        <f t="shared" si="68"/>
        <v>2561.6097290008192</v>
      </c>
      <c r="AZ69">
        <f t="shared" si="69"/>
        <v>2466.0603010472059</v>
      </c>
      <c r="BA69">
        <f t="shared" si="70"/>
        <v>2386.5316207834644</v>
      </c>
      <c r="BB69">
        <f t="shared" si="71"/>
        <v>2325.044063140685</v>
      </c>
      <c r="BC69">
        <f t="shared" si="72"/>
        <v>2283.5646095177858</v>
      </c>
      <c r="BD69">
        <f t="shared" si="73"/>
        <v>2264.065641621688</v>
      </c>
      <c r="BE69">
        <f t="shared" si="74"/>
        <v>24320.657114745292</v>
      </c>
      <c r="BF69">
        <f t="shared" si="75"/>
        <v>23221.770628590577</v>
      </c>
      <c r="BG69">
        <f t="shared" si="76"/>
        <v>22208.831752660361</v>
      </c>
      <c r="BH69">
        <f t="shared" si="77"/>
        <v>21297.223286912813</v>
      </c>
      <c r="BI69">
        <f t="shared" si="78"/>
        <v>20502.825342906472</v>
      </c>
      <c r="BJ69">
        <f t="shared" si="79"/>
        <v>19841.623895193723</v>
      </c>
      <c r="BK69">
        <f t="shared" si="80"/>
        <v>19330.416340951655</v>
      </c>
      <c r="BL69">
        <f t="shared" si="81"/>
        <v>18985.556163530873</v>
      </c>
      <c r="BM69">
        <f t="shared" si="82"/>
        <v>18823.441744442713</v>
      </c>
      <c r="BO69">
        <v>24787</v>
      </c>
      <c r="BP69">
        <v>23728.58</v>
      </c>
      <c r="BQ69">
        <v>22721.78</v>
      </c>
      <c r="BR69">
        <v>21737.9</v>
      </c>
      <c r="BS69">
        <v>20745.53</v>
      </c>
      <c r="BT69">
        <v>19708.45</v>
      </c>
      <c r="BU69">
        <v>18582.259999999998</v>
      </c>
      <c r="BV69">
        <v>17308.62</v>
      </c>
      <c r="BW69">
        <v>15803.34</v>
      </c>
      <c r="BY69">
        <f t="shared" si="83"/>
        <v>0.92526134399010562</v>
      </c>
    </row>
    <row r="70" spans="1:77" x14ac:dyDescent="0.3">
      <c r="A70" s="6" t="s">
        <v>196</v>
      </c>
      <c r="B70">
        <v>278.68</v>
      </c>
      <c r="C70">
        <v>502</v>
      </c>
      <c r="E70">
        <v>278.68</v>
      </c>
      <c r="F70">
        <v>303.49329999999998</v>
      </c>
      <c r="G70">
        <v>328.30669999999998</v>
      </c>
      <c r="H70">
        <v>353.12</v>
      </c>
      <c r="I70">
        <v>377.93329999999997</v>
      </c>
      <c r="J70">
        <v>402.74669999999998</v>
      </c>
      <c r="K70">
        <v>427.56</v>
      </c>
      <c r="L70">
        <v>452.37329999999997</v>
      </c>
      <c r="M70">
        <v>477.18669999999997</v>
      </c>
      <c r="N70">
        <v>502</v>
      </c>
      <c r="O70">
        <v>4764.2169999999996</v>
      </c>
      <c r="P70">
        <v>16096.06</v>
      </c>
      <c r="Q70">
        <v>43763.76</v>
      </c>
      <c r="R70">
        <v>100831</v>
      </c>
      <c r="S70">
        <v>204390</v>
      </c>
      <c r="T70">
        <v>374817</v>
      </c>
      <c r="U70">
        <v>635098</v>
      </c>
      <c r="V70">
        <v>1010590</v>
      </c>
      <c r="W70">
        <v>1529430</v>
      </c>
      <c r="X70">
        <v>2223560</v>
      </c>
      <c r="AA70">
        <f t="shared" si="44"/>
        <v>3.5883450552605138E-3</v>
      </c>
      <c r="AB70">
        <f t="shared" si="45"/>
        <v>3.2949656549254962E-3</v>
      </c>
      <c r="AC70">
        <f t="shared" si="46"/>
        <v>3.0459323553250666E-3</v>
      </c>
      <c r="AD70">
        <f t="shared" si="47"/>
        <v>2.8318985047575893E-3</v>
      </c>
      <c r="AE70">
        <f t="shared" si="48"/>
        <v>2.645969540127848E-3</v>
      </c>
      <c r="AF70">
        <f t="shared" si="49"/>
        <v>2.4829502017024597E-3</v>
      </c>
      <c r="AG70">
        <f t="shared" si="50"/>
        <v>2.3388530264758164E-3</v>
      </c>
      <c r="AH70">
        <f t="shared" si="51"/>
        <v>2.2105637092197971E-3</v>
      </c>
      <c r="AI70">
        <f t="shared" si="52"/>
        <v>2.0956158250009902E-3</v>
      </c>
      <c r="AJ70">
        <f t="shared" si="53"/>
        <v>1.9920318725099601E-3</v>
      </c>
      <c r="AK70">
        <f t="shared" si="54"/>
        <v>8.4688884793958419</v>
      </c>
      <c r="AL70">
        <f t="shared" si="55"/>
        <v>9.6863298005267122</v>
      </c>
      <c r="AM70">
        <f t="shared" si="56"/>
        <v>10.686561356622224</v>
      </c>
      <c r="AN70">
        <f t="shared" si="57"/>
        <v>11.52120112702131</v>
      </c>
      <c r="AO70">
        <f t="shared" si="58"/>
        <v>12.227785212435824</v>
      </c>
      <c r="AP70">
        <f t="shared" si="59"/>
        <v>12.834193185841796</v>
      </c>
      <c r="AQ70">
        <f t="shared" si="60"/>
        <v>13.361534596675732</v>
      </c>
      <c r="AR70">
        <f t="shared" si="61"/>
        <v>13.826044876679173</v>
      </c>
      <c r="AS70">
        <f t="shared" si="62"/>
        <v>14.240405674935383</v>
      </c>
      <c r="AT70">
        <f t="shared" si="63"/>
        <v>14.614620073052736</v>
      </c>
      <c r="AU70">
        <f t="shared" si="64"/>
        <v>0.99933044434490903</v>
      </c>
      <c r="AV70">
        <f t="shared" si="65"/>
        <v>4149.7164413746914</v>
      </c>
      <c r="AW70">
        <f t="shared" si="66"/>
        <v>4016.4570669881077</v>
      </c>
      <c r="AX70">
        <f t="shared" si="67"/>
        <v>3899.5690082955052</v>
      </c>
      <c r="AY70">
        <f t="shared" si="68"/>
        <v>3800.2905401081798</v>
      </c>
      <c r="AZ70">
        <f t="shared" si="69"/>
        <v>3719.8529896102859</v>
      </c>
      <c r="BA70">
        <f t="shared" si="70"/>
        <v>3659.6235145103064</v>
      </c>
      <c r="BB70">
        <f t="shared" si="71"/>
        <v>3620.8024950077947</v>
      </c>
      <c r="BC70">
        <f t="shared" si="72"/>
        <v>3604.7709888027266</v>
      </c>
      <c r="BD70">
        <f t="shared" si="73"/>
        <v>3612.6676875914559</v>
      </c>
      <c r="BE70">
        <f t="shared" si="74"/>
        <v>34500.742493589183</v>
      </c>
      <c r="BF70">
        <f t="shared" si="75"/>
        <v>33392.824054939127</v>
      </c>
      <c r="BG70">
        <f t="shared" si="76"/>
        <v>32421.016734968831</v>
      </c>
      <c r="BH70">
        <f t="shared" si="77"/>
        <v>31595.615550459406</v>
      </c>
      <c r="BI70">
        <f t="shared" si="78"/>
        <v>30926.857755619916</v>
      </c>
      <c r="BJ70">
        <f t="shared" si="79"/>
        <v>30426.109899638686</v>
      </c>
      <c r="BK70">
        <f t="shared" si="80"/>
        <v>30103.351943494807</v>
      </c>
      <c r="BL70">
        <f t="shared" si="81"/>
        <v>29970.06600090587</v>
      </c>
      <c r="BM70">
        <f t="shared" si="82"/>
        <v>30035.719154635364</v>
      </c>
      <c r="BO70">
        <v>34931.910000000003</v>
      </c>
      <c r="BP70">
        <v>33576.93</v>
      </c>
      <c r="BQ70">
        <v>32185.77</v>
      </c>
      <c r="BR70">
        <v>30744.05</v>
      </c>
      <c r="BS70">
        <v>29232.99</v>
      </c>
      <c r="BT70">
        <v>27626.95</v>
      </c>
      <c r="BU70">
        <v>25889.38</v>
      </c>
      <c r="BV70">
        <v>23964.82</v>
      </c>
      <c r="BW70">
        <v>21761.91</v>
      </c>
      <c r="BY70">
        <f t="shared" si="83"/>
        <v>0.84629111108958388</v>
      </c>
    </row>
    <row r="71" spans="1:77" x14ac:dyDescent="0.3">
      <c r="A71" s="6" t="s">
        <v>199</v>
      </c>
      <c r="B71">
        <v>159.05000000000001</v>
      </c>
      <c r="C71">
        <v>464</v>
      </c>
      <c r="E71">
        <v>159.05000000000001</v>
      </c>
      <c r="F71">
        <v>192.9333</v>
      </c>
      <c r="G71">
        <v>226.8167</v>
      </c>
      <c r="H71">
        <v>260.7</v>
      </c>
      <c r="I71">
        <v>294.58330000000001</v>
      </c>
      <c r="J71">
        <v>328.4667</v>
      </c>
      <c r="K71">
        <v>362.35</v>
      </c>
      <c r="L71">
        <v>396.23329999999999</v>
      </c>
      <c r="M71">
        <v>430.11669999999998</v>
      </c>
      <c r="N71">
        <v>464</v>
      </c>
      <c r="O71">
        <v>4.9564200000000002E-4</v>
      </c>
      <c r="P71">
        <v>0.33613890000000002</v>
      </c>
      <c r="Q71">
        <v>27.382739999999998</v>
      </c>
      <c r="R71">
        <v>629.15260000000001</v>
      </c>
      <c r="S71">
        <v>6427.1580000000004</v>
      </c>
      <c r="T71">
        <v>38011.42</v>
      </c>
      <c r="U71">
        <v>153214</v>
      </c>
      <c r="V71">
        <v>467951</v>
      </c>
      <c r="W71">
        <v>1163410</v>
      </c>
      <c r="X71">
        <v>2475360</v>
      </c>
      <c r="AA71">
        <f t="shared" si="44"/>
        <v>6.2873310279786222E-3</v>
      </c>
      <c r="AB71">
        <f t="shared" si="45"/>
        <v>5.183138421412996E-3</v>
      </c>
      <c r="AC71">
        <f t="shared" si="46"/>
        <v>4.4088464385558914E-3</v>
      </c>
      <c r="AD71">
        <f t="shared" si="47"/>
        <v>3.8358266206367474E-3</v>
      </c>
      <c r="AE71">
        <f t="shared" si="48"/>
        <v>3.3946255609194412E-3</v>
      </c>
      <c r="AF71">
        <f t="shared" si="49"/>
        <v>3.0444486457835754E-3</v>
      </c>
      <c r="AG71">
        <f t="shared" si="50"/>
        <v>2.7597626604112043E-3</v>
      </c>
      <c r="AH71">
        <f t="shared" si="51"/>
        <v>2.523765670376518E-3</v>
      </c>
      <c r="AI71">
        <f t="shared" si="52"/>
        <v>2.3249504146200324E-3</v>
      </c>
      <c r="AJ71">
        <f t="shared" si="53"/>
        <v>2.1551724137931034E-3</v>
      </c>
      <c r="AK71">
        <f t="shared" si="54"/>
        <v>-7.609656666037294</v>
      </c>
      <c r="AL71">
        <f t="shared" si="55"/>
        <v>-1.0902308115850756</v>
      </c>
      <c r="AM71">
        <f t="shared" si="56"/>
        <v>3.3099128878993485</v>
      </c>
      <c r="AN71">
        <f t="shared" si="57"/>
        <v>6.444373834589241</v>
      </c>
      <c r="AO71">
        <f t="shared" si="58"/>
        <v>8.768287728856258</v>
      </c>
      <c r="AP71">
        <f t="shared" si="59"/>
        <v>10.545641919875324</v>
      </c>
      <c r="AQ71">
        <f t="shared" si="60"/>
        <v>11.939590915925391</v>
      </c>
      <c r="AR71">
        <f t="shared" si="61"/>
        <v>13.056118868563566</v>
      </c>
      <c r="AS71">
        <f t="shared" si="62"/>
        <v>13.966865905917818</v>
      </c>
      <c r="AT71">
        <f t="shared" si="63"/>
        <v>14.721896397952895</v>
      </c>
      <c r="AU71">
        <f t="shared" si="64"/>
        <v>0.99820013481085701</v>
      </c>
      <c r="AV71">
        <f t="shared" si="65"/>
        <v>5904.2469725726651</v>
      </c>
      <c r="AW71">
        <f t="shared" si="66"/>
        <v>5682.7964087243681</v>
      </c>
      <c r="AX71">
        <f t="shared" si="67"/>
        <v>5470.0742429333932</v>
      </c>
      <c r="AY71">
        <f t="shared" si="68"/>
        <v>5267.2445885692887</v>
      </c>
      <c r="AZ71">
        <f t="shared" si="69"/>
        <v>5075.5892641565688</v>
      </c>
      <c r="BA71">
        <f t="shared" si="70"/>
        <v>4896.4440389532083</v>
      </c>
      <c r="BB71">
        <f t="shared" si="71"/>
        <v>4731.110987788742</v>
      </c>
      <c r="BC71">
        <f t="shared" si="72"/>
        <v>4580.8709894464027</v>
      </c>
      <c r="BD71">
        <f t="shared" si="73"/>
        <v>4447.1632859239053</v>
      </c>
      <c r="BE71">
        <f t="shared" si="74"/>
        <v>49087.909329969138</v>
      </c>
      <c r="BF71">
        <f t="shared" si="75"/>
        <v>47246.769342134394</v>
      </c>
      <c r="BG71">
        <f t="shared" si="76"/>
        <v>45478.19725574823</v>
      </c>
      <c r="BH71">
        <f t="shared" si="77"/>
        <v>43791.871509365068</v>
      </c>
      <c r="BI71">
        <f t="shared" si="78"/>
        <v>42198.449142197715</v>
      </c>
      <c r="BJ71">
        <f t="shared" si="79"/>
        <v>40709.035739856976</v>
      </c>
      <c r="BK71">
        <f t="shared" si="80"/>
        <v>39334.456752475598</v>
      </c>
      <c r="BL71">
        <f t="shared" si="81"/>
        <v>38085.361406257391</v>
      </c>
      <c r="BM71">
        <f t="shared" si="82"/>
        <v>36973.715559171345</v>
      </c>
      <c r="BO71">
        <v>50059.57</v>
      </c>
      <c r="BP71">
        <v>48063.94</v>
      </c>
      <c r="BQ71">
        <v>46265.46</v>
      </c>
      <c r="BR71">
        <v>44542.28</v>
      </c>
      <c r="BS71">
        <v>42759.98</v>
      </c>
      <c r="BT71">
        <v>40760.93</v>
      </c>
      <c r="BU71">
        <v>38349.120000000003</v>
      </c>
      <c r="BV71">
        <v>35263.96</v>
      </c>
      <c r="BW71">
        <v>31121.29</v>
      </c>
      <c r="BY71">
        <f t="shared" si="83"/>
        <v>0.94893142626265137</v>
      </c>
    </row>
    <row r="72" spans="1:77" x14ac:dyDescent="0.3">
      <c r="A72" s="6" t="s">
        <v>202</v>
      </c>
      <c r="B72">
        <v>289.81</v>
      </c>
      <c r="C72">
        <v>511</v>
      </c>
      <c r="E72">
        <v>289.81</v>
      </c>
      <c r="F72">
        <v>314.38670000000002</v>
      </c>
      <c r="G72">
        <v>338.9633</v>
      </c>
      <c r="H72">
        <v>363.54</v>
      </c>
      <c r="I72">
        <v>388.11669999999998</v>
      </c>
      <c r="J72">
        <v>412.69330000000002</v>
      </c>
      <c r="K72">
        <v>437.27</v>
      </c>
      <c r="L72">
        <v>461.8467</v>
      </c>
      <c r="M72">
        <v>486.42329999999998</v>
      </c>
      <c r="N72">
        <v>511</v>
      </c>
      <c r="O72">
        <v>1276.9000000000001</v>
      </c>
      <c r="P72">
        <v>4945.3010000000004</v>
      </c>
      <c r="Q72">
        <v>15390.8</v>
      </c>
      <c r="R72">
        <v>40338.54</v>
      </c>
      <c r="S72">
        <v>92214.57</v>
      </c>
      <c r="T72">
        <v>188873</v>
      </c>
      <c r="U72">
        <v>353984</v>
      </c>
      <c r="V72">
        <v>617422</v>
      </c>
      <c r="W72">
        <v>1016240</v>
      </c>
      <c r="X72">
        <v>1596960</v>
      </c>
      <c r="AA72">
        <f t="shared" si="44"/>
        <v>3.4505365584348367E-3</v>
      </c>
      <c r="AB72">
        <f t="shared" si="45"/>
        <v>3.1807961341876103E-3</v>
      </c>
      <c r="AC72">
        <f t="shared" si="46"/>
        <v>2.9501718917652737E-3</v>
      </c>
      <c r="AD72">
        <f t="shared" si="47"/>
        <v>2.7507289431699397E-3</v>
      </c>
      <c r="AE72">
        <f t="shared" si="48"/>
        <v>2.5765446320655618E-3</v>
      </c>
      <c r="AF72">
        <f t="shared" si="49"/>
        <v>2.423106941644073E-3</v>
      </c>
      <c r="AG72">
        <f t="shared" si="50"/>
        <v>2.2869165504150754E-3</v>
      </c>
      <c r="AH72">
        <f t="shared" si="51"/>
        <v>2.1652206240728796E-3</v>
      </c>
      <c r="AI72">
        <f t="shared" si="52"/>
        <v>2.0558225726440326E-3</v>
      </c>
      <c r="AJ72">
        <f t="shared" si="53"/>
        <v>1.9569471624266144E-3</v>
      </c>
      <c r="AK72">
        <f t="shared" si="54"/>
        <v>7.1521905444306357</v>
      </c>
      <c r="AL72">
        <f t="shared" si="55"/>
        <v>8.5061931117695533</v>
      </c>
      <c r="AM72">
        <f t="shared" si="56"/>
        <v>9.6415252072882858</v>
      </c>
      <c r="AN72">
        <f t="shared" si="57"/>
        <v>10.605062618488345</v>
      </c>
      <c r="AO72">
        <f t="shared" si="58"/>
        <v>11.431873423090256</v>
      </c>
      <c r="AP72">
        <f t="shared" si="59"/>
        <v>12.148830110505079</v>
      </c>
      <c r="AQ72">
        <f t="shared" si="60"/>
        <v>12.77700699335435</v>
      </c>
      <c r="AR72">
        <f t="shared" si="61"/>
        <v>13.333308023716285</v>
      </c>
      <c r="AS72">
        <f t="shared" si="62"/>
        <v>13.831620099697343</v>
      </c>
      <c r="AT72">
        <f t="shared" si="63"/>
        <v>14.283612379920413</v>
      </c>
      <c r="AU72">
        <f t="shared" si="64"/>
        <v>0.99968171969537789</v>
      </c>
      <c r="AV72">
        <f t="shared" si="65"/>
        <v>5019.6501733753012</v>
      </c>
      <c r="AW72">
        <f t="shared" si="66"/>
        <v>4922.8653657304012</v>
      </c>
      <c r="AX72">
        <f t="shared" si="67"/>
        <v>4831.1430310582637</v>
      </c>
      <c r="AY72">
        <f t="shared" si="68"/>
        <v>4746.7581859680449</v>
      </c>
      <c r="AZ72">
        <f t="shared" si="69"/>
        <v>4672.6243431152052</v>
      </c>
      <c r="BA72">
        <f t="shared" si="70"/>
        <v>4612.4904788108133</v>
      </c>
      <c r="BB72">
        <f t="shared" si="71"/>
        <v>4571.2378966381821</v>
      </c>
      <c r="BC72">
        <f t="shared" si="72"/>
        <v>4555.0361224227354</v>
      </c>
      <c r="BD72">
        <f t="shared" si="73"/>
        <v>4571.3315295398488</v>
      </c>
      <c r="BE72">
        <f t="shared" si="74"/>
        <v>41733.371541442255</v>
      </c>
      <c r="BF72">
        <f t="shared" si="75"/>
        <v>40928.702650682557</v>
      </c>
      <c r="BG72">
        <f t="shared" si="76"/>
        <v>40166.123160218405</v>
      </c>
      <c r="BH72">
        <f t="shared" si="77"/>
        <v>39464.547558138329</v>
      </c>
      <c r="BI72">
        <f t="shared" si="78"/>
        <v>38848.198788659814</v>
      </c>
      <c r="BJ72">
        <f t="shared" si="79"/>
        <v>38348.2458408331</v>
      </c>
      <c r="BK72">
        <f t="shared" si="80"/>
        <v>38005.271872649842</v>
      </c>
      <c r="BL72">
        <f t="shared" si="81"/>
        <v>37870.570321822619</v>
      </c>
      <c r="BM72">
        <f t="shared" si="82"/>
        <v>38006.0503365943</v>
      </c>
      <c r="BO72">
        <v>24466.59</v>
      </c>
      <c r="BP72">
        <v>24062.71</v>
      </c>
      <c r="BQ72">
        <v>23779.55</v>
      </c>
      <c r="BR72">
        <v>23574.720000000001</v>
      </c>
      <c r="BS72">
        <v>23400.34</v>
      </c>
      <c r="BT72">
        <v>23198.959999999999</v>
      </c>
      <c r="BU72">
        <v>22898.23</v>
      </c>
      <c r="BV72">
        <v>22403.55</v>
      </c>
      <c r="BW72">
        <v>21586.41</v>
      </c>
      <c r="BY72">
        <f t="shared" si="83"/>
        <v>0.7579770980328161</v>
      </c>
    </row>
    <row r="73" spans="1:77" x14ac:dyDescent="0.3">
      <c r="A73" s="1" t="s">
        <v>205</v>
      </c>
      <c r="B73">
        <v>352.9</v>
      </c>
      <c r="C73">
        <v>767</v>
      </c>
      <c r="E73">
        <v>352.9</v>
      </c>
      <c r="F73">
        <v>398.91109999999998</v>
      </c>
      <c r="G73">
        <v>444.92219999999998</v>
      </c>
      <c r="H73">
        <v>490.93329999999997</v>
      </c>
      <c r="I73">
        <v>536.94439999999997</v>
      </c>
      <c r="J73">
        <v>582.9556</v>
      </c>
      <c r="K73">
        <v>628.96669999999995</v>
      </c>
      <c r="L73">
        <v>674.9778</v>
      </c>
      <c r="M73">
        <v>720.98889999999994</v>
      </c>
      <c r="N73">
        <v>767</v>
      </c>
      <c r="O73">
        <v>1.31499E-3</v>
      </c>
      <c r="P73">
        <v>0.18853700000000001</v>
      </c>
      <c r="Q73">
        <v>7.932836</v>
      </c>
      <c r="R73">
        <v>139.62739999999999</v>
      </c>
      <c r="S73">
        <v>1298.5029999999999</v>
      </c>
      <c r="T73">
        <v>7490.5150000000003</v>
      </c>
      <c r="U73">
        <v>30044.31</v>
      </c>
      <c r="V73">
        <v>91122.85</v>
      </c>
      <c r="W73">
        <v>222695</v>
      </c>
      <c r="X73">
        <v>460951</v>
      </c>
      <c r="AA73">
        <f t="shared" si="44"/>
        <v>2.8336639274582037E-3</v>
      </c>
      <c r="AB73">
        <f t="shared" si="45"/>
        <v>2.5068242021843968E-3</v>
      </c>
      <c r="AC73">
        <f t="shared" si="46"/>
        <v>2.2475839596226036E-3</v>
      </c>
      <c r="AD73">
        <f t="shared" si="47"/>
        <v>2.0369365858865147E-3</v>
      </c>
      <c r="AE73">
        <f t="shared" si="48"/>
        <v>1.8623902214083992E-3</v>
      </c>
      <c r="AF73">
        <f t="shared" si="49"/>
        <v>1.7153965070410165E-3</v>
      </c>
      <c r="AG73">
        <f t="shared" si="50"/>
        <v>1.5899092909052262E-3</v>
      </c>
      <c r="AH73">
        <f t="shared" si="51"/>
        <v>1.481530207363857E-3</v>
      </c>
      <c r="AI73">
        <f t="shared" si="52"/>
        <v>1.386983905022671E-3</v>
      </c>
      <c r="AJ73">
        <f t="shared" si="53"/>
        <v>1.3037809647979139E-3</v>
      </c>
      <c r="AK73">
        <f t="shared" si="54"/>
        <v>-6.6339262179440617</v>
      </c>
      <c r="AL73">
        <f t="shared" si="55"/>
        <v>-1.6684610048835922</v>
      </c>
      <c r="AM73">
        <f t="shared" si="56"/>
        <v>2.0710106009686466</v>
      </c>
      <c r="AN73">
        <f t="shared" si="57"/>
        <v>4.9389774461404734</v>
      </c>
      <c r="AO73">
        <f t="shared" si="58"/>
        <v>7.1689673414582398</v>
      </c>
      <c r="AP73">
        <f t="shared" si="59"/>
        <v>8.9213928324919785</v>
      </c>
      <c r="AQ73">
        <f t="shared" si="60"/>
        <v>10.310428570952643</v>
      </c>
      <c r="AR73">
        <f t="shared" si="61"/>
        <v>11.419963875068282</v>
      </c>
      <c r="AS73">
        <f t="shared" si="62"/>
        <v>12.313558401264633</v>
      </c>
      <c r="AT73">
        <f t="shared" si="63"/>
        <v>13.041047025657081</v>
      </c>
      <c r="AU73">
        <f t="shared" si="64"/>
        <v>0.99388674509681263</v>
      </c>
      <c r="AV73">
        <f t="shared" si="65"/>
        <v>15192.35524047971</v>
      </c>
      <c r="AW73">
        <f t="shared" si="66"/>
        <v>14424.734249972356</v>
      </c>
      <c r="AX73">
        <f t="shared" si="67"/>
        <v>13615.013538051417</v>
      </c>
      <c r="AY73">
        <f t="shared" si="68"/>
        <v>12775.917172410436</v>
      </c>
      <c r="AZ73">
        <f t="shared" si="69"/>
        <v>11921.77161163426</v>
      </c>
      <c r="BA73">
        <f t="shared" si="70"/>
        <v>11069.141393315973</v>
      </c>
      <c r="BB73">
        <f t="shared" si="71"/>
        <v>10237.540933736722</v>
      </c>
      <c r="BC73">
        <f t="shared" si="72"/>
        <v>9451.3958142082265</v>
      </c>
      <c r="BD73">
        <f t="shared" si="73"/>
        <v>8743.544668340739</v>
      </c>
      <c r="BE73">
        <f t="shared" si="74"/>
        <v>126309.24146934832</v>
      </c>
      <c r="BF73">
        <f t="shared" si="75"/>
        <v>119927.24055427017</v>
      </c>
      <c r="BG73">
        <f t="shared" si="76"/>
        <v>113195.22255535948</v>
      </c>
      <c r="BH73">
        <f t="shared" si="77"/>
        <v>106218.97537142037</v>
      </c>
      <c r="BI73">
        <f t="shared" si="78"/>
        <v>99117.609179127234</v>
      </c>
      <c r="BJ73">
        <f t="shared" si="79"/>
        <v>92028.841544028997</v>
      </c>
      <c r="BK73">
        <f t="shared" si="80"/>
        <v>85114.915323087102</v>
      </c>
      <c r="BL73">
        <f t="shared" si="81"/>
        <v>78578.904799327196</v>
      </c>
      <c r="BM73">
        <f t="shared" si="82"/>
        <v>72693.830372584911</v>
      </c>
      <c r="BO73">
        <v>128333</v>
      </c>
      <c r="BP73">
        <v>123071</v>
      </c>
      <c r="BQ73">
        <v>116975</v>
      </c>
      <c r="BR73">
        <v>110032</v>
      </c>
      <c r="BS73">
        <v>102215</v>
      </c>
      <c r="BT73">
        <v>93480.8</v>
      </c>
      <c r="BU73">
        <v>83742.92</v>
      </c>
      <c r="BV73">
        <v>72839.259999999995</v>
      </c>
      <c r="BW73">
        <v>60437.9</v>
      </c>
      <c r="BY73">
        <f t="shared" si="83"/>
        <v>0.97997087277677553</v>
      </c>
    </row>
    <row r="74" spans="1:77" x14ac:dyDescent="0.3">
      <c r="A74" s="1" t="s">
        <v>208</v>
      </c>
      <c r="B74">
        <v>355.8</v>
      </c>
      <c r="C74">
        <v>732</v>
      </c>
      <c r="E74">
        <v>355.8</v>
      </c>
      <c r="F74">
        <v>397.6</v>
      </c>
      <c r="G74">
        <v>439.4</v>
      </c>
      <c r="H74">
        <v>481.2</v>
      </c>
      <c r="I74">
        <v>523</v>
      </c>
      <c r="J74">
        <v>564.79999999999995</v>
      </c>
      <c r="K74">
        <v>606.6</v>
      </c>
      <c r="L74">
        <v>648.4</v>
      </c>
      <c r="M74">
        <v>690.2</v>
      </c>
      <c r="N74">
        <v>732</v>
      </c>
      <c r="O74">
        <v>0.22384219999999999</v>
      </c>
      <c r="P74">
        <v>6.0931179999999996</v>
      </c>
      <c r="Q74">
        <v>76.179839999999999</v>
      </c>
      <c r="R74">
        <v>547.601</v>
      </c>
      <c r="S74">
        <v>2630.0479999999998</v>
      </c>
      <c r="T74">
        <v>9363.2880000000005</v>
      </c>
      <c r="U74">
        <v>26601.27</v>
      </c>
      <c r="V74">
        <v>63646.87</v>
      </c>
      <c r="W74">
        <v>133548</v>
      </c>
      <c r="X74">
        <v>253653</v>
      </c>
      <c r="AA74">
        <f t="shared" si="44"/>
        <v>2.8105677346824056E-3</v>
      </c>
      <c r="AB74">
        <f t="shared" si="45"/>
        <v>2.5150905432595573E-3</v>
      </c>
      <c r="AC74">
        <f t="shared" si="46"/>
        <v>2.2758306781975423E-3</v>
      </c>
      <c r="AD74">
        <f t="shared" si="47"/>
        <v>2.0781379883624274E-3</v>
      </c>
      <c r="AE74">
        <f t="shared" si="48"/>
        <v>1.9120458891013384E-3</v>
      </c>
      <c r="AF74">
        <f t="shared" si="49"/>
        <v>1.7705382436260626E-3</v>
      </c>
      <c r="AG74">
        <f t="shared" si="50"/>
        <v>1.6485328058028353E-3</v>
      </c>
      <c r="AH74">
        <f t="shared" si="51"/>
        <v>1.5422578655151142E-3</v>
      </c>
      <c r="AI74">
        <f t="shared" si="52"/>
        <v>1.4488554042306576E-3</v>
      </c>
      <c r="AJ74">
        <f t="shared" si="53"/>
        <v>1.366120218579235E-3</v>
      </c>
      <c r="AK74">
        <f t="shared" si="54"/>
        <v>-1.4968139396643729</v>
      </c>
      <c r="AL74">
        <f t="shared" si="55"/>
        <v>1.807159937564961</v>
      </c>
      <c r="AM74">
        <f t="shared" si="56"/>
        <v>4.3330968607594622</v>
      </c>
      <c r="AN74">
        <f t="shared" si="57"/>
        <v>6.3055469195631009</v>
      </c>
      <c r="AO74">
        <f t="shared" si="58"/>
        <v>7.8747573759558342</v>
      </c>
      <c r="AP74">
        <f t="shared" si="59"/>
        <v>9.1445517898378252</v>
      </c>
      <c r="AQ74">
        <f t="shared" si="60"/>
        <v>10.188714237990967</v>
      </c>
      <c r="AR74">
        <f t="shared" si="61"/>
        <v>11.061105427599665</v>
      </c>
      <c r="AS74">
        <f t="shared" si="62"/>
        <v>11.802216242761425</v>
      </c>
      <c r="AT74">
        <f t="shared" si="63"/>
        <v>12.443722470246005</v>
      </c>
      <c r="AU74">
        <f t="shared" si="64"/>
        <v>0.99632831898300322</v>
      </c>
      <c r="AV74">
        <f t="shared" si="65"/>
        <v>11181.823752010419</v>
      </c>
      <c r="AW74">
        <f t="shared" si="66"/>
        <v>10557.294774615835</v>
      </c>
      <c r="AX74">
        <f t="shared" si="67"/>
        <v>9977.3545518994906</v>
      </c>
      <c r="AY74">
        <f t="shared" si="68"/>
        <v>9447.8332405565434</v>
      </c>
      <c r="AZ74">
        <f t="shared" si="69"/>
        <v>8973.3272687647768</v>
      </c>
      <c r="BA74">
        <f t="shared" si="70"/>
        <v>8558.3271269106917</v>
      </c>
      <c r="BB74">
        <f t="shared" si="71"/>
        <v>8208.813735833206</v>
      </c>
      <c r="BC74">
        <f t="shared" si="72"/>
        <v>7934.5962083880313</v>
      </c>
      <c r="BD74">
        <f t="shared" si="73"/>
        <v>7753.7292318089994</v>
      </c>
      <c r="BE74">
        <f t="shared" si="74"/>
        <v>92965.682674214622</v>
      </c>
      <c r="BF74">
        <f t="shared" si="75"/>
        <v>87773.348756156061</v>
      </c>
      <c r="BG74">
        <f t="shared" si="76"/>
        <v>82951.72574449236</v>
      </c>
      <c r="BH74">
        <f t="shared" si="77"/>
        <v>78549.285561987097</v>
      </c>
      <c r="BI74">
        <f t="shared" si="78"/>
        <v>74604.242912510352</v>
      </c>
      <c r="BJ74">
        <f t="shared" si="79"/>
        <v>71153.931733135498</v>
      </c>
      <c r="BK74">
        <f t="shared" si="80"/>
        <v>68248.07739971728</v>
      </c>
      <c r="BL74">
        <f t="shared" si="81"/>
        <v>65968.232876538095</v>
      </c>
      <c r="BM74">
        <f t="shared" si="82"/>
        <v>64464.50483326002</v>
      </c>
      <c r="BO74">
        <v>95372.59</v>
      </c>
      <c r="BP74">
        <v>90167.66</v>
      </c>
      <c r="BQ74">
        <v>85267.72</v>
      </c>
      <c r="BR74">
        <v>80549.77</v>
      </c>
      <c r="BS74">
        <v>75881.62</v>
      </c>
      <c r="BT74">
        <v>71111.87</v>
      </c>
      <c r="BU74">
        <v>66054</v>
      </c>
      <c r="BV74">
        <v>60458.11</v>
      </c>
      <c r="BW74">
        <v>53952.33</v>
      </c>
      <c r="BY74">
        <f t="shared" si="83"/>
        <v>0.96072191802082774</v>
      </c>
    </row>
    <row r="75" spans="1:77" x14ac:dyDescent="0.3">
      <c r="A75" s="1" t="s">
        <v>211</v>
      </c>
      <c r="B75">
        <v>286.40199999999999</v>
      </c>
      <c r="C75">
        <v>546</v>
      </c>
      <c r="E75">
        <v>286.40199999999999</v>
      </c>
      <c r="F75">
        <v>315.24619999999999</v>
      </c>
      <c r="G75">
        <v>344.09039999999999</v>
      </c>
      <c r="H75">
        <v>372.93470000000002</v>
      </c>
      <c r="I75">
        <v>401.77890000000002</v>
      </c>
      <c r="J75">
        <v>430.62310000000002</v>
      </c>
      <c r="K75">
        <v>459.46730000000002</v>
      </c>
      <c r="L75">
        <v>488.3116</v>
      </c>
      <c r="M75">
        <v>517.1558</v>
      </c>
      <c r="N75">
        <v>546</v>
      </c>
      <c r="O75">
        <v>585.5471</v>
      </c>
      <c r="P75">
        <v>2944.6170000000002</v>
      </c>
      <c r="Q75">
        <v>10869.47</v>
      </c>
      <c r="R75">
        <v>31774.65</v>
      </c>
      <c r="S75">
        <v>77647.28</v>
      </c>
      <c r="T75">
        <v>165041</v>
      </c>
      <c r="U75">
        <v>314423</v>
      </c>
      <c r="V75">
        <v>549600</v>
      </c>
      <c r="W75">
        <v>898083</v>
      </c>
      <c r="X75">
        <v>1393280</v>
      </c>
      <c r="AA75">
        <f t="shared" si="44"/>
        <v>3.4915957290801046E-3</v>
      </c>
      <c r="AB75">
        <f t="shared" si="45"/>
        <v>3.1721238828572719E-3</v>
      </c>
      <c r="AC75">
        <f t="shared" si="46"/>
        <v>2.9062130184393403E-3</v>
      </c>
      <c r="AD75">
        <f t="shared" si="47"/>
        <v>2.6814345782250884E-3</v>
      </c>
      <c r="AE75">
        <f t="shared" si="48"/>
        <v>2.4889311011603646E-3</v>
      </c>
      <c r="AF75">
        <f t="shared" si="49"/>
        <v>2.3222163418543966E-3</v>
      </c>
      <c r="AG75">
        <f t="shared" si="50"/>
        <v>2.1764334480386307E-3</v>
      </c>
      <c r="AH75">
        <f t="shared" si="51"/>
        <v>2.0478727107854904E-3</v>
      </c>
      <c r="AI75">
        <f t="shared" si="52"/>
        <v>1.9336532627111597E-3</v>
      </c>
      <c r="AJ75">
        <f t="shared" si="53"/>
        <v>1.8315018315018315E-3</v>
      </c>
      <c r="AK75">
        <f t="shared" si="54"/>
        <v>6.3725466238672235</v>
      </c>
      <c r="AL75">
        <f t="shared" si="55"/>
        <v>7.9877340366945448</v>
      </c>
      <c r="AM75">
        <f t="shared" si="56"/>
        <v>9.2937132208768656</v>
      </c>
      <c r="AN75">
        <f t="shared" si="57"/>
        <v>10.36642408104813</v>
      </c>
      <c r="AO75">
        <f t="shared" si="58"/>
        <v>11.259931798987129</v>
      </c>
      <c r="AP75">
        <f t="shared" si="59"/>
        <v>12.013949206863956</v>
      </c>
      <c r="AQ75">
        <f t="shared" si="60"/>
        <v>12.658494492077761</v>
      </c>
      <c r="AR75">
        <f t="shared" si="61"/>
        <v>13.216946019890276</v>
      </c>
      <c r="AS75">
        <f t="shared" si="62"/>
        <v>13.708017770630095</v>
      </c>
      <c r="AT75">
        <f t="shared" si="63"/>
        <v>14.147171237588266</v>
      </c>
      <c r="AU75">
        <f t="shared" si="64"/>
        <v>0.99913029869870018</v>
      </c>
      <c r="AV75">
        <f t="shared" si="65"/>
        <v>5055.8051732067897</v>
      </c>
      <c r="AW75">
        <f t="shared" si="66"/>
        <v>4911.341953030229</v>
      </c>
      <c r="AX75">
        <f t="shared" si="67"/>
        <v>4772.3031583847178</v>
      </c>
      <c r="AY75">
        <f t="shared" si="68"/>
        <v>4641.5146965817248</v>
      </c>
      <c r="AZ75">
        <f t="shared" si="69"/>
        <v>4522.7993671093918</v>
      </c>
      <c r="BA75">
        <f t="shared" si="70"/>
        <v>4421.2682869936298</v>
      </c>
      <c r="BB75">
        <f t="shared" si="71"/>
        <v>4343.8730964408369</v>
      </c>
      <c r="BC75">
        <f t="shared" si="72"/>
        <v>4299.3707203018812</v>
      </c>
      <c r="BD75">
        <f t="shared" si="73"/>
        <v>4299.0437016810838</v>
      </c>
      <c r="BE75">
        <f t="shared" si="74"/>
        <v>42033.964210041253</v>
      </c>
      <c r="BF75">
        <f t="shared" si="75"/>
        <v>40832.896997493321</v>
      </c>
      <c r="BG75">
        <f t="shared" si="76"/>
        <v>39676.928458810544</v>
      </c>
      <c r="BH75">
        <f t="shared" si="77"/>
        <v>38589.553187380458</v>
      </c>
      <c r="BI75">
        <f t="shared" si="78"/>
        <v>37602.553938147481</v>
      </c>
      <c r="BJ75">
        <f t="shared" si="79"/>
        <v>36758.424538065039</v>
      </c>
      <c r="BK75">
        <f t="shared" si="80"/>
        <v>36114.960923809122</v>
      </c>
      <c r="BL75">
        <f t="shared" si="81"/>
        <v>35744.968168589839</v>
      </c>
      <c r="BM75">
        <f t="shared" si="82"/>
        <v>35742.249335776534</v>
      </c>
      <c r="BO75">
        <v>42891.29</v>
      </c>
      <c r="BP75">
        <v>41406.44</v>
      </c>
      <c r="BQ75">
        <v>39846.54</v>
      </c>
      <c r="BR75">
        <v>38203.1</v>
      </c>
      <c r="BS75">
        <v>36462.61</v>
      </c>
      <c r="BT75">
        <v>34603.9</v>
      </c>
      <c r="BU75">
        <v>32593.34</v>
      </c>
      <c r="BV75">
        <v>30375.64</v>
      </c>
      <c r="BW75">
        <v>27853.68</v>
      </c>
      <c r="BY75">
        <f t="shared" si="83"/>
        <v>0.90778632922726132</v>
      </c>
    </row>
    <row r="76" spans="1:77" x14ac:dyDescent="0.3">
      <c r="A76" s="1" t="s">
        <v>213</v>
      </c>
      <c r="B76">
        <v>247.98</v>
      </c>
      <c r="C76">
        <v>560</v>
      </c>
      <c r="E76">
        <v>247.98</v>
      </c>
      <c r="F76">
        <v>282.64890000000003</v>
      </c>
      <c r="G76">
        <v>317.31779999999998</v>
      </c>
      <c r="H76">
        <v>351.98669999999998</v>
      </c>
      <c r="I76">
        <v>386.65559999999999</v>
      </c>
      <c r="J76">
        <v>421.32440000000003</v>
      </c>
      <c r="K76">
        <v>455.99329999999998</v>
      </c>
      <c r="L76">
        <v>490.66219999999998</v>
      </c>
      <c r="M76">
        <v>525.33109999999999</v>
      </c>
      <c r="N76">
        <v>560</v>
      </c>
      <c r="O76">
        <v>23.820209999999999</v>
      </c>
      <c r="P76">
        <v>340.94760000000002</v>
      </c>
      <c r="Q76">
        <v>2540.58</v>
      </c>
      <c r="R76">
        <v>12053.61</v>
      </c>
      <c r="S76">
        <v>41401.15</v>
      </c>
      <c r="T76">
        <v>112198</v>
      </c>
      <c r="U76">
        <v>254781</v>
      </c>
      <c r="V76">
        <v>506533</v>
      </c>
      <c r="W76">
        <v>911485</v>
      </c>
      <c r="X76">
        <v>1524130</v>
      </c>
      <c r="AA76">
        <f t="shared" si="44"/>
        <v>4.0325832728445848E-3</v>
      </c>
      <c r="AB76">
        <f t="shared" si="45"/>
        <v>3.5379582230817097E-3</v>
      </c>
      <c r="AC76">
        <f t="shared" si="46"/>
        <v>3.1514147646302857E-3</v>
      </c>
      <c r="AD76">
        <f t="shared" si="47"/>
        <v>2.841016436132388E-3</v>
      </c>
      <c r="AE76">
        <f t="shared" si="48"/>
        <v>2.5862809176952308E-3</v>
      </c>
      <c r="AF76">
        <f t="shared" si="49"/>
        <v>2.3734680450503221E-3</v>
      </c>
      <c r="AG76">
        <f t="shared" si="50"/>
        <v>2.1930146780665418E-3</v>
      </c>
      <c r="AH76">
        <f t="shared" si="51"/>
        <v>2.0380620312712085E-3</v>
      </c>
      <c r="AI76">
        <f t="shared" si="52"/>
        <v>1.9035613920439891E-3</v>
      </c>
      <c r="AJ76">
        <f t="shared" si="53"/>
        <v>1.7857142857142857E-3</v>
      </c>
      <c r="AK76">
        <f t="shared" si="54"/>
        <v>3.1705343800091992</v>
      </c>
      <c r="AL76">
        <f t="shared" si="55"/>
        <v>5.8317287997865854</v>
      </c>
      <c r="AM76">
        <f t="shared" si="56"/>
        <v>7.8401476804021915</v>
      </c>
      <c r="AN76">
        <f t="shared" si="57"/>
        <v>9.3971194791143979</v>
      </c>
      <c r="AO76">
        <f t="shared" si="58"/>
        <v>10.631063937205388</v>
      </c>
      <c r="AP76">
        <f t="shared" si="59"/>
        <v>11.628020446599917</v>
      </c>
      <c r="AQ76">
        <f t="shared" si="60"/>
        <v>12.448159631610938</v>
      </c>
      <c r="AR76">
        <f t="shared" si="61"/>
        <v>13.135344753559369</v>
      </c>
      <c r="AS76">
        <f t="shared" si="62"/>
        <v>13.722830416574881</v>
      </c>
      <c r="AT76">
        <f t="shared" si="63"/>
        <v>14.236934313428003</v>
      </c>
      <c r="AU76">
        <f t="shared" si="64"/>
        <v>0.99859532648782579</v>
      </c>
      <c r="AV76">
        <f t="shared" si="65"/>
        <v>5380.2257306886731</v>
      </c>
      <c r="AW76">
        <f t="shared" si="66"/>
        <v>5195.8423734856688</v>
      </c>
      <c r="AX76">
        <f t="shared" si="67"/>
        <v>5016.0444041268474</v>
      </c>
      <c r="AY76">
        <f t="shared" si="68"/>
        <v>4844.0220102066451</v>
      </c>
      <c r="AZ76">
        <f t="shared" si="69"/>
        <v>4684.6626193426364</v>
      </c>
      <c r="BA76">
        <f t="shared" si="70"/>
        <v>4544.8815875224846</v>
      </c>
      <c r="BB76">
        <f t="shared" si="71"/>
        <v>4434.8072534449102</v>
      </c>
      <c r="BC76">
        <f t="shared" si="72"/>
        <v>4367.9023861220439</v>
      </c>
      <c r="BD76">
        <f t="shared" si="73"/>
        <v>4362.4651708867787</v>
      </c>
      <c r="BE76">
        <f t="shared" si="74"/>
        <v>44731.196724945628</v>
      </c>
      <c r="BF76">
        <f t="shared" si="75"/>
        <v>43198.233493159853</v>
      </c>
      <c r="BG76">
        <f t="shared" si="76"/>
        <v>41703.393175910613</v>
      </c>
      <c r="BH76">
        <f t="shared" si="77"/>
        <v>40273.198992858044</v>
      </c>
      <c r="BI76">
        <f t="shared" si="78"/>
        <v>38948.285017214679</v>
      </c>
      <c r="BJ76">
        <f t="shared" si="79"/>
        <v>37786.145518661935</v>
      </c>
      <c r="BK76">
        <f t="shared" si="80"/>
        <v>36870.987505140984</v>
      </c>
      <c r="BL76">
        <f t="shared" si="81"/>
        <v>36314.740438218672</v>
      </c>
      <c r="BM76">
        <f t="shared" si="82"/>
        <v>36269.53543075268</v>
      </c>
      <c r="BO76">
        <v>46218.99</v>
      </c>
      <c r="BP76">
        <v>44352.62</v>
      </c>
      <c r="BQ76">
        <v>42468.33</v>
      </c>
      <c r="BR76">
        <v>40536.82</v>
      </c>
      <c r="BS76">
        <v>38521.83</v>
      </c>
      <c r="BT76">
        <v>36376.18</v>
      </c>
      <c r="BU76">
        <v>34034.519999999997</v>
      </c>
      <c r="BV76">
        <v>31399</v>
      </c>
      <c r="BW76">
        <v>28306.89</v>
      </c>
      <c r="BY76">
        <f t="shared" si="83"/>
        <v>0.91894084195760783</v>
      </c>
    </row>
    <row r="77" spans="1:77" x14ac:dyDescent="0.3">
      <c r="A77" s="1" t="s">
        <v>216</v>
      </c>
      <c r="B77">
        <v>229.33</v>
      </c>
      <c r="C77">
        <v>579.1</v>
      </c>
      <c r="E77">
        <v>229.33</v>
      </c>
      <c r="F77">
        <v>268.19330000000002</v>
      </c>
      <c r="G77">
        <v>307.05669999999998</v>
      </c>
      <c r="H77">
        <v>345.92</v>
      </c>
      <c r="I77">
        <v>384.7833</v>
      </c>
      <c r="J77">
        <v>423.64670000000001</v>
      </c>
      <c r="K77">
        <v>462.51</v>
      </c>
      <c r="L77">
        <v>501.37329999999997</v>
      </c>
      <c r="M77">
        <v>540.23670000000004</v>
      </c>
      <c r="N77">
        <v>579.1</v>
      </c>
      <c r="O77">
        <v>0.69346960000000002</v>
      </c>
      <c r="P77">
        <v>32.308190000000003</v>
      </c>
      <c r="Q77">
        <v>499.02080000000001</v>
      </c>
      <c r="R77">
        <v>3797.491</v>
      </c>
      <c r="S77">
        <v>17959.560000000001</v>
      </c>
      <c r="T77">
        <v>60994.37</v>
      </c>
      <c r="U77">
        <v>163473</v>
      </c>
      <c r="V77">
        <v>368592</v>
      </c>
      <c r="W77">
        <v>731180</v>
      </c>
      <c r="X77">
        <v>1317800</v>
      </c>
      <c r="AA77">
        <f t="shared" si="44"/>
        <v>4.3605284960537213E-3</v>
      </c>
      <c r="AB77">
        <f t="shared" si="45"/>
        <v>3.7286539223761366E-3</v>
      </c>
      <c r="AC77">
        <f t="shared" si="46"/>
        <v>3.2567275034220068E-3</v>
      </c>
      <c r="AD77">
        <f t="shared" si="47"/>
        <v>2.8908418131359851E-3</v>
      </c>
      <c r="AE77">
        <f t="shared" si="48"/>
        <v>2.598865387349191E-3</v>
      </c>
      <c r="AF77">
        <f t="shared" si="49"/>
        <v>2.3604574283241199E-3</v>
      </c>
      <c r="AG77">
        <f t="shared" si="50"/>
        <v>2.1621154137207847E-3</v>
      </c>
      <c r="AH77">
        <f t="shared" si="51"/>
        <v>1.9945218462969609E-3</v>
      </c>
      <c r="AI77">
        <f t="shared" si="52"/>
        <v>1.8510404791085091E-3</v>
      </c>
      <c r="AJ77">
        <f t="shared" si="53"/>
        <v>1.7268174753928508E-3</v>
      </c>
      <c r="AK77">
        <f t="shared" si="54"/>
        <v>-0.36604787580449782</v>
      </c>
      <c r="AL77">
        <f t="shared" si="55"/>
        <v>3.4753207584591301</v>
      </c>
      <c r="AM77">
        <f t="shared" si="56"/>
        <v>6.2126477782495249</v>
      </c>
      <c r="AN77">
        <f t="shared" si="57"/>
        <v>8.2420958644868687</v>
      </c>
      <c r="AO77">
        <f t="shared" si="58"/>
        <v>9.7958778426696735</v>
      </c>
      <c r="AP77">
        <f t="shared" si="59"/>
        <v>11.018536843814028</v>
      </c>
      <c r="AQ77">
        <f t="shared" si="60"/>
        <v>12.004403118068049</v>
      </c>
      <c r="AR77">
        <f t="shared" si="61"/>
        <v>12.817445620238434</v>
      </c>
      <c r="AS77">
        <f t="shared" si="62"/>
        <v>13.502414946450404</v>
      </c>
      <c r="AT77">
        <f t="shared" si="63"/>
        <v>14.091474237461856</v>
      </c>
      <c r="AU77">
        <f t="shared" si="64"/>
        <v>0.99808771628174275</v>
      </c>
      <c r="AV77">
        <f t="shared" si="65"/>
        <v>6079.3214259380766</v>
      </c>
      <c r="AW77">
        <f t="shared" si="66"/>
        <v>5800.3258767686339</v>
      </c>
      <c r="AX77">
        <f t="shared" si="67"/>
        <v>5546.6724720796674</v>
      </c>
      <c r="AY77">
        <f t="shared" si="68"/>
        <v>5321.6007901864023</v>
      </c>
      <c r="AZ77">
        <f t="shared" si="69"/>
        <v>5128.431979134466</v>
      </c>
      <c r="BA77">
        <f t="shared" si="70"/>
        <v>4970.5367580623733</v>
      </c>
      <c r="BB77">
        <f t="shared" si="71"/>
        <v>4851.2751095887752</v>
      </c>
      <c r="BC77">
        <f t="shared" si="72"/>
        <v>4773.925281268861</v>
      </c>
      <c r="BD77">
        <f t="shared" si="73"/>
        <v>4741.9501492637064</v>
      </c>
      <c r="BE77">
        <f t="shared" si="74"/>
        <v>50543.478335249172</v>
      </c>
      <c r="BF77">
        <f t="shared" si="75"/>
        <v>48223.909339454425</v>
      </c>
      <c r="BG77">
        <f t="shared" si="76"/>
        <v>46115.034932870352</v>
      </c>
      <c r="BH77">
        <f t="shared" si="77"/>
        <v>44243.788969609748</v>
      </c>
      <c r="BI77">
        <f t="shared" si="78"/>
        <v>42637.783474523952</v>
      </c>
      <c r="BJ77">
        <f t="shared" si="79"/>
        <v>41325.042606530573</v>
      </c>
      <c r="BK77">
        <f t="shared" si="80"/>
        <v>40333.501261121077</v>
      </c>
      <c r="BL77">
        <f t="shared" si="81"/>
        <v>39690.414788469308</v>
      </c>
      <c r="BM77">
        <f t="shared" si="82"/>
        <v>39424.573540978454</v>
      </c>
      <c r="BO77">
        <v>52283.06</v>
      </c>
      <c r="BP77">
        <v>49641.72</v>
      </c>
      <c r="BQ77">
        <v>47245.43</v>
      </c>
      <c r="BR77">
        <v>44996.08</v>
      </c>
      <c r="BS77">
        <v>42789.83</v>
      </c>
      <c r="BT77">
        <v>40508.410000000003</v>
      </c>
      <c r="BU77">
        <v>38006.160000000003</v>
      </c>
      <c r="BV77">
        <v>35086.730000000003</v>
      </c>
      <c r="BW77">
        <v>31452.61</v>
      </c>
      <c r="BY77">
        <f t="shared" si="83"/>
        <v>0.91761507426217181</v>
      </c>
    </row>
    <row r="78" spans="1:77" x14ac:dyDescent="0.3">
      <c r="A78" s="1" t="s">
        <v>219</v>
      </c>
      <c r="B78">
        <v>183.85</v>
      </c>
      <c r="C78">
        <v>503.1</v>
      </c>
      <c r="E78">
        <v>183.85</v>
      </c>
      <c r="F78">
        <v>219.32220000000001</v>
      </c>
      <c r="G78">
        <v>254.7944</v>
      </c>
      <c r="H78">
        <v>290.26670000000001</v>
      </c>
      <c r="I78">
        <v>325.7389</v>
      </c>
      <c r="J78">
        <v>361.21109999999999</v>
      </c>
      <c r="K78">
        <v>396.68329999999997</v>
      </c>
      <c r="L78">
        <v>432.15559999999999</v>
      </c>
      <c r="M78">
        <v>467.62779999999998</v>
      </c>
      <c r="N78">
        <v>503.1</v>
      </c>
      <c r="O78">
        <v>2.8999700000000001E-4</v>
      </c>
      <c r="P78">
        <v>0.21840010000000001</v>
      </c>
      <c r="Q78">
        <v>20.004490000000001</v>
      </c>
      <c r="R78">
        <v>498.9427</v>
      </c>
      <c r="S78">
        <v>5306.5559999999996</v>
      </c>
      <c r="T78">
        <v>31495.439999999999</v>
      </c>
      <c r="U78">
        <v>123809</v>
      </c>
      <c r="V78">
        <v>361564</v>
      </c>
      <c r="W78">
        <v>850273</v>
      </c>
      <c r="X78">
        <v>1708520</v>
      </c>
      <c r="AA78">
        <f t="shared" si="44"/>
        <v>5.4392167527875989E-3</v>
      </c>
      <c r="AB78">
        <f t="shared" si="45"/>
        <v>4.5595019564822897E-3</v>
      </c>
      <c r="AC78">
        <f t="shared" si="46"/>
        <v>3.9247330396586424E-3</v>
      </c>
      <c r="AD78">
        <f t="shared" si="47"/>
        <v>3.4451075510900835E-3</v>
      </c>
      <c r="AE78">
        <f t="shared" si="48"/>
        <v>3.0699434424319599E-3</v>
      </c>
      <c r="AF78">
        <f t="shared" si="49"/>
        <v>2.7684642027888955E-3</v>
      </c>
      <c r="AG78">
        <f t="shared" si="50"/>
        <v>2.5209026949206082E-3</v>
      </c>
      <c r="AH78">
        <f t="shared" si="51"/>
        <v>2.3139813530126648E-3</v>
      </c>
      <c r="AI78">
        <f t="shared" si="52"/>
        <v>2.1384528464731996E-3</v>
      </c>
      <c r="AJ78">
        <f t="shared" si="53"/>
        <v>1.9876764062810573E-3</v>
      </c>
      <c r="AK78">
        <f t="shared" si="54"/>
        <v>-8.145639979864848</v>
      </c>
      <c r="AL78">
        <f t="shared" si="55"/>
        <v>-1.521426577236034</v>
      </c>
      <c r="AM78">
        <f t="shared" si="56"/>
        <v>2.9959567483576368</v>
      </c>
      <c r="AN78">
        <f t="shared" si="57"/>
        <v>6.21249125949877</v>
      </c>
      <c r="AO78">
        <f t="shared" si="58"/>
        <v>8.5766983162414547</v>
      </c>
      <c r="AP78">
        <f t="shared" si="59"/>
        <v>10.357598052429946</v>
      </c>
      <c r="AQ78">
        <f t="shared" si="60"/>
        <v>11.726495334490107</v>
      </c>
      <c r="AR78">
        <f t="shared" si="61"/>
        <v>12.798194345021855</v>
      </c>
      <c r="AS78">
        <f t="shared" si="62"/>
        <v>13.653312753370965</v>
      </c>
      <c r="AT78">
        <f t="shared" si="63"/>
        <v>14.351138056643974</v>
      </c>
      <c r="AU78">
        <f t="shared" si="64"/>
        <v>0.99499267868655106</v>
      </c>
      <c r="AV78">
        <f t="shared" si="65"/>
        <v>7529.9556520473134</v>
      </c>
      <c r="AW78">
        <f t="shared" si="66"/>
        <v>7116.5792871497806</v>
      </c>
      <c r="AX78">
        <f t="shared" si="67"/>
        <v>6706.3460716837053</v>
      </c>
      <c r="AY78">
        <f t="shared" si="68"/>
        <v>6301.7943406124687</v>
      </c>
      <c r="AZ78">
        <f t="shared" si="69"/>
        <v>5907.2052135231042</v>
      </c>
      <c r="BA78">
        <f t="shared" si="70"/>
        <v>5529.5239306284611</v>
      </c>
      <c r="BB78">
        <f t="shared" si="71"/>
        <v>5179.2579762436153</v>
      </c>
      <c r="BC78">
        <f t="shared" si="72"/>
        <v>4871.6782544768494</v>
      </c>
      <c r="BD78">
        <f t="shared" si="73"/>
        <v>4628.2118239675447</v>
      </c>
      <c r="BE78">
        <f t="shared" si="74"/>
        <v>62604.051291121366</v>
      </c>
      <c r="BF78">
        <f t="shared" si="75"/>
        <v>59167.240193363279</v>
      </c>
      <c r="BG78">
        <f t="shared" si="76"/>
        <v>55756.561239978328</v>
      </c>
      <c r="BH78">
        <f t="shared" si="77"/>
        <v>52393.118147852067</v>
      </c>
      <c r="BI78">
        <f t="shared" si="78"/>
        <v>49112.504145231091</v>
      </c>
      <c r="BJ78">
        <f t="shared" si="79"/>
        <v>45972.461959245025</v>
      </c>
      <c r="BK78">
        <f t="shared" si="80"/>
        <v>43060.350814489415</v>
      </c>
      <c r="BL78">
        <f t="shared" si="81"/>
        <v>40503.133007720528</v>
      </c>
      <c r="BM78">
        <f t="shared" si="82"/>
        <v>38478.953104466163</v>
      </c>
      <c r="BO78">
        <v>63642.99</v>
      </c>
      <c r="BP78">
        <v>60865.72</v>
      </c>
      <c r="BQ78">
        <v>57751.78</v>
      </c>
      <c r="BR78">
        <v>54333.63</v>
      </c>
      <c r="BS78">
        <v>50634.99</v>
      </c>
      <c r="BT78">
        <v>46664.160000000003</v>
      </c>
      <c r="BU78">
        <v>42402.87</v>
      </c>
      <c r="BV78">
        <v>37784.36</v>
      </c>
      <c r="BW78">
        <v>32641.84</v>
      </c>
      <c r="BY78">
        <f t="shared" si="83"/>
        <v>0.97468332764426646</v>
      </c>
    </row>
    <row r="79" spans="1:77" x14ac:dyDescent="0.3">
      <c r="A79" s="8" t="s">
        <v>220</v>
      </c>
      <c r="B79">
        <v>257.64999999999998</v>
      </c>
      <c r="C79">
        <v>592</v>
      </c>
      <c r="E79">
        <v>257.64999999999998</v>
      </c>
      <c r="F79">
        <v>294.8</v>
      </c>
      <c r="G79">
        <v>331.95</v>
      </c>
      <c r="H79">
        <v>369.1</v>
      </c>
      <c r="I79">
        <v>406.25</v>
      </c>
      <c r="J79">
        <v>443.4</v>
      </c>
      <c r="K79">
        <v>480.55</v>
      </c>
      <c r="L79">
        <v>517.70000000000005</v>
      </c>
      <c r="M79">
        <v>554.85</v>
      </c>
      <c r="N79">
        <v>592</v>
      </c>
      <c r="O79">
        <v>9.6005900000000005E-2</v>
      </c>
      <c r="P79">
        <v>7.9906170000000003</v>
      </c>
      <c r="Q79">
        <v>195.58629999999999</v>
      </c>
      <c r="R79">
        <v>2092.5810000000001</v>
      </c>
      <c r="S79">
        <v>12544.07</v>
      </c>
      <c r="T79">
        <v>49632.65</v>
      </c>
      <c r="U79">
        <v>145165</v>
      </c>
      <c r="V79">
        <v>340622</v>
      </c>
      <c r="W79">
        <v>682151</v>
      </c>
      <c r="X79">
        <v>1224640</v>
      </c>
      <c r="AA79">
        <f t="shared" si="44"/>
        <v>3.881234232485931E-3</v>
      </c>
      <c r="AB79">
        <f t="shared" si="45"/>
        <v>3.3921302578018993E-3</v>
      </c>
      <c r="AC79">
        <f t="shared" si="46"/>
        <v>3.0125018828136767E-3</v>
      </c>
      <c r="AD79">
        <f t="shared" si="47"/>
        <v>2.7092928745597396E-3</v>
      </c>
      <c r="AE79">
        <f t="shared" si="48"/>
        <v>2.4615384615384616E-3</v>
      </c>
      <c r="AF79">
        <f t="shared" si="49"/>
        <v>2.2552999548940012E-3</v>
      </c>
      <c r="AG79">
        <f t="shared" si="50"/>
        <v>2.080948912704193E-3</v>
      </c>
      <c r="AH79">
        <f t="shared" si="51"/>
        <v>1.9316206297083252E-3</v>
      </c>
      <c r="AI79">
        <f t="shared" si="52"/>
        <v>1.8022889069117779E-3</v>
      </c>
      <c r="AJ79">
        <f t="shared" si="53"/>
        <v>1.6891891891891893E-3</v>
      </c>
      <c r="AK79">
        <f t="shared" si="54"/>
        <v>-2.3433456310694534</v>
      </c>
      <c r="AL79">
        <f t="shared" si="55"/>
        <v>2.0782679783236633</v>
      </c>
      <c r="AM79">
        <f t="shared" si="56"/>
        <v>5.2760017142479434</v>
      </c>
      <c r="AN79">
        <f t="shared" si="57"/>
        <v>7.6461535112918497</v>
      </c>
      <c r="AO79">
        <f t="shared" si="58"/>
        <v>9.437003322931762</v>
      </c>
      <c r="AP79">
        <f t="shared" si="59"/>
        <v>10.812404162279934</v>
      </c>
      <c r="AQ79">
        <f t="shared" si="60"/>
        <v>11.88562630548442</v>
      </c>
      <c r="AR79">
        <f t="shared" si="61"/>
        <v>12.73852863702141</v>
      </c>
      <c r="AS79">
        <f t="shared" si="62"/>
        <v>13.433006319943182</v>
      </c>
      <c r="AT79">
        <f t="shared" si="63"/>
        <v>14.018157481219475</v>
      </c>
      <c r="AU79">
        <f t="shared" si="64"/>
        <v>0.99224167369916783</v>
      </c>
      <c r="AV79">
        <f t="shared" si="65"/>
        <v>9040.2324214387008</v>
      </c>
      <c r="AW79">
        <f t="shared" si="66"/>
        <v>8423.326459787113</v>
      </c>
      <c r="AX79">
        <f t="shared" si="67"/>
        <v>7816.8910966487774</v>
      </c>
      <c r="AY79">
        <f t="shared" si="68"/>
        <v>7228.3265908410203</v>
      </c>
      <c r="AZ79">
        <f t="shared" si="69"/>
        <v>6668.9817615837328</v>
      </c>
      <c r="BA79">
        <f t="shared" si="70"/>
        <v>6155.524680122744</v>
      </c>
      <c r="BB79">
        <f t="shared" si="71"/>
        <v>5711.5927031759365</v>
      </c>
      <c r="BC79">
        <f t="shared" si="72"/>
        <v>5369.739673337991</v>
      </c>
      <c r="BD79">
        <f t="shared" si="73"/>
        <v>5173.7632335348044</v>
      </c>
      <c r="BE79">
        <f t="shared" si="74"/>
        <v>75160.492351841356</v>
      </c>
      <c r="BF79">
        <f t="shared" si="75"/>
        <v>70031.536186670055</v>
      </c>
      <c r="BG79">
        <f t="shared" si="76"/>
        <v>64989.632577537937</v>
      </c>
      <c r="BH79">
        <f t="shared" si="77"/>
        <v>60096.307276252242</v>
      </c>
      <c r="BI79">
        <f t="shared" si="78"/>
        <v>55445.914365807155</v>
      </c>
      <c r="BJ79">
        <f t="shared" si="79"/>
        <v>51177.032190540493</v>
      </c>
      <c r="BK79">
        <f t="shared" si="80"/>
        <v>47486.181734204736</v>
      </c>
      <c r="BL79">
        <f t="shared" si="81"/>
        <v>44644.015644132058</v>
      </c>
      <c r="BM79">
        <f t="shared" si="82"/>
        <v>43014.667523608361</v>
      </c>
      <c r="BO79">
        <v>76793.460000000006</v>
      </c>
      <c r="BP79">
        <v>72707.199999999997</v>
      </c>
      <c r="BQ79">
        <v>67926.880000000005</v>
      </c>
      <c r="BR79">
        <v>62670.87</v>
      </c>
      <c r="BS79">
        <v>57139.01</v>
      </c>
      <c r="BT79">
        <v>51496.76</v>
      </c>
      <c r="BU79">
        <v>45858.93</v>
      </c>
      <c r="BV79">
        <v>40265.99</v>
      </c>
      <c r="BW79">
        <v>34630.49</v>
      </c>
      <c r="BY79">
        <f t="shared" si="83"/>
        <v>0.97349851424275458</v>
      </c>
    </row>
    <row r="80" spans="1:77" x14ac:dyDescent="0.3">
      <c r="A80" s="8" t="s">
        <v>221</v>
      </c>
      <c r="B80">
        <v>280.05</v>
      </c>
      <c r="C80">
        <v>628</v>
      </c>
      <c r="E80">
        <v>280.05</v>
      </c>
      <c r="F80">
        <v>318.71109999999999</v>
      </c>
      <c r="G80">
        <v>357.37220000000002</v>
      </c>
      <c r="H80">
        <v>396.0333</v>
      </c>
      <c r="I80">
        <v>434.69439999999997</v>
      </c>
      <c r="J80">
        <v>473.35559999999998</v>
      </c>
      <c r="K80">
        <v>512.01670000000001</v>
      </c>
      <c r="L80">
        <v>550.67780000000005</v>
      </c>
      <c r="M80">
        <v>589.33889999999997</v>
      </c>
      <c r="N80">
        <v>628</v>
      </c>
      <c r="O80">
        <v>0.15055540000000001</v>
      </c>
      <c r="P80">
        <v>10.155099999999999</v>
      </c>
      <c r="Q80">
        <v>217.20500000000001</v>
      </c>
      <c r="R80">
        <v>2119.134</v>
      </c>
      <c r="S80">
        <v>11889.69</v>
      </c>
      <c r="T80">
        <v>44805.61</v>
      </c>
      <c r="U80">
        <v>126462</v>
      </c>
      <c r="V80">
        <v>289608</v>
      </c>
      <c r="W80">
        <v>572324</v>
      </c>
      <c r="X80">
        <v>1025980</v>
      </c>
      <c r="AA80">
        <f t="shared" si="44"/>
        <v>3.5707909301910374E-3</v>
      </c>
      <c r="AB80">
        <f t="shared" si="45"/>
        <v>3.1376378168190568E-3</v>
      </c>
      <c r="AC80">
        <f t="shared" si="46"/>
        <v>2.7982031058935192E-3</v>
      </c>
      <c r="AD80">
        <f t="shared" si="47"/>
        <v>2.5250401923272614E-3</v>
      </c>
      <c r="AE80">
        <f t="shared" si="48"/>
        <v>2.3004667186878876E-3</v>
      </c>
      <c r="AF80">
        <f t="shared" si="49"/>
        <v>2.1125766759704542E-3</v>
      </c>
      <c r="AG80">
        <f t="shared" si="50"/>
        <v>1.9530612966334887E-3</v>
      </c>
      <c r="AH80">
        <f t="shared" si="51"/>
        <v>1.8159439149353759E-3</v>
      </c>
      <c r="AI80">
        <f t="shared" si="52"/>
        <v>1.696816551563116E-3</v>
      </c>
      <c r="AJ80">
        <f t="shared" si="53"/>
        <v>1.5923566878980893E-3</v>
      </c>
      <c r="AK80">
        <f t="shared" si="54"/>
        <v>-1.893424156215421</v>
      </c>
      <c r="AL80">
        <f t="shared" si="55"/>
        <v>2.3179760423496925</v>
      </c>
      <c r="AM80">
        <f t="shared" si="56"/>
        <v>5.3808416080526449</v>
      </c>
      <c r="AN80">
        <f t="shared" si="57"/>
        <v>7.6587627936450211</v>
      </c>
      <c r="AO80">
        <f t="shared" si="58"/>
        <v>9.3834269170152496</v>
      </c>
      <c r="AP80">
        <f t="shared" si="59"/>
        <v>10.710088633777589</v>
      </c>
      <c r="AQ80">
        <f t="shared" si="60"/>
        <v>11.747697146765102</v>
      </c>
      <c r="AR80">
        <f t="shared" si="61"/>
        <v>12.576283563421546</v>
      </c>
      <c r="AS80">
        <f t="shared" si="62"/>
        <v>13.257460543565429</v>
      </c>
      <c r="AT80">
        <f t="shared" si="63"/>
        <v>13.841158811345469</v>
      </c>
      <c r="AU80">
        <f t="shared" si="64"/>
        <v>0.99170464200209751</v>
      </c>
      <c r="AV80">
        <f t="shared" si="65"/>
        <v>9722.6594212390519</v>
      </c>
      <c r="AW80">
        <f t="shared" si="66"/>
        <v>9023.4306248510275</v>
      </c>
      <c r="AX80">
        <f t="shared" si="67"/>
        <v>8339.0572894876095</v>
      </c>
      <c r="AY80">
        <f t="shared" si="68"/>
        <v>7679.7321403138667</v>
      </c>
      <c r="AZ80">
        <f t="shared" si="69"/>
        <v>7060.8409981443137</v>
      </c>
      <c r="BA80">
        <f t="shared" si="70"/>
        <v>6504.7553239091394</v>
      </c>
      <c r="BB80">
        <f t="shared" si="71"/>
        <v>6042.8984742482753</v>
      </c>
      <c r="BC80">
        <f t="shared" si="72"/>
        <v>5718.0563798367639</v>
      </c>
      <c r="BD80">
        <f t="shared" si="73"/>
        <v>5587.7755082257745</v>
      </c>
      <c r="BE80">
        <f t="shared" si="74"/>
        <v>80834.190428181479</v>
      </c>
      <c r="BF80">
        <f t="shared" si="75"/>
        <v>75020.802215011441</v>
      </c>
      <c r="BG80">
        <f t="shared" si="76"/>
        <v>69330.922304799984</v>
      </c>
      <c r="BH80">
        <f t="shared" si="77"/>
        <v>63849.293014569485</v>
      </c>
      <c r="BI80">
        <f t="shared" si="78"/>
        <v>58703.832058571825</v>
      </c>
      <c r="BJ80">
        <f t="shared" si="79"/>
        <v>54080.535762980588</v>
      </c>
      <c r="BK80">
        <f t="shared" si="80"/>
        <v>50240.657914900163</v>
      </c>
      <c r="BL80">
        <f t="shared" si="81"/>
        <v>47539.920741962858</v>
      </c>
      <c r="BM80">
        <f t="shared" si="82"/>
        <v>46456.765575389087</v>
      </c>
      <c r="BO80">
        <v>82958.55</v>
      </c>
      <c r="BP80">
        <v>78050.13</v>
      </c>
      <c r="BQ80">
        <v>72491.789999999994</v>
      </c>
      <c r="BR80">
        <v>66548.13</v>
      </c>
      <c r="BS80">
        <v>60452.89</v>
      </c>
      <c r="BT80">
        <v>54393.23</v>
      </c>
      <c r="BU80">
        <v>48494.74</v>
      </c>
      <c r="BV80">
        <v>42798.87</v>
      </c>
      <c r="BW80">
        <v>37205.57</v>
      </c>
      <c r="BY80">
        <f t="shared" si="83"/>
        <v>0.9721885795019729</v>
      </c>
    </row>
    <row r="81" spans="1:77" x14ac:dyDescent="0.3">
      <c r="A81" s="1" t="s">
        <v>224</v>
      </c>
      <c r="B81">
        <v>322.35000000000002</v>
      </c>
      <c r="C81">
        <v>708.6</v>
      </c>
      <c r="E81">
        <v>322.35000000000002</v>
      </c>
      <c r="F81">
        <v>365.26670000000001</v>
      </c>
      <c r="G81">
        <v>408.18329999999997</v>
      </c>
      <c r="H81">
        <v>451.1</v>
      </c>
      <c r="I81">
        <v>494.01670000000001</v>
      </c>
      <c r="J81">
        <v>536.93330000000003</v>
      </c>
      <c r="K81">
        <v>579.85</v>
      </c>
      <c r="L81">
        <v>622.76670000000001</v>
      </c>
      <c r="M81">
        <v>665.68330000000003</v>
      </c>
      <c r="N81">
        <v>708.6</v>
      </c>
      <c r="O81">
        <v>5.3843799999999997E-2</v>
      </c>
      <c r="P81">
        <v>4.1379640000000002</v>
      </c>
      <c r="Q81">
        <v>97.653300000000002</v>
      </c>
      <c r="R81">
        <v>1023.088</v>
      </c>
      <c r="S81">
        <v>6039.5940000000001</v>
      </c>
      <c r="T81">
        <v>23626.68</v>
      </c>
      <c r="U81">
        <v>68764.11</v>
      </c>
      <c r="V81">
        <v>162390</v>
      </c>
      <c r="W81">
        <v>333232</v>
      </c>
      <c r="X81">
        <v>629148</v>
      </c>
      <c r="AA81">
        <f t="shared" si="44"/>
        <v>3.1022180859314407E-3</v>
      </c>
      <c r="AB81">
        <f t="shared" si="45"/>
        <v>2.7377256125455727E-3</v>
      </c>
      <c r="AC81">
        <f t="shared" si="46"/>
        <v>2.4498797476525868E-3</v>
      </c>
      <c r="AD81">
        <f t="shared" si="47"/>
        <v>2.2168033695411215E-3</v>
      </c>
      <c r="AE81">
        <f t="shared" si="48"/>
        <v>2.024223067762689E-3</v>
      </c>
      <c r="AF81">
        <f t="shared" si="49"/>
        <v>1.8624287225247529E-3</v>
      </c>
      <c r="AG81">
        <f t="shared" si="50"/>
        <v>1.7245839441234802E-3</v>
      </c>
      <c r="AH81">
        <f t="shared" si="51"/>
        <v>1.6057377505894262E-3</v>
      </c>
      <c r="AI81">
        <f t="shared" si="52"/>
        <v>1.5022158434799249E-3</v>
      </c>
      <c r="AJ81">
        <f t="shared" si="53"/>
        <v>1.4112334180073384E-3</v>
      </c>
      <c r="AK81">
        <f t="shared" si="54"/>
        <v>-2.9216680166414806</v>
      </c>
      <c r="AL81">
        <f t="shared" si="55"/>
        <v>1.420203879430505</v>
      </c>
      <c r="AM81">
        <f t="shared" si="56"/>
        <v>4.5814234509145049</v>
      </c>
      <c r="AN81">
        <f t="shared" si="57"/>
        <v>6.9305807837573656</v>
      </c>
      <c r="AO81">
        <f t="shared" si="58"/>
        <v>8.7060920701265463</v>
      </c>
      <c r="AP81">
        <f t="shared" si="59"/>
        <v>10.07013186094478</v>
      </c>
      <c r="AQ81">
        <f t="shared" si="60"/>
        <v>11.138437230834352</v>
      </c>
      <c r="AR81">
        <f t="shared" si="61"/>
        <v>11.997756128459134</v>
      </c>
      <c r="AS81">
        <f t="shared" si="62"/>
        <v>12.716594223078797</v>
      </c>
      <c r="AT81">
        <f t="shared" si="63"/>
        <v>13.352121802122905</v>
      </c>
      <c r="AU81">
        <f t="shared" si="64"/>
        <v>0.99096743077652061</v>
      </c>
      <c r="AV81">
        <f t="shared" si="65"/>
        <v>11912.1030284636</v>
      </c>
      <c r="AW81">
        <f t="shared" si="66"/>
        <v>10982.334495787405</v>
      </c>
      <c r="AX81">
        <f t="shared" si="67"/>
        <v>10078.916413054141</v>
      </c>
      <c r="AY81">
        <f t="shared" si="68"/>
        <v>9219.58928287454</v>
      </c>
      <c r="AZ81">
        <f t="shared" si="69"/>
        <v>8430.7012634605089</v>
      </c>
      <c r="BA81">
        <f t="shared" si="70"/>
        <v>7750.0604831013925</v>
      </c>
      <c r="BB81">
        <f t="shared" si="71"/>
        <v>7230.5125816129248</v>
      </c>
      <c r="BC81">
        <f t="shared" si="72"/>
        <v>6943.8258499170133</v>
      </c>
      <c r="BD81">
        <f t="shared" si="73"/>
        <v>6985.1685723150595</v>
      </c>
      <c r="BE81">
        <f t="shared" si="74"/>
        <v>99037.224578646375</v>
      </c>
      <c r="BF81">
        <f t="shared" si="75"/>
        <v>91307.128997976484</v>
      </c>
      <c r="BG81">
        <f t="shared" si="76"/>
        <v>83796.111058132126</v>
      </c>
      <c r="BH81">
        <f t="shared" si="77"/>
        <v>76651.665297818923</v>
      </c>
      <c r="BI81">
        <f t="shared" si="78"/>
        <v>70092.850304410676</v>
      </c>
      <c r="BJ81">
        <f t="shared" si="79"/>
        <v>64434.00285650498</v>
      </c>
      <c r="BK81">
        <f t="shared" si="80"/>
        <v>60114.481603529857</v>
      </c>
      <c r="BL81">
        <f t="shared" si="81"/>
        <v>57730.968116210046</v>
      </c>
      <c r="BM81">
        <f t="shared" si="82"/>
        <v>58074.691510227407</v>
      </c>
      <c r="BO81">
        <v>102490</v>
      </c>
      <c r="BP81">
        <v>95226.44</v>
      </c>
      <c r="BQ81">
        <v>87585.23</v>
      </c>
      <c r="BR81">
        <v>79884.73</v>
      </c>
      <c r="BS81">
        <v>72384.899999999994</v>
      </c>
      <c r="BT81">
        <v>65277.59</v>
      </c>
      <c r="BU81">
        <v>58677.43</v>
      </c>
      <c r="BV81">
        <v>52600.42</v>
      </c>
      <c r="BW81">
        <v>46887.199999999997</v>
      </c>
      <c r="BY81">
        <f t="shared" si="83"/>
        <v>0.96828202458385226</v>
      </c>
    </row>
    <row r="82" spans="1:77" x14ac:dyDescent="0.3">
      <c r="A82" s="8" t="s">
        <v>226</v>
      </c>
      <c r="B82">
        <v>331.05</v>
      </c>
      <c r="C82">
        <v>729</v>
      </c>
      <c r="E82">
        <v>331.05</v>
      </c>
      <c r="F82">
        <v>375.26670000000001</v>
      </c>
      <c r="G82">
        <v>419.48329999999999</v>
      </c>
      <c r="H82">
        <v>463.7</v>
      </c>
      <c r="I82">
        <v>507.91669999999999</v>
      </c>
      <c r="J82">
        <v>552.13329999999996</v>
      </c>
      <c r="K82">
        <v>596.35</v>
      </c>
      <c r="L82">
        <v>640.56669999999997</v>
      </c>
      <c r="M82">
        <v>684.78330000000005</v>
      </c>
      <c r="N82">
        <v>729</v>
      </c>
      <c r="O82">
        <v>2.9117799999999999E-2</v>
      </c>
      <c r="P82">
        <v>2.5125199999999999</v>
      </c>
      <c r="Q82">
        <v>64.967240000000004</v>
      </c>
      <c r="R82">
        <v>732.99599999999998</v>
      </c>
      <c r="S82">
        <v>4599.6080000000002</v>
      </c>
      <c r="T82">
        <v>18927.38</v>
      </c>
      <c r="U82">
        <v>57426.26</v>
      </c>
      <c r="V82">
        <v>140205</v>
      </c>
      <c r="W82">
        <v>295025</v>
      </c>
      <c r="X82">
        <v>566347</v>
      </c>
      <c r="AA82">
        <f t="shared" si="44"/>
        <v>3.0206917384080953E-3</v>
      </c>
      <c r="AB82">
        <f t="shared" si="45"/>
        <v>2.6647714811892449E-3</v>
      </c>
      <c r="AC82">
        <f t="shared" si="46"/>
        <v>2.3838851272505964E-3</v>
      </c>
      <c r="AD82">
        <f t="shared" si="47"/>
        <v>2.1565667457407807E-3</v>
      </c>
      <c r="AE82">
        <f t="shared" si="48"/>
        <v>1.9688267780917619E-3</v>
      </c>
      <c r="AF82">
        <f t="shared" si="49"/>
        <v>1.8111568347716034E-3</v>
      </c>
      <c r="AG82">
        <f t="shared" si="50"/>
        <v>1.6768676113020876E-3</v>
      </c>
      <c r="AH82">
        <f t="shared" si="51"/>
        <v>1.5611176790801022E-3</v>
      </c>
      <c r="AI82">
        <f t="shared" si="52"/>
        <v>1.4603159860937028E-3</v>
      </c>
      <c r="AJ82">
        <f t="shared" si="53"/>
        <v>1.3717421124828531E-3</v>
      </c>
      <c r="AK82">
        <f t="shared" si="54"/>
        <v>-3.5364056079582049</v>
      </c>
      <c r="AL82">
        <f t="shared" si="55"/>
        <v>0.92128623355251682</v>
      </c>
      <c r="AM82">
        <f t="shared" si="56"/>
        <v>4.1738831428449465</v>
      </c>
      <c r="AN82">
        <f t="shared" si="57"/>
        <v>6.5971402448458409</v>
      </c>
      <c r="AO82">
        <f t="shared" si="58"/>
        <v>8.4337263614546742</v>
      </c>
      <c r="AP82">
        <f t="shared" si="59"/>
        <v>9.8483648299758553</v>
      </c>
      <c r="AQ82">
        <f t="shared" si="60"/>
        <v>10.958256968979622</v>
      </c>
      <c r="AR82">
        <f t="shared" si="61"/>
        <v>11.850860916284793</v>
      </c>
      <c r="AS82">
        <f t="shared" si="62"/>
        <v>12.59481537749395</v>
      </c>
      <c r="AT82">
        <f t="shared" si="63"/>
        <v>13.246962243537052</v>
      </c>
      <c r="AU82">
        <f t="shared" si="64"/>
        <v>0.99142921790705762</v>
      </c>
      <c r="AV82">
        <f t="shared" si="65"/>
        <v>12524.411721723805</v>
      </c>
      <c r="AW82">
        <f t="shared" si="66"/>
        <v>11579.761222586361</v>
      </c>
      <c r="AX82">
        <f t="shared" si="67"/>
        <v>10660.189844331868</v>
      </c>
      <c r="AY82">
        <f t="shared" si="68"/>
        <v>9782.6059075622306</v>
      </c>
      <c r="AZ82">
        <f t="shared" si="69"/>
        <v>8972.1505490026721</v>
      </c>
      <c r="BA82">
        <f t="shared" si="70"/>
        <v>8264.9382454409479</v>
      </c>
      <c r="BB82">
        <f t="shared" si="71"/>
        <v>7711.4857017223394</v>
      </c>
      <c r="BC82">
        <f t="shared" si="72"/>
        <v>7380.3766501177179</v>
      </c>
      <c r="BD82">
        <f t="shared" si="73"/>
        <v>7362.7452369116991</v>
      </c>
      <c r="BE82">
        <f t="shared" si="74"/>
        <v>104127.95905441172</v>
      </c>
      <c r="BF82">
        <f t="shared" si="75"/>
        <v>96274.134804583009</v>
      </c>
      <c r="BG82">
        <f t="shared" si="76"/>
        <v>88628.818365775151</v>
      </c>
      <c r="BH82">
        <f t="shared" si="77"/>
        <v>81332.585515472383</v>
      </c>
      <c r="BI82">
        <f t="shared" si="78"/>
        <v>74594.459664408219</v>
      </c>
      <c r="BJ82">
        <f t="shared" si="79"/>
        <v>68714.696572596047</v>
      </c>
      <c r="BK82">
        <f t="shared" si="80"/>
        <v>64113.292124119529</v>
      </c>
      <c r="BL82">
        <f t="shared" si="81"/>
        <v>61360.451469078704</v>
      </c>
      <c r="BM82">
        <f t="shared" si="82"/>
        <v>61213.863899683864</v>
      </c>
      <c r="BO82">
        <v>107507</v>
      </c>
      <c r="BP82">
        <v>100225</v>
      </c>
      <c r="BQ82">
        <v>92541.440000000002</v>
      </c>
      <c r="BR82">
        <v>84744.92</v>
      </c>
      <c r="BS82">
        <v>77070.2</v>
      </c>
      <c r="BT82">
        <v>69689.25</v>
      </c>
      <c r="BU82">
        <v>62696.84</v>
      </c>
      <c r="BV82">
        <v>56079.68</v>
      </c>
      <c r="BW82">
        <v>49618.62</v>
      </c>
      <c r="BY82">
        <f t="shared" si="83"/>
        <v>0.96864243406114747</v>
      </c>
    </row>
    <row r="83" spans="1:77" x14ac:dyDescent="0.3">
      <c r="A83" s="1" t="s">
        <v>227</v>
      </c>
      <c r="B83">
        <v>289.81</v>
      </c>
      <c r="C83">
        <v>511</v>
      </c>
      <c r="E83">
        <v>289.81</v>
      </c>
      <c r="F83">
        <v>314.38670000000002</v>
      </c>
      <c r="G83">
        <v>338.9633</v>
      </c>
      <c r="H83">
        <v>363.54</v>
      </c>
      <c r="I83">
        <v>388.11669999999998</v>
      </c>
      <c r="J83">
        <v>412.69330000000002</v>
      </c>
      <c r="K83">
        <v>437.27</v>
      </c>
      <c r="L83">
        <v>461.8467</v>
      </c>
      <c r="M83">
        <v>486.42329999999998</v>
      </c>
      <c r="N83">
        <v>511</v>
      </c>
      <c r="O83">
        <v>1276.9000000000001</v>
      </c>
      <c r="P83">
        <v>4945.3010000000004</v>
      </c>
      <c r="Q83">
        <v>15390.8</v>
      </c>
      <c r="R83">
        <v>40338.54</v>
      </c>
      <c r="S83">
        <v>92214.57</v>
      </c>
      <c r="T83">
        <v>188873</v>
      </c>
      <c r="U83">
        <v>353984</v>
      </c>
      <c r="V83">
        <v>617422</v>
      </c>
      <c r="W83">
        <v>1016240</v>
      </c>
      <c r="X83">
        <v>1596960</v>
      </c>
      <c r="AA83">
        <f t="shared" si="44"/>
        <v>3.4505365584348367E-3</v>
      </c>
      <c r="AB83">
        <f t="shared" si="45"/>
        <v>3.1807961341876103E-3</v>
      </c>
      <c r="AC83">
        <f t="shared" si="46"/>
        <v>2.9501718917652737E-3</v>
      </c>
      <c r="AD83">
        <f t="shared" si="47"/>
        <v>2.7507289431699397E-3</v>
      </c>
      <c r="AE83">
        <f t="shared" si="48"/>
        <v>2.5765446320655618E-3</v>
      </c>
      <c r="AF83">
        <f t="shared" si="49"/>
        <v>2.423106941644073E-3</v>
      </c>
      <c r="AG83">
        <f t="shared" si="50"/>
        <v>2.2869165504150754E-3</v>
      </c>
      <c r="AH83">
        <f t="shared" si="51"/>
        <v>2.1652206240728796E-3</v>
      </c>
      <c r="AI83">
        <f t="shared" si="52"/>
        <v>2.0558225726440326E-3</v>
      </c>
      <c r="AJ83">
        <f t="shared" si="53"/>
        <v>1.9569471624266144E-3</v>
      </c>
      <c r="AK83">
        <f t="shared" si="54"/>
        <v>7.1521905444306357</v>
      </c>
      <c r="AL83">
        <f t="shared" si="55"/>
        <v>8.5061931117695533</v>
      </c>
      <c r="AM83">
        <f t="shared" si="56"/>
        <v>9.6415252072882858</v>
      </c>
      <c r="AN83">
        <f t="shared" si="57"/>
        <v>10.605062618488345</v>
      </c>
      <c r="AO83">
        <f t="shared" si="58"/>
        <v>11.431873423090256</v>
      </c>
      <c r="AP83">
        <f t="shared" si="59"/>
        <v>12.148830110505079</v>
      </c>
      <c r="AQ83">
        <f t="shared" si="60"/>
        <v>12.77700699335435</v>
      </c>
      <c r="AR83">
        <f t="shared" si="61"/>
        <v>13.333308023716285</v>
      </c>
      <c r="AS83">
        <f t="shared" si="62"/>
        <v>13.831620099697343</v>
      </c>
      <c r="AT83">
        <f t="shared" si="63"/>
        <v>14.283612379920413</v>
      </c>
      <c r="AU83">
        <f t="shared" si="64"/>
        <v>0.99968171969537789</v>
      </c>
      <c r="AV83">
        <f t="shared" si="65"/>
        <v>5019.6501733753012</v>
      </c>
      <c r="AW83">
        <f t="shared" si="66"/>
        <v>4922.8653657304012</v>
      </c>
      <c r="AX83">
        <f t="shared" si="67"/>
        <v>4831.1430310582637</v>
      </c>
      <c r="AY83">
        <f t="shared" si="68"/>
        <v>4746.7581859680449</v>
      </c>
      <c r="AZ83">
        <f t="shared" si="69"/>
        <v>4672.6243431152052</v>
      </c>
      <c r="BA83">
        <f t="shared" si="70"/>
        <v>4612.4904788108133</v>
      </c>
      <c r="BB83">
        <f t="shared" si="71"/>
        <v>4571.2378966381821</v>
      </c>
      <c r="BC83">
        <f t="shared" si="72"/>
        <v>4555.0361224227354</v>
      </c>
      <c r="BD83">
        <f t="shared" si="73"/>
        <v>4571.3315295398488</v>
      </c>
      <c r="BE83">
        <f t="shared" si="74"/>
        <v>41733.371541442255</v>
      </c>
      <c r="BF83">
        <f t="shared" si="75"/>
        <v>40928.702650682557</v>
      </c>
      <c r="BG83">
        <f t="shared" si="76"/>
        <v>40166.123160218405</v>
      </c>
      <c r="BH83">
        <f t="shared" si="77"/>
        <v>39464.547558138329</v>
      </c>
      <c r="BI83">
        <f t="shared" si="78"/>
        <v>38848.198788659814</v>
      </c>
      <c r="BJ83">
        <f t="shared" si="79"/>
        <v>38348.2458408331</v>
      </c>
      <c r="BK83">
        <f t="shared" si="80"/>
        <v>38005.271872649842</v>
      </c>
      <c r="BL83">
        <f t="shared" si="81"/>
        <v>37870.570321822619</v>
      </c>
      <c r="BM83">
        <f t="shared" si="82"/>
        <v>38006.0503365943</v>
      </c>
      <c r="BO83">
        <v>24466.59</v>
      </c>
      <c r="BP83">
        <v>24062.71</v>
      </c>
      <c r="BQ83">
        <v>23779.55</v>
      </c>
      <c r="BR83">
        <v>23574.720000000001</v>
      </c>
      <c r="BS83">
        <v>23400.34</v>
      </c>
      <c r="BT83">
        <v>23198.959999999999</v>
      </c>
      <c r="BU83">
        <v>22898.23</v>
      </c>
      <c r="BV83">
        <v>22403.55</v>
      </c>
      <c r="BW83">
        <v>21586.41</v>
      </c>
      <c r="BY83">
        <f t="shared" si="83"/>
        <v>0.7579770980328161</v>
      </c>
    </row>
    <row r="84" spans="1:77" x14ac:dyDescent="0.3">
      <c r="A84" s="1" t="s">
        <v>230</v>
      </c>
      <c r="B84">
        <v>252.45</v>
      </c>
      <c r="C84">
        <v>520</v>
      </c>
      <c r="E84">
        <v>252.45</v>
      </c>
      <c r="F84">
        <v>282.17779999999999</v>
      </c>
      <c r="G84">
        <v>311.90559999999999</v>
      </c>
      <c r="H84">
        <v>341.63330000000002</v>
      </c>
      <c r="I84">
        <v>371.36110000000002</v>
      </c>
      <c r="J84">
        <v>401.08890000000002</v>
      </c>
      <c r="K84">
        <v>430.81670000000003</v>
      </c>
      <c r="L84">
        <v>460.5444</v>
      </c>
      <c r="M84">
        <v>490.2722</v>
      </c>
      <c r="N84">
        <v>520</v>
      </c>
      <c r="O84">
        <v>13.14179</v>
      </c>
      <c r="P84">
        <v>161.34100000000001</v>
      </c>
      <c r="Q84">
        <v>1176.68</v>
      </c>
      <c r="R84">
        <v>5863.2160000000003</v>
      </c>
      <c r="S84">
        <v>21939.84</v>
      </c>
      <c r="T84">
        <v>65869.62</v>
      </c>
      <c r="U84">
        <v>166418</v>
      </c>
      <c r="V84">
        <v>366516</v>
      </c>
      <c r="W84">
        <v>722670</v>
      </c>
      <c r="X84">
        <v>1302200</v>
      </c>
      <c r="AA84">
        <f t="shared" si="44"/>
        <v>3.9611804317686676E-3</v>
      </c>
      <c r="AB84">
        <f t="shared" si="45"/>
        <v>3.5438648965297769E-3</v>
      </c>
      <c r="AC84">
        <f t="shared" si="46"/>
        <v>3.2060982553695733E-3</v>
      </c>
      <c r="AD84">
        <f t="shared" si="47"/>
        <v>2.927115126072312E-3</v>
      </c>
      <c r="AE84">
        <f t="shared" si="48"/>
        <v>2.6927968492122625E-3</v>
      </c>
      <c r="AF84">
        <f t="shared" si="49"/>
        <v>2.4932128513155062E-3</v>
      </c>
      <c r="AG84">
        <f t="shared" si="50"/>
        <v>2.3211727864774043E-3</v>
      </c>
      <c r="AH84">
        <f t="shared" si="51"/>
        <v>2.1713433058788687E-3</v>
      </c>
      <c r="AI84">
        <f t="shared" si="52"/>
        <v>2.0396832616656623E-3</v>
      </c>
      <c r="AJ84">
        <f t="shared" si="53"/>
        <v>1.9230769230769232E-3</v>
      </c>
      <c r="AK84">
        <f t="shared" si="54"/>
        <v>2.5757972290450075</v>
      </c>
      <c r="AL84">
        <f t="shared" si="55"/>
        <v>5.0835201375806083</v>
      </c>
      <c r="AM84">
        <f t="shared" si="56"/>
        <v>7.0704521926397916</v>
      </c>
      <c r="AN84">
        <f t="shared" si="57"/>
        <v>8.6764535374931668</v>
      </c>
      <c r="AO84">
        <f t="shared" si="58"/>
        <v>9.9960594411864037</v>
      </c>
      <c r="AP84">
        <f t="shared" si="59"/>
        <v>11.095432612679279</v>
      </c>
      <c r="AQ84">
        <f t="shared" si="60"/>
        <v>12.022257974595883</v>
      </c>
      <c r="AR84">
        <f t="shared" si="61"/>
        <v>12.811797455563307</v>
      </c>
      <c r="AS84">
        <f t="shared" si="62"/>
        <v>13.490707965409053</v>
      </c>
      <c r="AT84">
        <f t="shared" si="63"/>
        <v>14.079565699784899</v>
      </c>
      <c r="AU84">
        <f t="shared" si="64"/>
        <v>0.9992937489234921</v>
      </c>
      <c r="AV84">
        <f t="shared" si="65"/>
        <v>6009.1769818731145</v>
      </c>
      <c r="AW84">
        <f t="shared" si="66"/>
        <v>5882.558586112048</v>
      </c>
      <c r="AX84">
        <f t="shared" si="67"/>
        <v>5756.6253160138349</v>
      </c>
      <c r="AY84">
        <f t="shared" si="68"/>
        <v>5631.6814948301853</v>
      </c>
      <c r="AZ84">
        <f t="shared" si="69"/>
        <v>5508.3232277047318</v>
      </c>
      <c r="BA84">
        <f t="shared" si="70"/>
        <v>5387.2646629655246</v>
      </c>
      <c r="BB84">
        <f t="shared" si="71"/>
        <v>5269.586985240745</v>
      </c>
      <c r="BC84">
        <f t="shared" si="72"/>
        <v>5156.5417124297637</v>
      </c>
      <c r="BD84">
        <f t="shared" si="73"/>
        <v>5049.9633339204565</v>
      </c>
      <c r="BE84">
        <f t="shared" si="74"/>
        <v>49960.297427293073</v>
      </c>
      <c r="BF84">
        <f t="shared" si="75"/>
        <v>48907.592084935568</v>
      </c>
      <c r="BG84">
        <f t="shared" si="76"/>
        <v>47860.582877339024</v>
      </c>
      <c r="BH84">
        <f t="shared" si="77"/>
        <v>46821.799948018161</v>
      </c>
      <c r="BI84">
        <f t="shared" si="78"/>
        <v>45796.199315137143</v>
      </c>
      <c r="BJ84">
        <f t="shared" si="79"/>
        <v>44789.718407895372</v>
      </c>
      <c r="BK84">
        <f t="shared" si="80"/>
        <v>43811.346195291553</v>
      </c>
      <c r="BL84">
        <f t="shared" si="81"/>
        <v>42871.487797141053</v>
      </c>
      <c r="BM84">
        <f t="shared" si="82"/>
        <v>41985.395158214676</v>
      </c>
      <c r="BO84">
        <v>30922.16</v>
      </c>
      <c r="BP84">
        <v>30929.69</v>
      </c>
      <c r="BQ84">
        <v>31015.439999999999</v>
      </c>
      <c r="BR84">
        <v>31129.39</v>
      </c>
      <c r="BS84">
        <v>31210.639999999999</v>
      </c>
      <c r="BT84">
        <v>31182.85</v>
      </c>
      <c r="BU84">
        <v>30948.34</v>
      </c>
      <c r="BV84">
        <v>30379.439999999999</v>
      </c>
      <c r="BW84">
        <v>29303.83</v>
      </c>
      <c r="BY84">
        <f t="shared" si="83"/>
        <v>0.3577580290740755</v>
      </c>
    </row>
    <row r="85" spans="1:77" x14ac:dyDescent="0.3">
      <c r="A85" s="1" t="s">
        <v>233</v>
      </c>
      <c r="B85">
        <v>267.95</v>
      </c>
      <c r="C85">
        <v>545</v>
      </c>
      <c r="E85">
        <v>267.95</v>
      </c>
      <c r="F85">
        <v>298.73329999999999</v>
      </c>
      <c r="G85">
        <v>329.51670000000001</v>
      </c>
      <c r="H85">
        <v>360.3</v>
      </c>
      <c r="I85">
        <v>391.08330000000001</v>
      </c>
      <c r="J85">
        <v>421.86669999999998</v>
      </c>
      <c r="K85">
        <v>452.65</v>
      </c>
      <c r="L85">
        <v>483.43329999999997</v>
      </c>
      <c r="M85">
        <v>514.21669999999995</v>
      </c>
      <c r="N85">
        <v>545</v>
      </c>
      <c r="O85">
        <v>10.25076</v>
      </c>
      <c r="P85">
        <v>139.14510000000001</v>
      </c>
      <c r="Q85">
        <v>1080.577</v>
      </c>
      <c r="R85">
        <v>5581.4790000000003</v>
      </c>
      <c r="S85">
        <v>21250.48</v>
      </c>
      <c r="T85">
        <v>64132.31</v>
      </c>
      <c r="U85">
        <v>161790</v>
      </c>
      <c r="V85">
        <v>355142</v>
      </c>
      <c r="W85">
        <v>699819</v>
      </c>
      <c r="X85">
        <v>1269410</v>
      </c>
      <c r="AA85">
        <f t="shared" si="44"/>
        <v>3.7320395596193321E-3</v>
      </c>
      <c r="AB85">
        <f t="shared" si="45"/>
        <v>3.3474674567582526E-3</v>
      </c>
      <c r="AC85">
        <f t="shared" si="46"/>
        <v>3.0347475560419243E-3</v>
      </c>
      <c r="AD85">
        <f t="shared" si="47"/>
        <v>2.7754648903691365E-3</v>
      </c>
      <c r="AE85">
        <f t="shared" si="48"/>
        <v>2.5570000048582998E-3</v>
      </c>
      <c r="AF85">
        <f t="shared" si="49"/>
        <v>2.3704170061301356E-3</v>
      </c>
      <c r="AG85">
        <f t="shared" si="50"/>
        <v>2.2092124157737768E-3</v>
      </c>
      <c r="AH85">
        <f t="shared" si="51"/>
        <v>2.068537686584685E-3</v>
      </c>
      <c r="AI85">
        <f t="shared" si="52"/>
        <v>1.9447054131069646E-3</v>
      </c>
      <c r="AJ85">
        <f t="shared" si="53"/>
        <v>1.834862385321101E-3</v>
      </c>
      <c r="AK85">
        <f t="shared" si="54"/>
        <v>2.3273518491771763</v>
      </c>
      <c r="AL85">
        <f t="shared" si="55"/>
        <v>4.9355172735538195</v>
      </c>
      <c r="AM85">
        <f t="shared" si="56"/>
        <v>6.9852504367118575</v>
      </c>
      <c r="AN85">
        <f t="shared" si="57"/>
        <v>8.6272090740182552</v>
      </c>
      <c r="AO85">
        <f t="shared" si="58"/>
        <v>9.9641347623327459</v>
      </c>
      <c r="AP85">
        <f t="shared" si="59"/>
        <v>11.068703572077373</v>
      </c>
      <c r="AQ85">
        <f t="shared" si="60"/>
        <v>11.994054476999382</v>
      </c>
      <c r="AR85">
        <f t="shared" si="61"/>
        <v>12.780272988478879</v>
      </c>
      <c r="AS85">
        <f t="shared" si="62"/>
        <v>13.458577009161615</v>
      </c>
      <c r="AT85">
        <f t="shared" si="63"/>
        <v>14.054062783560992</v>
      </c>
      <c r="AU85">
        <f t="shared" si="64"/>
        <v>0.99855106366475666</v>
      </c>
      <c r="AV85">
        <f t="shared" si="65"/>
        <v>6781.9932984551415</v>
      </c>
      <c r="AW85">
        <f t="shared" si="66"/>
        <v>6554.5338127277482</v>
      </c>
      <c r="AX85">
        <f t="shared" si="67"/>
        <v>6332.6973017877481</v>
      </c>
      <c r="AY85">
        <f t="shared" si="68"/>
        <v>6119.6365044586237</v>
      </c>
      <c r="AZ85">
        <f t="shared" si="69"/>
        <v>5919.9863721447182</v>
      </c>
      <c r="BA85">
        <f t="shared" si="70"/>
        <v>5740.2267694513494</v>
      </c>
      <c r="BB85">
        <f t="shared" si="71"/>
        <v>5588.9107874000556</v>
      </c>
      <c r="BC85">
        <f t="shared" si="72"/>
        <v>5477.6029029683832</v>
      </c>
      <c r="BD85">
        <f t="shared" si="73"/>
        <v>5421.2432632525624</v>
      </c>
      <c r="BE85">
        <f t="shared" si="74"/>
        <v>56385.492283356049</v>
      </c>
      <c r="BF85">
        <f t="shared" si="75"/>
        <v>54494.3941190185</v>
      </c>
      <c r="BG85">
        <f t="shared" si="76"/>
        <v>52650.045367063336</v>
      </c>
      <c r="BH85">
        <f t="shared" si="77"/>
        <v>50878.657898068996</v>
      </c>
      <c r="BI85">
        <f t="shared" si="78"/>
        <v>49218.76669801119</v>
      </c>
      <c r="BJ85">
        <f t="shared" si="79"/>
        <v>47724.24536121852</v>
      </c>
      <c r="BK85">
        <f t="shared" si="80"/>
        <v>46466.204286444059</v>
      </c>
      <c r="BL85">
        <f t="shared" si="81"/>
        <v>45540.790535279135</v>
      </c>
      <c r="BM85">
        <f t="shared" si="82"/>
        <v>45072.216490681807</v>
      </c>
      <c r="BO85">
        <v>41049.81</v>
      </c>
      <c r="BP85">
        <v>40160.86</v>
      </c>
      <c r="BQ85">
        <v>39320.43</v>
      </c>
      <c r="BR85">
        <v>38450.18</v>
      </c>
      <c r="BS85">
        <v>37459.74</v>
      </c>
      <c r="BT85">
        <v>36241.51</v>
      </c>
      <c r="BU85">
        <v>34663.699999999997</v>
      </c>
      <c r="BV85">
        <v>32559.52</v>
      </c>
      <c r="BW85">
        <v>29706.27</v>
      </c>
      <c r="BY85">
        <f t="shared" si="83"/>
        <v>0.86120833901903404</v>
      </c>
    </row>
    <row r="86" spans="1:77" x14ac:dyDescent="0.3">
      <c r="A86" s="1" t="s">
        <v>236</v>
      </c>
      <c r="B86">
        <v>239.15</v>
      </c>
      <c r="C86">
        <v>569</v>
      </c>
      <c r="E86">
        <v>239.15</v>
      </c>
      <c r="F86">
        <v>275.8</v>
      </c>
      <c r="G86">
        <v>312.45</v>
      </c>
      <c r="H86">
        <v>349.1</v>
      </c>
      <c r="I86">
        <v>385.75</v>
      </c>
      <c r="J86">
        <v>422.4</v>
      </c>
      <c r="K86">
        <v>459.05</v>
      </c>
      <c r="L86">
        <v>495.7</v>
      </c>
      <c r="M86">
        <v>532.35</v>
      </c>
      <c r="N86">
        <v>569</v>
      </c>
      <c r="O86">
        <v>3.9589100000000002E-2</v>
      </c>
      <c r="P86">
        <v>3.3865080000000001</v>
      </c>
      <c r="Q86">
        <v>87.92165</v>
      </c>
      <c r="R86">
        <v>1025.982</v>
      </c>
      <c r="S86">
        <v>6848.3590000000004</v>
      </c>
      <c r="T86">
        <v>30571.71</v>
      </c>
      <c r="U86">
        <v>101491</v>
      </c>
      <c r="V86">
        <v>270100</v>
      </c>
      <c r="W86">
        <v>609010</v>
      </c>
      <c r="X86">
        <v>1213750</v>
      </c>
      <c r="AA86">
        <f t="shared" si="44"/>
        <v>4.1814760610495508E-3</v>
      </c>
      <c r="AB86">
        <f t="shared" si="45"/>
        <v>3.6258158085569251E-3</v>
      </c>
      <c r="AC86">
        <f t="shared" si="46"/>
        <v>3.2005120819331096E-3</v>
      </c>
      <c r="AD86">
        <f t="shared" si="47"/>
        <v>2.8645087367516471E-3</v>
      </c>
      <c r="AE86">
        <f t="shared" si="48"/>
        <v>2.592352559948153E-3</v>
      </c>
      <c r="AF86">
        <f t="shared" si="49"/>
        <v>2.3674242424242425E-3</v>
      </c>
      <c r="AG86">
        <f t="shared" si="50"/>
        <v>2.1784119376974187E-3</v>
      </c>
      <c r="AH86">
        <f t="shared" si="51"/>
        <v>2.0173492031470646E-3</v>
      </c>
      <c r="AI86">
        <f t="shared" si="52"/>
        <v>1.8784634169249552E-3</v>
      </c>
      <c r="AJ86">
        <f t="shared" si="53"/>
        <v>1.7574692442882249E-3</v>
      </c>
      <c r="AK86">
        <f t="shared" si="54"/>
        <v>-3.229201451135884</v>
      </c>
      <c r="AL86">
        <f t="shared" si="55"/>
        <v>1.2197993019910114</v>
      </c>
      <c r="AM86">
        <f t="shared" si="56"/>
        <v>4.4764460769802312</v>
      </c>
      <c r="AN86">
        <f t="shared" si="57"/>
        <v>6.9334054817171706</v>
      </c>
      <c r="AO86">
        <f t="shared" si="58"/>
        <v>8.8317643405129047</v>
      </c>
      <c r="AP86">
        <f t="shared" si="59"/>
        <v>10.32783035051378</v>
      </c>
      <c r="AQ86">
        <f t="shared" si="60"/>
        <v>11.527725403581828</v>
      </c>
      <c r="AR86">
        <f t="shared" si="61"/>
        <v>12.506547539780707</v>
      </c>
      <c r="AS86">
        <f t="shared" si="62"/>
        <v>13.319589966918469</v>
      </c>
      <c r="AT86">
        <f t="shared" si="63"/>
        <v>14.009225298587671</v>
      </c>
      <c r="AU86">
        <f t="shared" si="64"/>
        <v>0.99711915296266951</v>
      </c>
      <c r="AV86">
        <f t="shared" si="65"/>
        <v>8006.6924585107699</v>
      </c>
      <c r="AW86">
        <f t="shared" si="66"/>
        <v>7657.2260507600722</v>
      </c>
      <c r="AX86">
        <f t="shared" si="67"/>
        <v>7312.3063801940125</v>
      </c>
      <c r="AY86">
        <f t="shared" si="68"/>
        <v>6975.2554621106856</v>
      </c>
      <c r="AZ86">
        <f t="shared" si="69"/>
        <v>6651.301296653497</v>
      </c>
      <c r="BA86">
        <f t="shared" si="70"/>
        <v>6348.2377763830527</v>
      </c>
      <c r="BB86">
        <f t="shared" si="71"/>
        <v>6077.2725542720937</v>
      </c>
      <c r="BC86">
        <f t="shared" si="72"/>
        <v>5854.036249883241</v>
      </c>
      <c r="BD86">
        <f t="shared" si="73"/>
        <v>5699.7400506199911</v>
      </c>
      <c r="BE86">
        <f t="shared" si="74"/>
        <v>66567.641100058536</v>
      </c>
      <c r="BF86">
        <f t="shared" si="75"/>
        <v>63662.177386019241</v>
      </c>
      <c r="BG86">
        <f t="shared" si="76"/>
        <v>60794.51524493302</v>
      </c>
      <c r="BH86">
        <f t="shared" si="77"/>
        <v>57992.273911988239</v>
      </c>
      <c r="BI86">
        <f t="shared" si="78"/>
        <v>55298.918980377173</v>
      </c>
      <c r="BJ86">
        <f t="shared" si="79"/>
        <v>52779.248872848701</v>
      </c>
      <c r="BK86">
        <f t="shared" si="80"/>
        <v>50526.444016218185</v>
      </c>
      <c r="BL86">
        <f t="shared" si="81"/>
        <v>48670.457381529268</v>
      </c>
      <c r="BM86">
        <f t="shared" si="82"/>
        <v>47387.638780854606</v>
      </c>
      <c r="BO86">
        <v>53813.49</v>
      </c>
      <c r="BP86">
        <v>52148.97</v>
      </c>
      <c r="BQ86">
        <v>50540.59</v>
      </c>
      <c r="BR86">
        <v>48879.08</v>
      </c>
      <c r="BS86">
        <v>47040.71</v>
      </c>
      <c r="BT86">
        <v>44880.32</v>
      </c>
      <c r="BU86">
        <v>42221.93</v>
      </c>
      <c r="BV86">
        <v>38842.97</v>
      </c>
      <c r="BW86">
        <v>34440.980000000003</v>
      </c>
      <c r="BY86">
        <f t="shared" si="83"/>
        <v>0.9190359543854687</v>
      </c>
    </row>
    <row r="87" spans="1:77" x14ac:dyDescent="0.3">
      <c r="A87" s="1" t="s">
        <v>239</v>
      </c>
      <c r="B87">
        <v>269.25</v>
      </c>
      <c r="C87">
        <v>600</v>
      </c>
      <c r="E87">
        <v>269.25</v>
      </c>
      <c r="F87">
        <v>306</v>
      </c>
      <c r="G87">
        <v>342.75</v>
      </c>
      <c r="H87">
        <v>379.5</v>
      </c>
      <c r="I87">
        <v>416.25</v>
      </c>
      <c r="J87">
        <v>453</v>
      </c>
      <c r="K87">
        <v>489.75</v>
      </c>
      <c r="L87">
        <v>526.5</v>
      </c>
      <c r="M87">
        <v>563.25</v>
      </c>
      <c r="N87">
        <v>600</v>
      </c>
      <c r="O87">
        <v>0.31691550000000002</v>
      </c>
      <c r="P87">
        <v>13.82498</v>
      </c>
      <c r="Q87">
        <v>235.55680000000001</v>
      </c>
      <c r="R87">
        <v>2088.6579999999999</v>
      </c>
      <c r="S87">
        <v>11583.03</v>
      </c>
      <c r="T87">
        <v>45445.68</v>
      </c>
      <c r="U87">
        <v>137469</v>
      </c>
      <c r="V87">
        <v>341124</v>
      </c>
      <c r="W87">
        <v>727368</v>
      </c>
      <c r="X87">
        <v>1381270</v>
      </c>
      <c r="AA87">
        <f t="shared" si="44"/>
        <v>3.7140204271123491E-3</v>
      </c>
      <c r="AB87">
        <f t="shared" si="45"/>
        <v>3.2679738562091504E-3</v>
      </c>
      <c r="AC87">
        <f t="shared" si="46"/>
        <v>2.9175784099197666E-3</v>
      </c>
      <c r="AD87">
        <f t="shared" si="47"/>
        <v>2.635046113306983E-3</v>
      </c>
      <c r="AE87">
        <f t="shared" si="48"/>
        <v>2.4024024024024023E-3</v>
      </c>
      <c r="AF87">
        <f t="shared" si="49"/>
        <v>2.2075055187637969E-3</v>
      </c>
      <c r="AG87">
        <f t="shared" si="50"/>
        <v>2.0418580908626851E-3</v>
      </c>
      <c r="AH87">
        <f t="shared" si="51"/>
        <v>1.8993352326685661E-3</v>
      </c>
      <c r="AI87">
        <f t="shared" si="52"/>
        <v>1.7754105636928539E-3</v>
      </c>
      <c r="AJ87">
        <f t="shared" si="53"/>
        <v>1.6666666666666668E-3</v>
      </c>
      <c r="AK87">
        <f t="shared" si="54"/>
        <v>-1.1491201021528872</v>
      </c>
      <c r="AL87">
        <f t="shared" si="55"/>
        <v>2.6264771007527408</v>
      </c>
      <c r="AM87">
        <f t="shared" si="56"/>
        <v>5.4619520733347517</v>
      </c>
      <c r="AN87">
        <f t="shared" si="57"/>
        <v>7.6442770334578256</v>
      </c>
      <c r="AO87">
        <f t="shared" si="58"/>
        <v>9.3572963749315825</v>
      </c>
      <c r="AP87">
        <f t="shared" si="59"/>
        <v>10.724273045583184</v>
      </c>
      <c r="AQ87">
        <f t="shared" si="60"/>
        <v>11.831153716124613</v>
      </c>
      <c r="AR87">
        <f t="shared" si="61"/>
        <v>12.740001326529612</v>
      </c>
      <c r="AS87">
        <f t="shared" si="62"/>
        <v>13.497187818265989</v>
      </c>
      <c r="AT87">
        <f t="shared" si="63"/>
        <v>14.13851392378138</v>
      </c>
      <c r="AU87">
        <f t="shared" si="64"/>
        <v>0.9968880581376266</v>
      </c>
      <c r="AV87">
        <f t="shared" si="65"/>
        <v>8464.5807168978572</v>
      </c>
      <c r="AW87">
        <f t="shared" si="66"/>
        <v>8092.2141044043574</v>
      </c>
      <c r="AX87">
        <f t="shared" si="67"/>
        <v>7724.1610473792853</v>
      </c>
      <c r="AY87">
        <f t="shared" si="68"/>
        <v>7363.2738010113471</v>
      </c>
      <c r="AZ87">
        <f t="shared" si="69"/>
        <v>7013.8457071810717</v>
      </c>
      <c r="BA87">
        <f t="shared" si="70"/>
        <v>6682.1482504528512</v>
      </c>
      <c r="BB87">
        <f t="shared" si="71"/>
        <v>6376.8550667650115</v>
      </c>
      <c r="BC87">
        <f t="shared" si="72"/>
        <v>6110.0545839245033</v>
      </c>
      <c r="BD87">
        <f t="shared" si="73"/>
        <v>5897.5825131680758</v>
      </c>
      <c r="BE87">
        <f t="shared" si="74"/>
        <v>70374.524080288786</v>
      </c>
      <c r="BF87">
        <f t="shared" si="75"/>
        <v>67278.668064017824</v>
      </c>
      <c r="BG87">
        <f t="shared" si="76"/>
        <v>64218.674947911379</v>
      </c>
      <c r="BH87">
        <f t="shared" si="77"/>
        <v>61218.258381608342</v>
      </c>
      <c r="BI87">
        <f t="shared" si="78"/>
        <v>58313.113209503434</v>
      </c>
      <c r="BJ87">
        <f t="shared" si="79"/>
        <v>55555.380554265008</v>
      </c>
      <c r="BK87">
        <f t="shared" si="80"/>
        <v>53017.173025084303</v>
      </c>
      <c r="BL87">
        <f t="shared" si="81"/>
        <v>50798.993810748318</v>
      </c>
      <c r="BM87">
        <f t="shared" si="82"/>
        <v>49032.501014479385</v>
      </c>
      <c r="BO87">
        <v>64783.360000000001</v>
      </c>
      <c r="BP87">
        <v>61758.15</v>
      </c>
      <c r="BQ87">
        <v>58697.43</v>
      </c>
      <c r="BR87">
        <v>55538.38</v>
      </c>
      <c r="BS87">
        <v>52206.8</v>
      </c>
      <c r="BT87">
        <v>48610.33</v>
      </c>
      <c r="BU87">
        <v>44626.42</v>
      </c>
      <c r="BV87">
        <v>40077.870000000003</v>
      </c>
      <c r="BW87">
        <v>34675.11</v>
      </c>
      <c r="BY87">
        <f t="shared" si="83"/>
        <v>0.96975567266472829</v>
      </c>
    </row>
    <row r="88" spans="1:77" x14ac:dyDescent="0.3">
      <c r="A88" s="1" t="s">
        <v>241</v>
      </c>
      <c r="B88">
        <v>289.64999999999998</v>
      </c>
      <c r="C88">
        <v>624</v>
      </c>
      <c r="E88">
        <v>289.64999999999998</v>
      </c>
      <c r="F88">
        <v>326.8</v>
      </c>
      <c r="G88">
        <v>363.95</v>
      </c>
      <c r="H88">
        <v>401.1</v>
      </c>
      <c r="I88">
        <v>438.25</v>
      </c>
      <c r="J88">
        <v>475.4</v>
      </c>
      <c r="K88">
        <v>512.54999999999995</v>
      </c>
      <c r="L88">
        <v>549.70000000000005</v>
      </c>
      <c r="M88">
        <v>586.85</v>
      </c>
      <c r="N88">
        <v>624</v>
      </c>
      <c r="O88">
        <v>0.2764934</v>
      </c>
      <c r="P88">
        <v>11.102690000000001</v>
      </c>
      <c r="Q88">
        <v>181.47040000000001</v>
      </c>
      <c r="R88">
        <v>1573.6479999999999</v>
      </c>
      <c r="S88">
        <v>8611.8070000000007</v>
      </c>
      <c r="T88">
        <v>33485.199999999997</v>
      </c>
      <c r="U88">
        <v>100626</v>
      </c>
      <c r="V88">
        <v>248597</v>
      </c>
      <c r="W88">
        <v>529209</v>
      </c>
      <c r="X88">
        <v>1007370</v>
      </c>
      <c r="AA88">
        <f t="shared" si="44"/>
        <v>3.4524426031417232E-3</v>
      </c>
      <c r="AB88">
        <f t="shared" si="45"/>
        <v>3.0599755201958382E-3</v>
      </c>
      <c r="AC88">
        <f t="shared" si="46"/>
        <v>2.7476301689792555E-3</v>
      </c>
      <c r="AD88">
        <f t="shared" si="47"/>
        <v>2.4931438544003987E-3</v>
      </c>
      <c r="AE88">
        <f t="shared" si="48"/>
        <v>2.2818026240730175E-3</v>
      </c>
      <c r="AF88">
        <f t="shared" si="49"/>
        <v>2.1034917963819941E-3</v>
      </c>
      <c r="AG88">
        <f t="shared" si="50"/>
        <v>1.95102916788606E-3</v>
      </c>
      <c r="AH88">
        <f t="shared" si="51"/>
        <v>1.8191740949608877E-3</v>
      </c>
      <c r="AI88">
        <f t="shared" si="52"/>
        <v>1.7040129504984236E-3</v>
      </c>
      <c r="AJ88">
        <f t="shared" si="53"/>
        <v>1.6025641025641025E-3</v>
      </c>
      <c r="AK88">
        <f t="shared" si="54"/>
        <v>-1.2855683281057209</v>
      </c>
      <c r="AL88">
        <f t="shared" si="55"/>
        <v>2.4071874213004687</v>
      </c>
      <c r="AM88">
        <f t="shared" si="56"/>
        <v>5.2010925550055864</v>
      </c>
      <c r="AN88">
        <f t="shared" si="57"/>
        <v>7.3611517699141578</v>
      </c>
      <c r="AO88">
        <f t="shared" si="58"/>
        <v>9.0608894476432589</v>
      </c>
      <c r="AP88">
        <f t="shared" si="59"/>
        <v>10.418858829149965</v>
      </c>
      <c r="AQ88">
        <f t="shared" si="60"/>
        <v>11.519165952559682</v>
      </c>
      <c r="AR88">
        <f t="shared" si="61"/>
        <v>12.423588390407495</v>
      </c>
      <c r="AS88">
        <f t="shared" si="62"/>
        <v>13.179138717881045</v>
      </c>
      <c r="AT88">
        <f t="shared" si="63"/>
        <v>13.822853532219533</v>
      </c>
      <c r="AU88">
        <f t="shared" si="64"/>
        <v>0.99613726050266127</v>
      </c>
      <c r="AV88">
        <f t="shared" si="65"/>
        <v>9409.083996772697</v>
      </c>
      <c r="AW88">
        <f t="shared" si="66"/>
        <v>8944.9230565554444</v>
      </c>
      <c r="AX88">
        <f t="shared" si="67"/>
        <v>8487.9189613131075</v>
      </c>
      <c r="AY88">
        <f t="shared" si="68"/>
        <v>8042.6222327564674</v>
      </c>
      <c r="AZ88">
        <f t="shared" si="69"/>
        <v>7615.7426842288669</v>
      </c>
      <c r="BA88">
        <f t="shared" si="70"/>
        <v>7216.8972440289572</v>
      </c>
      <c r="BB88">
        <f t="shared" si="71"/>
        <v>6859.2160906927902</v>
      </c>
      <c r="BC88">
        <f t="shared" si="72"/>
        <v>6560.8094726760582</v>
      </c>
      <c r="BD88">
        <f t="shared" si="73"/>
        <v>6345.2156179756139</v>
      </c>
      <c r="BE88">
        <f t="shared" si="74"/>
        <v>78227.124349168196</v>
      </c>
      <c r="BF88">
        <f t="shared" si="75"/>
        <v>74368.09029220196</v>
      </c>
      <c r="BG88">
        <f t="shared" si="76"/>
        <v>70568.558244357177</v>
      </c>
      <c r="BH88">
        <f t="shared" si="77"/>
        <v>66866.361243137275</v>
      </c>
      <c r="BI88">
        <f t="shared" si="78"/>
        <v>63317.284676678799</v>
      </c>
      <c r="BJ88">
        <f t="shared" si="79"/>
        <v>60001.283686856754</v>
      </c>
      <c r="BK88">
        <f t="shared" si="80"/>
        <v>57027.52257801986</v>
      </c>
      <c r="BL88">
        <f t="shared" si="81"/>
        <v>54546.569955828745</v>
      </c>
      <c r="BM88">
        <f t="shared" si="82"/>
        <v>52754.122647849254</v>
      </c>
      <c r="BO88">
        <v>79668.160000000003</v>
      </c>
      <c r="BP88">
        <v>75163</v>
      </c>
      <c r="BQ88">
        <v>70814.880000000005</v>
      </c>
      <c r="BR88">
        <v>66562.17</v>
      </c>
      <c r="BS88">
        <v>62332.27</v>
      </c>
      <c r="BT88">
        <v>58033.69</v>
      </c>
      <c r="BU88">
        <v>53541.75</v>
      </c>
      <c r="BV88">
        <v>48670.06</v>
      </c>
      <c r="BW88">
        <v>43105.440000000002</v>
      </c>
      <c r="BY88">
        <f t="shared" si="83"/>
        <v>0.98216151851476163</v>
      </c>
    </row>
    <row r="89" spans="1:77" x14ac:dyDescent="0.3">
      <c r="A89" s="1" t="s">
        <v>243</v>
      </c>
      <c r="B89">
        <v>316.98</v>
      </c>
      <c r="C89">
        <v>663</v>
      </c>
      <c r="E89">
        <v>316.98</v>
      </c>
      <c r="F89">
        <v>355.42669999999998</v>
      </c>
      <c r="G89">
        <v>393.87329999999997</v>
      </c>
      <c r="H89">
        <v>432.32</v>
      </c>
      <c r="I89">
        <v>470.76670000000001</v>
      </c>
      <c r="J89">
        <v>509.2133</v>
      </c>
      <c r="K89">
        <v>547.66</v>
      </c>
      <c r="L89">
        <v>586.10670000000005</v>
      </c>
      <c r="M89">
        <v>624.55330000000004</v>
      </c>
      <c r="N89">
        <v>663</v>
      </c>
      <c r="O89">
        <v>7.9033400000000004E-2</v>
      </c>
      <c r="P89">
        <v>3.7361789999999999</v>
      </c>
      <c r="Q89">
        <v>70.275260000000003</v>
      </c>
      <c r="R89">
        <v>684.23710000000005</v>
      </c>
      <c r="S89">
        <v>4110.0630000000001</v>
      </c>
      <c r="T89">
        <v>17202.759999999998</v>
      </c>
      <c r="U89">
        <v>54759.34</v>
      </c>
      <c r="V89">
        <v>141475</v>
      </c>
      <c r="W89">
        <v>311870</v>
      </c>
      <c r="X89">
        <v>610415</v>
      </c>
      <c r="AA89">
        <f t="shared" si="44"/>
        <v>3.1547731718089469E-3</v>
      </c>
      <c r="AB89">
        <f t="shared" si="45"/>
        <v>2.8135196371009831E-3</v>
      </c>
      <c r="AC89">
        <f t="shared" si="46"/>
        <v>2.5388875051951987E-3</v>
      </c>
      <c r="AD89">
        <f t="shared" si="47"/>
        <v>2.3131014063656552E-3</v>
      </c>
      <c r="AE89">
        <f t="shared" si="48"/>
        <v>2.1241944258164392E-3</v>
      </c>
      <c r="AF89">
        <f t="shared" si="49"/>
        <v>1.9638135924572278E-3</v>
      </c>
      <c r="AG89">
        <f t="shared" si="50"/>
        <v>1.8259504071869409E-3</v>
      </c>
      <c r="AH89">
        <f t="shared" si="51"/>
        <v>1.7061739782193242E-3</v>
      </c>
      <c r="AI89">
        <f t="shared" si="52"/>
        <v>1.6011443699040578E-3</v>
      </c>
      <c r="AJ89">
        <f t="shared" si="53"/>
        <v>1.5082956259426848E-3</v>
      </c>
      <c r="AK89">
        <f t="shared" si="54"/>
        <v>-2.5378847310533041</v>
      </c>
      <c r="AL89">
        <f t="shared" si="55"/>
        <v>1.3180634314244106</v>
      </c>
      <c r="AM89">
        <f t="shared" si="56"/>
        <v>4.2524198165367295</v>
      </c>
      <c r="AN89">
        <f t="shared" si="57"/>
        <v>6.5283044949845781</v>
      </c>
      <c r="AO89">
        <f t="shared" si="58"/>
        <v>8.3211936358399541</v>
      </c>
      <c r="AP89">
        <f t="shared" si="59"/>
        <v>9.7528251150446739</v>
      </c>
      <c r="AQ89">
        <f t="shared" si="60"/>
        <v>10.910703226736619</v>
      </c>
      <c r="AR89">
        <f t="shared" si="61"/>
        <v>11.859878302010724</v>
      </c>
      <c r="AS89">
        <f t="shared" si="62"/>
        <v>12.650341713295276</v>
      </c>
      <c r="AT89">
        <f t="shared" si="63"/>
        <v>13.32189433270025</v>
      </c>
      <c r="AU89">
        <f t="shared" si="64"/>
        <v>0.99511790675046252</v>
      </c>
      <c r="AV89">
        <f t="shared" si="65"/>
        <v>11299.364754646536</v>
      </c>
      <c r="AW89">
        <f t="shared" si="66"/>
        <v>10684.679774175087</v>
      </c>
      <c r="AX89">
        <f t="shared" si="67"/>
        <v>10079.826394299062</v>
      </c>
      <c r="AY89">
        <f t="shared" si="68"/>
        <v>9490.8570114394151</v>
      </c>
      <c r="AZ89">
        <f t="shared" si="69"/>
        <v>8926.449933067981</v>
      </c>
      <c r="BA89">
        <f t="shared" si="70"/>
        <v>8398.7477107965606</v>
      </c>
      <c r="BB89">
        <f t="shared" si="71"/>
        <v>7924.5564712129535</v>
      </c>
      <c r="BC89">
        <f t="shared" si="72"/>
        <v>7526.1007249672439</v>
      </c>
      <c r="BD89">
        <f t="shared" si="73"/>
        <v>7232.7593325802418</v>
      </c>
      <c r="BE89">
        <f t="shared" si="74"/>
        <v>93942.918570131296</v>
      </c>
      <c r="BF89">
        <f t="shared" si="75"/>
        <v>88832.427642491675</v>
      </c>
      <c r="BG89">
        <f t="shared" si="76"/>
        <v>83803.676642202394</v>
      </c>
      <c r="BH89">
        <f t="shared" si="77"/>
        <v>78906.985193107292</v>
      </c>
      <c r="BI89">
        <f t="shared" si="78"/>
        <v>74214.504743527199</v>
      </c>
      <c r="BJ89">
        <f t="shared" si="79"/>
        <v>69827.188467562606</v>
      </c>
      <c r="BK89">
        <f t="shared" si="80"/>
        <v>65884.762501664489</v>
      </c>
      <c r="BL89">
        <f t="shared" si="81"/>
        <v>62572.001427377669</v>
      </c>
      <c r="BM89">
        <f t="shared" si="82"/>
        <v>60133.161091072128</v>
      </c>
      <c r="BO89">
        <v>96244.51</v>
      </c>
      <c r="BP89">
        <v>91322.1</v>
      </c>
      <c r="BQ89">
        <v>86341.62</v>
      </c>
      <c r="BR89">
        <v>81283.55</v>
      </c>
      <c r="BS89">
        <v>76114.100000000006</v>
      </c>
      <c r="BT89">
        <v>70777.929999999993</v>
      </c>
      <c r="BU89">
        <v>65184.800000000003</v>
      </c>
      <c r="BV89">
        <v>59182.98</v>
      </c>
      <c r="BW89">
        <v>52499.23</v>
      </c>
      <c r="BY89">
        <f t="shared" si="83"/>
        <v>0.97948453370427679</v>
      </c>
    </row>
    <row r="90" spans="1:77" x14ac:dyDescent="0.3">
      <c r="A90" s="1" t="s">
        <v>246</v>
      </c>
      <c r="B90">
        <v>182.48</v>
      </c>
      <c r="C90">
        <v>399</v>
      </c>
      <c r="E90">
        <v>182.48</v>
      </c>
      <c r="F90">
        <v>206.5378</v>
      </c>
      <c r="G90">
        <v>230.59559999999999</v>
      </c>
      <c r="H90">
        <v>254.6533</v>
      </c>
      <c r="I90">
        <v>278.71109999999999</v>
      </c>
      <c r="J90">
        <v>302.76889999999997</v>
      </c>
      <c r="K90">
        <v>326.82670000000002</v>
      </c>
      <c r="L90">
        <v>350.88440000000003</v>
      </c>
      <c r="M90">
        <v>374.94220000000001</v>
      </c>
      <c r="N90">
        <v>399</v>
      </c>
      <c r="O90">
        <v>180.101</v>
      </c>
      <c r="P90">
        <v>1514.502</v>
      </c>
      <c r="Q90">
        <v>7710.0379999999996</v>
      </c>
      <c r="R90">
        <v>27740.3</v>
      </c>
      <c r="S90">
        <v>77894.63</v>
      </c>
      <c r="T90">
        <v>182383</v>
      </c>
      <c r="U90">
        <v>372704</v>
      </c>
      <c r="V90">
        <v>686597</v>
      </c>
      <c r="W90">
        <v>1167360</v>
      </c>
      <c r="X90">
        <v>1863930</v>
      </c>
      <c r="AA90">
        <f t="shared" si="44"/>
        <v>5.4800526085050424E-3</v>
      </c>
      <c r="AB90">
        <f t="shared" si="45"/>
        <v>4.841728729559432E-3</v>
      </c>
      <c r="AC90">
        <f t="shared" si="46"/>
        <v>4.3365961883054145E-3</v>
      </c>
      <c r="AD90">
        <f t="shared" si="47"/>
        <v>3.926907681934615E-3</v>
      </c>
      <c r="AE90">
        <f t="shared" si="48"/>
        <v>3.5879446494954813E-3</v>
      </c>
      <c r="AF90">
        <f t="shared" si="49"/>
        <v>3.3028491367508355E-3</v>
      </c>
      <c r="AG90">
        <f t="shared" si="50"/>
        <v>3.0597255364999249E-3</v>
      </c>
      <c r="AH90">
        <f t="shared" si="51"/>
        <v>2.8499414622023662E-3</v>
      </c>
      <c r="AI90">
        <f t="shared" si="52"/>
        <v>2.66707775225088E-3</v>
      </c>
      <c r="AJ90">
        <f t="shared" si="53"/>
        <v>2.5062656641604009E-3</v>
      </c>
      <c r="AK90">
        <f t="shared" si="54"/>
        <v>5.1935178046373451</v>
      </c>
      <c r="AL90">
        <f t="shared" si="55"/>
        <v>7.3228419510342642</v>
      </c>
      <c r="AM90">
        <f t="shared" si="56"/>
        <v>8.9502783952093026</v>
      </c>
      <c r="AN90">
        <f t="shared" si="57"/>
        <v>10.230641508518348</v>
      </c>
      <c r="AO90">
        <f t="shared" si="58"/>
        <v>11.263112294951295</v>
      </c>
      <c r="AP90">
        <f t="shared" si="59"/>
        <v>12.113864150524428</v>
      </c>
      <c r="AQ90">
        <f t="shared" si="60"/>
        <v>12.828539817902378</v>
      </c>
      <c r="AR90">
        <f t="shared" si="61"/>
        <v>13.439502790639935</v>
      </c>
      <c r="AS90">
        <f t="shared" si="62"/>
        <v>13.970255346987994</v>
      </c>
      <c r="AT90">
        <f t="shared" si="63"/>
        <v>14.438197719874449</v>
      </c>
      <c r="AU90">
        <f t="shared" si="64"/>
        <v>0.99931893684171291</v>
      </c>
      <c r="AV90">
        <f t="shared" si="65"/>
        <v>3335.8052497020126</v>
      </c>
      <c r="AW90">
        <f t="shared" si="66"/>
        <v>3221.8008369344884</v>
      </c>
      <c r="AX90">
        <f t="shared" si="67"/>
        <v>3125.2112114422325</v>
      </c>
      <c r="AY90">
        <f t="shared" si="68"/>
        <v>3045.9686975403256</v>
      </c>
      <c r="AZ90">
        <f t="shared" si="69"/>
        <v>2984.0941633309189</v>
      </c>
      <c r="BA90">
        <f t="shared" si="70"/>
        <v>2939.5569440415647</v>
      </c>
      <c r="BB90">
        <f t="shared" si="71"/>
        <v>2912.3420106283388</v>
      </c>
      <c r="BC90">
        <f t="shared" si="72"/>
        <v>2902.4488045707253</v>
      </c>
      <c r="BD90">
        <f t="shared" si="73"/>
        <v>2909.8706349933864</v>
      </c>
      <c r="BE90">
        <f t="shared" si="74"/>
        <v>27733.884846022534</v>
      </c>
      <c r="BF90">
        <f t="shared" si="75"/>
        <v>26786.052158273338</v>
      </c>
      <c r="BG90">
        <f t="shared" si="76"/>
        <v>25983.00601193072</v>
      </c>
      <c r="BH90">
        <f t="shared" si="77"/>
        <v>25324.183751350269</v>
      </c>
      <c r="BI90">
        <f t="shared" si="78"/>
        <v>24809.75887393326</v>
      </c>
      <c r="BJ90">
        <f t="shared" si="79"/>
        <v>24439.47643276157</v>
      </c>
      <c r="BK90">
        <f t="shared" si="80"/>
        <v>24213.211476364009</v>
      </c>
      <c r="BL90">
        <f t="shared" si="81"/>
        <v>24130.95936120101</v>
      </c>
      <c r="BM90">
        <f t="shared" si="82"/>
        <v>24192.664459335014</v>
      </c>
      <c r="BO90">
        <v>28171.99</v>
      </c>
      <c r="BP90">
        <v>27232.25</v>
      </c>
      <c r="BQ90">
        <v>26284.17</v>
      </c>
      <c r="BR90">
        <v>25307</v>
      </c>
      <c r="BS90">
        <v>24276.2</v>
      </c>
      <c r="BT90">
        <v>23161.599999999999</v>
      </c>
      <c r="BU90">
        <v>21924.02</v>
      </c>
      <c r="BV90">
        <v>20509.2</v>
      </c>
      <c r="BW90">
        <v>18835.03</v>
      </c>
      <c r="BY90">
        <f t="shared" si="83"/>
        <v>0.81051092555560866</v>
      </c>
    </row>
    <row r="91" spans="1:77" x14ac:dyDescent="0.3">
      <c r="A91" s="1" t="s">
        <v>249</v>
      </c>
      <c r="B91">
        <v>179.31100000000001</v>
      </c>
      <c r="C91">
        <v>441</v>
      </c>
      <c r="E91">
        <v>179.31100000000001</v>
      </c>
      <c r="F91">
        <v>208.38759999999999</v>
      </c>
      <c r="G91">
        <v>237.4641</v>
      </c>
      <c r="H91">
        <v>266.54070000000002</v>
      </c>
      <c r="I91">
        <v>295.61720000000003</v>
      </c>
      <c r="J91">
        <v>324.69380000000001</v>
      </c>
      <c r="K91">
        <v>353.77030000000002</v>
      </c>
      <c r="L91">
        <v>382.84690000000001</v>
      </c>
      <c r="M91">
        <v>411.92340000000002</v>
      </c>
      <c r="N91">
        <v>441</v>
      </c>
      <c r="O91">
        <v>9.1076580000000007</v>
      </c>
      <c r="P91">
        <v>200.47970000000001</v>
      </c>
      <c r="Q91">
        <v>1893.222</v>
      </c>
      <c r="R91">
        <v>10283.24</v>
      </c>
      <c r="S91">
        <v>38281.43</v>
      </c>
      <c r="T91">
        <v>109127</v>
      </c>
      <c r="U91">
        <v>256340</v>
      </c>
      <c r="V91">
        <v>521781</v>
      </c>
      <c r="W91">
        <v>953658</v>
      </c>
      <c r="X91">
        <v>1605940</v>
      </c>
      <c r="AA91">
        <f t="shared" si="44"/>
        <v>5.5769026997785969E-3</v>
      </c>
      <c r="AB91">
        <f t="shared" si="45"/>
        <v>4.7987500215943757E-3</v>
      </c>
      <c r="AC91">
        <f t="shared" si="46"/>
        <v>4.2111628663027379E-3</v>
      </c>
      <c r="AD91">
        <f t="shared" si="47"/>
        <v>3.7517722434134821E-3</v>
      </c>
      <c r="AE91">
        <f t="shared" si="48"/>
        <v>3.3827531009697673E-3</v>
      </c>
      <c r="AF91">
        <f t="shared" si="49"/>
        <v>3.0798247456526734E-3</v>
      </c>
      <c r="AG91">
        <f t="shared" si="50"/>
        <v>2.8266929134525987E-3</v>
      </c>
      <c r="AH91">
        <f t="shared" si="51"/>
        <v>2.6120101795260716E-3</v>
      </c>
      <c r="AI91">
        <f t="shared" si="52"/>
        <v>2.4276358177272766E-3</v>
      </c>
      <c r="AJ91">
        <f t="shared" si="53"/>
        <v>2.2675736961451248E-3</v>
      </c>
      <c r="AK91">
        <f t="shared" si="54"/>
        <v>2.2091155980893822</v>
      </c>
      <c r="AL91">
        <f t="shared" si="55"/>
        <v>5.3007129947380189</v>
      </c>
      <c r="AM91">
        <f t="shared" si="56"/>
        <v>7.5460354185012326</v>
      </c>
      <c r="AN91">
        <f t="shared" si="57"/>
        <v>9.2382706644491943</v>
      </c>
      <c r="AO91">
        <f t="shared" si="58"/>
        <v>10.552720201190999</v>
      </c>
      <c r="AP91">
        <f t="shared" si="59"/>
        <v>11.600267620579912</v>
      </c>
      <c r="AQ91">
        <f t="shared" si="60"/>
        <v>12.454259967283814</v>
      </c>
      <c r="AR91">
        <f t="shared" si="61"/>
        <v>13.165003238603266</v>
      </c>
      <c r="AS91">
        <f t="shared" si="62"/>
        <v>13.768060395591281</v>
      </c>
      <c r="AT91">
        <f t="shared" si="63"/>
        <v>14.289219812890572</v>
      </c>
      <c r="AU91">
        <f t="shared" si="64"/>
        <v>0.99874631108092171</v>
      </c>
      <c r="AV91">
        <f t="shared" si="65"/>
        <v>3972.9958956932696</v>
      </c>
      <c r="AW91">
        <f t="shared" si="66"/>
        <v>3821.2585206168965</v>
      </c>
      <c r="AX91">
        <f t="shared" si="67"/>
        <v>3683.6521287808364</v>
      </c>
      <c r="AY91">
        <f t="shared" si="68"/>
        <v>3562.0090817979535</v>
      </c>
      <c r="AZ91">
        <f t="shared" si="69"/>
        <v>3458.0698736253321</v>
      </c>
      <c r="BA91">
        <f t="shared" si="70"/>
        <v>3373.7058641795384</v>
      </c>
      <c r="BB91">
        <f t="shared" si="71"/>
        <v>3310.668065009344</v>
      </c>
      <c r="BC91">
        <f t="shared" si="72"/>
        <v>3270.8298003283248</v>
      </c>
      <c r="BD91">
        <f t="shared" si="73"/>
        <v>3255.9821908383637</v>
      </c>
      <c r="BE91">
        <f t="shared" si="74"/>
        <v>33031.487876793843</v>
      </c>
      <c r="BF91">
        <f t="shared" si="75"/>
        <v>31769.943340408878</v>
      </c>
      <c r="BG91">
        <f t="shared" si="76"/>
        <v>30625.883798683873</v>
      </c>
      <c r="BH91">
        <f t="shared" si="77"/>
        <v>29614.543506068185</v>
      </c>
      <c r="BI91">
        <f t="shared" si="78"/>
        <v>28750.392929321009</v>
      </c>
      <c r="BJ91">
        <f t="shared" si="79"/>
        <v>28048.990554788681</v>
      </c>
      <c r="BK91">
        <f t="shared" si="80"/>
        <v>27524.894292487686</v>
      </c>
      <c r="BL91">
        <f t="shared" si="81"/>
        <v>27193.678959929694</v>
      </c>
      <c r="BM91">
        <f t="shared" si="82"/>
        <v>27070.235934630156</v>
      </c>
      <c r="BO91">
        <v>33045.440000000002</v>
      </c>
      <c r="BP91">
        <v>32177.08</v>
      </c>
      <c r="BQ91">
        <v>31139.22</v>
      </c>
      <c r="BR91">
        <v>29939.83</v>
      </c>
      <c r="BS91">
        <v>28584.74</v>
      </c>
      <c r="BT91">
        <v>27075.4</v>
      </c>
      <c r="BU91">
        <v>25405.29</v>
      </c>
      <c r="BV91">
        <v>23553.279999999999</v>
      </c>
      <c r="BW91">
        <v>21469.38</v>
      </c>
      <c r="BY91">
        <f t="shared" si="83"/>
        <v>0.86964554163911545</v>
      </c>
    </row>
    <row r="92" spans="1:77" x14ac:dyDescent="0.3">
      <c r="A92" s="1" t="s">
        <v>252</v>
      </c>
      <c r="B92">
        <v>265.12</v>
      </c>
      <c r="C92">
        <v>544</v>
      </c>
      <c r="E92">
        <v>265.12</v>
      </c>
      <c r="F92">
        <v>296.10669999999999</v>
      </c>
      <c r="G92">
        <v>327.0933</v>
      </c>
      <c r="H92">
        <v>358.08</v>
      </c>
      <c r="I92">
        <v>389.06670000000003</v>
      </c>
      <c r="J92">
        <v>420.05329999999998</v>
      </c>
      <c r="K92">
        <v>451.04</v>
      </c>
      <c r="L92">
        <v>482.02670000000001</v>
      </c>
      <c r="M92">
        <v>513.01329999999996</v>
      </c>
      <c r="N92">
        <v>544</v>
      </c>
      <c r="O92">
        <v>398.71140000000003</v>
      </c>
      <c r="P92">
        <v>2613.7869999999998</v>
      </c>
      <c r="Q92">
        <v>11292.49</v>
      </c>
      <c r="R92">
        <v>36230.01</v>
      </c>
      <c r="S92">
        <v>93514.58</v>
      </c>
      <c r="T92">
        <v>205277</v>
      </c>
      <c r="U92">
        <v>398708</v>
      </c>
      <c r="V92">
        <v>705332</v>
      </c>
      <c r="W92">
        <v>1161250</v>
      </c>
      <c r="X92">
        <v>1808700</v>
      </c>
      <c r="AA92">
        <f t="shared" si="44"/>
        <v>3.7718768859384428E-3</v>
      </c>
      <c r="AB92">
        <f t="shared" si="45"/>
        <v>3.3771610031113784E-3</v>
      </c>
      <c r="AC92">
        <f t="shared" si="46"/>
        <v>3.0572316828256646E-3</v>
      </c>
      <c r="AD92">
        <f t="shared" si="47"/>
        <v>2.7926720285969616E-3</v>
      </c>
      <c r="AE92">
        <f t="shared" si="48"/>
        <v>2.5702533781482712E-3</v>
      </c>
      <c r="AF92">
        <f t="shared" si="49"/>
        <v>2.3806502650973102E-3</v>
      </c>
      <c r="AG92">
        <f t="shared" si="50"/>
        <v>2.2170982617949627E-3</v>
      </c>
      <c r="AH92">
        <f t="shared" si="51"/>
        <v>2.0745738773391598E-3</v>
      </c>
      <c r="AI92">
        <f t="shared" si="52"/>
        <v>1.9492672022343282E-3</v>
      </c>
      <c r="AJ92">
        <f t="shared" si="53"/>
        <v>1.838235294117647E-3</v>
      </c>
      <c r="AK92">
        <f t="shared" si="54"/>
        <v>5.9882378469055526</v>
      </c>
      <c r="AL92">
        <f t="shared" si="55"/>
        <v>7.8685554065489143</v>
      </c>
      <c r="AM92">
        <f t="shared" si="56"/>
        <v>9.3318931819848654</v>
      </c>
      <c r="AN92">
        <f t="shared" si="57"/>
        <v>10.497643059903437</v>
      </c>
      <c r="AO92">
        <f t="shared" si="58"/>
        <v>11.445872638948927</v>
      </c>
      <c r="AP92">
        <f t="shared" si="59"/>
        <v>12.232115565557173</v>
      </c>
      <c r="AQ92">
        <f t="shared" si="60"/>
        <v>12.895984598380082</v>
      </c>
      <c r="AR92">
        <f t="shared" si="61"/>
        <v>13.466423892931262</v>
      </c>
      <c r="AS92">
        <f t="shared" si="62"/>
        <v>13.965007569110185</v>
      </c>
      <c r="AT92">
        <f t="shared" si="63"/>
        <v>14.408118913145607</v>
      </c>
      <c r="AU92">
        <f t="shared" si="64"/>
        <v>0.99887854994604075</v>
      </c>
      <c r="AV92">
        <f t="shared" si="65"/>
        <v>4763.7240897832817</v>
      </c>
      <c r="AW92">
        <f t="shared" si="66"/>
        <v>4573.9408133306224</v>
      </c>
      <c r="AX92">
        <f t="shared" si="67"/>
        <v>4406.3781430210802</v>
      </c>
      <c r="AY92">
        <f t="shared" si="68"/>
        <v>4263.2646908548559</v>
      </c>
      <c r="AZ92">
        <f t="shared" si="69"/>
        <v>4146.7827925215643</v>
      </c>
      <c r="BA92">
        <f t="shared" si="70"/>
        <v>4059.0700169881698</v>
      </c>
      <c r="BB92">
        <f t="shared" si="71"/>
        <v>4002.3978825046224</v>
      </c>
      <c r="BC92">
        <f t="shared" si="72"/>
        <v>3978.9075543007393</v>
      </c>
      <c r="BD92">
        <f t="shared" si="73"/>
        <v>3990.8468795273311</v>
      </c>
      <c r="BE92">
        <f t="shared" si="74"/>
        <v>39605.602082458201</v>
      </c>
      <c r="BF92">
        <f t="shared" si="75"/>
        <v>38027.743922030793</v>
      </c>
      <c r="BG92">
        <f t="shared" si="76"/>
        <v>36634.627881077264</v>
      </c>
      <c r="BH92">
        <f t="shared" si="77"/>
        <v>35444.782639767269</v>
      </c>
      <c r="BI92">
        <f t="shared" si="78"/>
        <v>34476.352137024289</v>
      </c>
      <c r="BJ92">
        <f t="shared" si="79"/>
        <v>33747.108121239646</v>
      </c>
      <c r="BK92">
        <f t="shared" si="80"/>
        <v>33275.935995143431</v>
      </c>
      <c r="BL92">
        <f t="shared" si="81"/>
        <v>33080.63740645635</v>
      </c>
      <c r="BM92">
        <f t="shared" si="82"/>
        <v>33179.900956390229</v>
      </c>
      <c r="BO92">
        <v>40363.019999999997</v>
      </c>
      <c r="BP92">
        <v>38668.33</v>
      </c>
      <c r="BQ92">
        <v>36972.5</v>
      </c>
      <c r="BR92">
        <v>35246.1</v>
      </c>
      <c r="BS92">
        <v>33453.24</v>
      </c>
      <c r="BT92">
        <v>31547.8</v>
      </c>
      <c r="BU92">
        <v>29466.43</v>
      </c>
      <c r="BV92">
        <v>27114.799999999999</v>
      </c>
      <c r="BW92">
        <v>24336.12</v>
      </c>
      <c r="BY92">
        <f t="shared" si="83"/>
        <v>0.84588057623195378</v>
      </c>
    </row>
    <row r="93" spans="1:77" x14ac:dyDescent="0.3">
      <c r="A93" s="1" t="s">
        <v>255</v>
      </c>
      <c r="B93">
        <v>287.95</v>
      </c>
      <c r="C93">
        <v>587</v>
      </c>
      <c r="E93">
        <v>287.95</v>
      </c>
      <c r="F93">
        <v>321.17779999999999</v>
      </c>
      <c r="G93">
        <v>354.40559999999999</v>
      </c>
      <c r="H93">
        <v>387.63330000000002</v>
      </c>
      <c r="I93">
        <v>420.86110000000002</v>
      </c>
      <c r="J93">
        <v>454.08890000000002</v>
      </c>
      <c r="K93">
        <v>487.31670000000003</v>
      </c>
      <c r="L93">
        <v>520.5444</v>
      </c>
      <c r="M93">
        <v>553.7722</v>
      </c>
      <c r="N93">
        <v>587</v>
      </c>
      <c r="O93">
        <v>401.58640000000003</v>
      </c>
      <c r="P93">
        <v>2611.299</v>
      </c>
      <c r="Q93">
        <v>11240.56</v>
      </c>
      <c r="R93">
        <v>36006.160000000003</v>
      </c>
      <c r="S93">
        <v>92861.48</v>
      </c>
      <c r="T93">
        <v>203693</v>
      </c>
      <c r="U93">
        <v>395213</v>
      </c>
      <c r="V93">
        <v>698041</v>
      </c>
      <c r="W93">
        <v>1146690</v>
      </c>
      <c r="X93">
        <v>1780820</v>
      </c>
      <c r="AA93">
        <f t="shared" si="44"/>
        <v>3.4728251432540372E-3</v>
      </c>
      <c r="AB93">
        <f t="shared" si="45"/>
        <v>3.1135402260056579E-3</v>
      </c>
      <c r="AC93">
        <f t="shared" si="46"/>
        <v>2.8216258433839646E-3</v>
      </c>
      <c r="AD93">
        <f t="shared" si="47"/>
        <v>2.5797577246330487E-3</v>
      </c>
      <c r="AE93">
        <f t="shared" si="48"/>
        <v>2.3760808494774164E-3</v>
      </c>
      <c r="AF93">
        <f t="shared" si="49"/>
        <v>2.2022119457225224E-3</v>
      </c>
      <c r="AG93">
        <f t="shared" si="50"/>
        <v>2.0520536234444665E-3</v>
      </c>
      <c r="AH93">
        <f t="shared" si="51"/>
        <v>1.9210657150475542E-3</v>
      </c>
      <c r="AI93">
        <f t="shared" si="52"/>
        <v>1.8057966795732975E-3</v>
      </c>
      <c r="AJ93">
        <f t="shared" si="53"/>
        <v>1.7035775127768314E-3</v>
      </c>
      <c r="AK93">
        <f t="shared" si="54"/>
        <v>5.9954227032622702</v>
      </c>
      <c r="AL93">
        <f t="shared" si="55"/>
        <v>7.8676030776540262</v>
      </c>
      <c r="AM93">
        <f t="shared" si="56"/>
        <v>9.3272839442706612</v>
      </c>
      <c r="AN93">
        <f t="shared" si="57"/>
        <v>10.491445313911521</v>
      </c>
      <c r="AO93">
        <f t="shared" si="58"/>
        <v>11.438864199418044</v>
      </c>
      <c r="AP93">
        <f t="shared" si="59"/>
        <v>12.224369237363264</v>
      </c>
      <c r="AQ93">
        <f t="shared" si="60"/>
        <v>12.887180139051672</v>
      </c>
      <c r="AR93">
        <f t="shared" si="61"/>
        <v>13.456033119274441</v>
      </c>
      <c r="AS93">
        <f t="shared" si="62"/>
        <v>13.952390089311645</v>
      </c>
      <c r="AT93">
        <f t="shared" si="63"/>
        <v>14.392584490347808</v>
      </c>
      <c r="AU93">
        <f t="shared" si="64"/>
        <v>0.9987633209577953</v>
      </c>
      <c r="AV93">
        <f t="shared" si="65"/>
        <v>5210.8515679701859</v>
      </c>
      <c r="AW93">
        <f t="shared" si="66"/>
        <v>5000.3732378897867</v>
      </c>
      <c r="AX93">
        <f t="shared" si="67"/>
        <v>4813.20719594199</v>
      </c>
      <c r="AY93">
        <f t="shared" si="68"/>
        <v>4651.5780683623834</v>
      </c>
      <c r="AZ93">
        <f t="shared" si="69"/>
        <v>4517.8006013804561</v>
      </c>
      <c r="BA93">
        <f t="shared" si="70"/>
        <v>4414.0803628655822</v>
      </c>
      <c r="BB93">
        <f t="shared" si="71"/>
        <v>4342.7900115716138</v>
      </c>
      <c r="BC93">
        <f t="shared" si="72"/>
        <v>4306.073769031038</v>
      </c>
      <c r="BD93">
        <f t="shared" si="73"/>
        <v>4306.378293149819</v>
      </c>
      <c r="BE93">
        <f t="shared" si="74"/>
        <v>43323.019936104123</v>
      </c>
      <c r="BF93">
        <f t="shared" si="75"/>
        <v>41573.103099815686</v>
      </c>
      <c r="BG93">
        <f t="shared" si="76"/>
        <v>40017.004627061702</v>
      </c>
      <c r="BH93">
        <f t="shared" si="77"/>
        <v>38673.220060364853</v>
      </c>
      <c r="BI93">
        <f t="shared" si="78"/>
        <v>37560.99419987711</v>
      </c>
      <c r="BJ93">
        <f t="shared" si="79"/>
        <v>36698.664136864449</v>
      </c>
      <c r="BK93">
        <f t="shared" si="80"/>
        <v>36105.956156206397</v>
      </c>
      <c r="BL93">
        <f t="shared" si="81"/>
        <v>35800.69731572405</v>
      </c>
      <c r="BM93">
        <f t="shared" si="82"/>
        <v>35803.229129247593</v>
      </c>
      <c r="BO93">
        <v>44203.39</v>
      </c>
      <c r="BP93">
        <v>42267.6</v>
      </c>
      <c r="BQ93">
        <v>40343.599999999999</v>
      </c>
      <c r="BR93">
        <v>38391.56</v>
      </c>
      <c r="BS93">
        <v>36364.089999999997</v>
      </c>
      <c r="BT93">
        <v>34201.57</v>
      </c>
      <c r="BU93">
        <v>31823.66</v>
      </c>
      <c r="BV93">
        <v>29112.57</v>
      </c>
      <c r="BW93">
        <v>25874.31</v>
      </c>
      <c r="BY93">
        <f t="shared" si="83"/>
        <v>0.86518740906466374</v>
      </c>
    </row>
    <row r="94" spans="1:77" x14ac:dyDescent="0.3">
      <c r="A94" s="1" t="s">
        <v>258</v>
      </c>
      <c r="B94">
        <v>274.8</v>
      </c>
      <c r="C94">
        <v>729</v>
      </c>
      <c r="E94">
        <v>274.8</v>
      </c>
      <c r="F94">
        <v>325.26670000000001</v>
      </c>
      <c r="G94">
        <v>375.73329999999999</v>
      </c>
      <c r="H94">
        <v>426.2</v>
      </c>
      <c r="I94">
        <v>476.66669999999999</v>
      </c>
      <c r="J94">
        <v>527.13329999999996</v>
      </c>
      <c r="K94">
        <v>577.6</v>
      </c>
      <c r="L94">
        <v>628.06669999999997</v>
      </c>
      <c r="M94">
        <v>678.53330000000005</v>
      </c>
      <c r="N94">
        <v>729</v>
      </c>
      <c r="O94" s="13">
        <v>1.10408E-6</v>
      </c>
      <c r="P94">
        <v>3.4487400000000001E-3</v>
      </c>
      <c r="Q94">
        <v>0.80885810000000002</v>
      </c>
      <c r="R94">
        <v>38.117449999999998</v>
      </c>
      <c r="S94">
        <v>631.47720000000004</v>
      </c>
      <c r="T94">
        <v>5162.8890000000001</v>
      </c>
      <c r="U94">
        <v>25870.09</v>
      </c>
      <c r="V94">
        <v>91823.59</v>
      </c>
      <c r="W94">
        <v>255576</v>
      </c>
      <c r="X94">
        <v>602392</v>
      </c>
      <c r="AA94">
        <f t="shared" si="44"/>
        <v>3.6390101892285298E-3</v>
      </c>
      <c r="AB94">
        <f t="shared" si="45"/>
        <v>3.074400176839498E-3</v>
      </c>
      <c r="AC94">
        <f t="shared" si="46"/>
        <v>2.6614622659210671E-3</v>
      </c>
      <c r="AD94">
        <f t="shared" si="47"/>
        <v>2.346316283435007E-3</v>
      </c>
      <c r="AE94">
        <f t="shared" si="48"/>
        <v>2.0979019511956679E-3</v>
      </c>
      <c r="AF94">
        <f t="shared" si="49"/>
        <v>1.897053363921422E-3</v>
      </c>
      <c r="AG94">
        <f t="shared" si="50"/>
        <v>1.7313019390581717E-3</v>
      </c>
      <c r="AH94">
        <f t="shared" si="51"/>
        <v>1.5921875813508343E-3</v>
      </c>
      <c r="AI94">
        <f t="shared" si="52"/>
        <v>1.473767020719543E-3</v>
      </c>
      <c r="AJ94">
        <f t="shared" si="53"/>
        <v>1.3717421124828531E-3</v>
      </c>
      <c r="AK94">
        <f t="shared" si="54"/>
        <v>-13.716498148966627</v>
      </c>
      <c r="AL94">
        <f t="shared" si="55"/>
        <v>-5.6697463320382866</v>
      </c>
      <c r="AM94">
        <f t="shared" si="56"/>
        <v>-0.21213177903885941</v>
      </c>
      <c r="AN94">
        <f t="shared" si="57"/>
        <v>3.6406721825296091</v>
      </c>
      <c r="AO94">
        <f t="shared" si="58"/>
        <v>6.4480618366256985</v>
      </c>
      <c r="AP94">
        <f t="shared" si="59"/>
        <v>8.5492515855201265</v>
      </c>
      <c r="AQ94">
        <f t="shared" si="60"/>
        <v>10.160842754107151</v>
      </c>
      <c r="AR94">
        <f t="shared" si="61"/>
        <v>11.427624515274575</v>
      </c>
      <c r="AS94">
        <f t="shared" si="62"/>
        <v>12.451275100363329</v>
      </c>
      <c r="AT94">
        <f t="shared" si="63"/>
        <v>13.308663675167155</v>
      </c>
      <c r="AU94">
        <f t="shared" si="64"/>
        <v>0.99283888387529962</v>
      </c>
      <c r="AV94">
        <f t="shared" si="65"/>
        <v>14251.875879565363</v>
      </c>
      <c r="AW94">
        <f t="shared" si="66"/>
        <v>13216.550015620844</v>
      </c>
      <c r="AX94">
        <f t="shared" si="67"/>
        <v>12225.457964512967</v>
      </c>
      <c r="AY94">
        <f t="shared" si="68"/>
        <v>11301.238655550926</v>
      </c>
      <c r="AZ94">
        <f t="shared" si="69"/>
        <v>10461.561006776648</v>
      </c>
      <c r="BA94">
        <f t="shared" si="70"/>
        <v>9722.9400586850679</v>
      </c>
      <c r="BB94">
        <f t="shared" si="71"/>
        <v>9106.0461482518112</v>
      </c>
      <c r="BC94">
        <f t="shared" si="72"/>
        <v>8644.1964100807163</v>
      </c>
      <c r="BD94">
        <f t="shared" si="73"/>
        <v>8403.7181666926954</v>
      </c>
      <c r="BE94">
        <f t="shared" si="74"/>
        <v>118490.09606270643</v>
      </c>
      <c r="BF94">
        <f t="shared" si="75"/>
        <v>109882.39682987169</v>
      </c>
      <c r="BG94">
        <f t="shared" si="76"/>
        <v>101642.45751696081</v>
      </c>
      <c r="BH94">
        <f t="shared" si="77"/>
        <v>93958.498182250391</v>
      </c>
      <c r="BI94">
        <f t="shared" si="78"/>
        <v>86977.418210341057</v>
      </c>
      <c r="BJ94">
        <f t="shared" si="79"/>
        <v>80836.523647907656</v>
      </c>
      <c r="BK94">
        <f t="shared" si="80"/>
        <v>75707.667676565557</v>
      </c>
      <c r="BL94">
        <f t="shared" si="81"/>
        <v>71867.84895341107</v>
      </c>
      <c r="BM94">
        <f t="shared" si="82"/>
        <v>69868.51283788307</v>
      </c>
      <c r="BO94">
        <v>122953</v>
      </c>
      <c r="BP94">
        <v>113751</v>
      </c>
      <c r="BQ94">
        <v>105392</v>
      </c>
      <c r="BR94">
        <v>97641.67</v>
      </c>
      <c r="BS94">
        <v>90263.39</v>
      </c>
      <c r="BT94">
        <v>82988.03</v>
      </c>
      <c r="BU94">
        <v>75475.64</v>
      </c>
      <c r="BV94">
        <v>67231.55</v>
      </c>
      <c r="BW94">
        <v>57396.37</v>
      </c>
      <c r="BY94">
        <f t="shared" si="83"/>
        <v>0.96916804636364173</v>
      </c>
    </row>
    <row r="95" spans="1:77" x14ac:dyDescent="0.3">
      <c r="A95" s="1" t="s">
        <v>260</v>
      </c>
      <c r="B95">
        <v>286.52999999999997</v>
      </c>
      <c r="C95">
        <v>721</v>
      </c>
      <c r="E95">
        <v>286.52999999999997</v>
      </c>
      <c r="F95">
        <v>334.80439999999999</v>
      </c>
      <c r="G95">
        <v>383.07889999999998</v>
      </c>
      <c r="H95">
        <v>431.35329999999999</v>
      </c>
      <c r="I95">
        <v>479.62779999999998</v>
      </c>
      <c r="J95">
        <v>527.90219999999999</v>
      </c>
      <c r="K95">
        <v>576.17669999999998</v>
      </c>
      <c r="L95">
        <v>624.4511</v>
      </c>
      <c r="M95">
        <v>672.72559999999999</v>
      </c>
      <c r="N95">
        <v>721</v>
      </c>
      <c r="O95" s="13">
        <v>1.3990300000000001E-5</v>
      </c>
      <c r="P95">
        <v>1.2044300000000001E-2</v>
      </c>
      <c r="Q95">
        <v>1.4068879999999999</v>
      </c>
      <c r="R95">
        <v>45.639490000000002</v>
      </c>
      <c r="S95">
        <v>625.79790000000003</v>
      </c>
      <c r="T95">
        <v>4710.38</v>
      </c>
      <c r="U95">
        <v>23080.28</v>
      </c>
      <c r="V95">
        <v>82630.009999999995</v>
      </c>
      <c r="W95">
        <v>234312</v>
      </c>
      <c r="X95">
        <v>557641</v>
      </c>
      <c r="AA95">
        <f t="shared" si="44"/>
        <v>3.490035947370258E-3</v>
      </c>
      <c r="AB95">
        <f t="shared" si="45"/>
        <v>2.9868185722768279E-3</v>
      </c>
      <c r="AC95">
        <f t="shared" si="46"/>
        <v>2.6104282955808846E-3</v>
      </c>
      <c r="AD95">
        <f t="shared" si="47"/>
        <v>2.3182852663930008E-3</v>
      </c>
      <c r="AE95">
        <f t="shared" si="48"/>
        <v>2.0849500383422312E-3</v>
      </c>
      <c r="AF95">
        <f t="shared" si="49"/>
        <v>1.894290268159519E-3</v>
      </c>
      <c r="AG95">
        <f t="shared" si="50"/>
        <v>1.7355786861912327E-3</v>
      </c>
      <c r="AH95">
        <f t="shared" si="51"/>
        <v>1.6014064191735751E-3</v>
      </c>
      <c r="AI95">
        <f t="shared" si="52"/>
        <v>1.4864901826242378E-3</v>
      </c>
      <c r="AJ95">
        <f t="shared" si="53"/>
        <v>1.3869625520110957E-3</v>
      </c>
      <c r="AK95">
        <f t="shared" si="54"/>
        <v>-11.177146325628309</v>
      </c>
      <c r="AL95">
        <f t="shared" si="55"/>
        <v>-4.4191637600046487</v>
      </c>
      <c r="AM95">
        <f t="shared" si="56"/>
        <v>0.34138017297379564</v>
      </c>
      <c r="AN95">
        <f t="shared" si="57"/>
        <v>3.820773350523027</v>
      </c>
      <c r="AO95">
        <f t="shared" si="58"/>
        <v>6.4390274755244539</v>
      </c>
      <c r="AP95">
        <f t="shared" si="59"/>
        <v>8.4575238631615761</v>
      </c>
      <c r="AQ95">
        <f t="shared" si="60"/>
        <v>10.046733852264218</v>
      </c>
      <c r="AR95">
        <f t="shared" si="61"/>
        <v>11.322128210716643</v>
      </c>
      <c r="AS95">
        <f t="shared" si="62"/>
        <v>12.364408839573617</v>
      </c>
      <c r="AT95">
        <f t="shared" si="63"/>
        <v>13.231470665137062</v>
      </c>
      <c r="AU95">
        <f t="shared" si="64"/>
        <v>0.99555086585595964</v>
      </c>
      <c r="AV95">
        <f t="shared" si="65"/>
        <v>13429.549336147098</v>
      </c>
      <c r="AW95">
        <f t="shared" si="66"/>
        <v>12647.892965694542</v>
      </c>
      <c r="AX95">
        <f t="shared" si="67"/>
        <v>11909.896283411077</v>
      </c>
      <c r="AY95">
        <f t="shared" si="68"/>
        <v>11220.997990203783</v>
      </c>
      <c r="AZ95">
        <f t="shared" si="69"/>
        <v>10586.902447762133</v>
      </c>
      <c r="BA95">
        <f t="shared" si="70"/>
        <v>10013.194811580908</v>
      </c>
      <c r="BB95">
        <f t="shared" si="71"/>
        <v>9505.6481253654147</v>
      </c>
      <c r="BC95">
        <f t="shared" si="72"/>
        <v>9069.9161420021683</v>
      </c>
      <c r="BD95">
        <f t="shared" si="73"/>
        <v>8711.7699901212563</v>
      </c>
      <c r="BE95">
        <f t="shared" si="74"/>
        <v>111653.27318072697</v>
      </c>
      <c r="BF95">
        <f t="shared" si="75"/>
        <v>105154.58211678443</v>
      </c>
      <c r="BG95">
        <f t="shared" si="76"/>
        <v>99018.8777002797</v>
      </c>
      <c r="BH95">
        <f t="shared" si="77"/>
        <v>93291.377290554257</v>
      </c>
      <c r="BI95">
        <f t="shared" si="78"/>
        <v>88019.506950694384</v>
      </c>
      <c r="BJ95">
        <f t="shared" si="79"/>
        <v>83249.701663483676</v>
      </c>
      <c r="BK95">
        <f t="shared" si="80"/>
        <v>79029.958514288053</v>
      </c>
      <c r="BL95">
        <f t="shared" si="81"/>
        <v>75407.282804606031</v>
      </c>
      <c r="BM95">
        <f t="shared" si="82"/>
        <v>72429.655697868133</v>
      </c>
      <c r="BO95">
        <v>115075</v>
      </c>
      <c r="BP95">
        <v>108045</v>
      </c>
      <c r="BQ95">
        <v>101811</v>
      </c>
      <c r="BR95">
        <v>96086.36</v>
      </c>
      <c r="BS95">
        <v>90578.75</v>
      </c>
      <c r="BT95">
        <v>84956.29</v>
      </c>
      <c r="BU95">
        <v>78804.570000000007</v>
      </c>
      <c r="BV95">
        <v>71541.73</v>
      </c>
      <c r="BW95">
        <v>62215.48</v>
      </c>
      <c r="BY95">
        <f t="shared" si="83"/>
        <v>0.97104266032134801</v>
      </c>
    </row>
    <row r="96" spans="1:77" x14ac:dyDescent="0.3">
      <c r="A96" s="1" t="s">
        <v>263</v>
      </c>
      <c r="B96">
        <v>268.14999999999998</v>
      </c>
      <c r="C96">
        <v>715</v>
      </c>
      <c r="E96">
        <v>268.14999999999998</v>
      </c>
      <c r="F96">
        <v>317.8</v>
      </c>
      <c r="G96">
        <v>367.45</v>
      </c>
      <c r="H96">
        <v>417.1</v>
      </c>
      <c r="I96">
        <v>466.75</v>
      </c>
      <c r="J96">
        <v>516.4</v>
      </c>
      <c r="K96">
        <v>566.04999999999995</v>
      </c>
      <c r="L96">
        <v>615.70000000000005</v>
      </c>
      <c r="M96">
        <v>665.35</v>
      </c>
      <c r="N96">
        <v>715</v>
      </c>
      <c r="O96" s="13">
        <v>6.4622200000000003E-7</v>
      </c>
      <c r="P96">
        <v>1.84487E-3</v>
      </c>
      <c r="Q96">
        <v>0.44096239999999998</v>
      </c>
      <c r="R96">
        <v>22.32122</v>
      </c>
      <c r="S96">
        <v>404.9556</v>
      </c>
      <c r="T96">
        <v>3628.201</v>
      </c>
      <c r="U96">
        <v>19751.16</v>
      </c>
      <c r="V96">
        <v>75247.429999999993</v>
      </c>
      <c r="W96">
        <v>222046</v>
      </c>
      <c r="X96">
        <v>548008</v>
      </c>
      <c r="AA96">
        <f t="shared" si="44"/>
        <v>3.7292560134253219E-3</v>
      </c>
      <c r="AB96">
        <f t="shared" si="45"/>
        <v>3.1466331025802388E-3</v>
      </c>
      <c r="AC96">
        <f t="shared" si="46"/>
        <v>2.7214587018641991E-3</v>
      </c>
      <c r="AD96">
        <f t="shared" si="47"/>
        <v>2.3975065931431312E-3</v>
      </c>
      <c r="AE96">
        <f t="shared" si="48"/>
        <v>2.1424745581146223E-3</v>
      </c>
      <c r="AF96">
        <f t="shared" si="49"/>
        <v>1.9364833462432224E-3</v>
      </c>
      <c r="AG96">
        <f t="shared" si="50"/>
        <v>1.7666283897182229E-3</v>
      </c>
      <c r="AH96">
        <f t="shared" si="51"/>
        <v>1.6241676140977747E-3</v>
      </c>
      <c r="AI96">
        <f t="shared" si="52"/>
        <v>1.502968362515969E-3</v>
      </c>
      <c r="AJ96">
        <f t="shared" si="53"/>
        <v>1.3986013986013986E-3</v>
      </c>
      <c r="AK96">
        <f t="shared" si="54"/>
        <v>-14.252122738948289</v>
      </c>
      <c r="AL96">
        <f t="shared" si="55"/>
        <v>-6.2953464646767259</v>
      </c>
      <c r="AM96">
        <f t="shared" si="56"/>
        <v>-0.81879566794117231</v>
      </c>
      <c r="AN96">
        <f t="shared" si="57"/>
        <v>3.1055377955175421</v>
      </c>
      <c r="AO96">
        <f t="shared" si="58"/>
        <v>6.0037774314671424</v>
      </c>
      <c r="AP96">
        <f t="shared" si="59"/>
        <v>8.196492212125948</v>
      </c>
      <c r="AQ96">
        <f t="shared" si="60"/>
        <v>9.8909675027816988</v>
      </c>
      <c r="AR96">
        <f t="shared" si="61"/>
        <v>11.228537029203981</v>
      </c>
      <c r="AS96">
        <f t="shared" si="62"/>
        <v>12.310639846597175</v>
      </c>
      <c r="AT96">
        <f t="shared" si="63"/>
        <v>13.214045164363741</v>
      </c>
      <c r="AU96">
        <f t="shared" si="64"/>
        <v>0.99497241601719988</v>
      </c>
      <c r="AV96">
        <f t="shared" si="65"/>
        <v>13656.820090940841</v>
      </c>
      <c r="AW96">
        <f t="shared" si="66"/>
        <v>12880.716213187927</v>
      </c>
      <c r="AX96">
        <f t="shared" si="67"/>
        <v>12113.930910811507</v>
      </c>
      <c r="AY96">
        <f t="shared" si="68"/>
        <v>11364.217972168162</v>
      </c>
      <c r="AZ96">
        <f t="shared" si="69"/>
        <v>10644.700619693012</v>
      </c>
      <c r="BA96">
        <f t="shared" si="70"/>
        <v>9976.0132134051419</v>
      </c>
      <c r="BB96">
        <f t="shared" si="71"/>
        <v>9389.0372321565101</v>
      </c>
      <c r="BC96">
        <f t="shared" si="72"/>
        <v>8928.2962004332858</v>
      </c>
      <c r="BD96">
        <f t="shared" si="73"/>
        <v>8656.0467400972666</v>
      </c>
      <c r="BE96">
        <f t="shared" si="74"/>
        <v>113542.80223608215</v>
      </c>
      <c r="BF96">
        <f t="shared" si="75"/>
        <v>107090.27459644442</v>
      </c>
      <c r="BG96">
        <f t="shared" si="76"/>
        <v>100715.22159248687</v>
      </c>
      <c r="BH96">
        <f t="shared" si="77"/>
        <v>94482.108220606096</v>
      </c>
      <c r="BI96">
        <f t="shared" si="78"/>
        <v>88500.040952127703</v>
      </c>
      <c r="BJ96">
        <f t="shared" si="79"/>
        <v>82940.573856250354</v>
      </c>
      <c r="BK96">
        <f t="shared" si="80"/>
        <v>78060.455548149228</v>
      </c>
      <c r="BL96">
        <f t="shared" si="81"/>
        <v>74229.854610402341</v>
      </c>
      <c r="BM96">
        <f t="shared" si="82"/>
        <v>71966.37259716868</v>
      </c>
      <c r="BO96">
        <v>116800</v>
      </c>
      <c r="BP96">
        <v>110041</v>
      </c>
      <c r="BQ96">
        <v>103642</v>
      </c>
      <c r="BR96">
        <v>97471.87</v>
      </c>
      <c r="BS96">
        <v>91379.81</v>
      </c>
      <c r="BT96">
        <v>85176.26</v>
      </c>
      <c r="BU96">
        <v>78598.27</v>
      </c>
      <c r="BV96">
        <v>71232.350000000006</v>
      </c>
      <c r="BW96">
        <v>62311.74</v>
      </c>
      <c r="BY96">
        <f t="shared" si="83"/>
        <v>0.97218801185378456</v>
      </c>
    </row>
    <row r="97" spans="1:77" x14ac:dyDescent="0.3">
      <c r="A97" s="1" t="s">
        <v>266</v>
      </c>
      <c r="B97">
        <v>262.05</v>
      </c>
      <c r="C97">
        <v>720</v>
      </c>
      <c r="E97">
        <v>262.05</v>
      </c>
      <c r="F97">
        <v>312.93329999999997</v>
      </c>
      <c r="G97">
        <v>363.81670000000003</v>
      </c>
      <c r="H97">
        <v>414.7</v>
      </c>
      <c r="I97">
        <v>465.58330000000001</v>
      </c>
      <c r="J97">
        <v>516.46669999999995</v>
      </c>
      <c r="K97">
        <v>567.35</v>
      </c>
      <c r="L97">
        <v>618.23329999999999</v>
      </c>
      <c r="M97">
        <v>669.11670000000004</v>
      </c>
      <c r="N97">
        <v>720</v>
      </c>
      <c r="O97" s="13">
        <v>1.02048E-7</v>
      </c>
      <c r="P97">
        <v>6.3332500000000001E-4</v>
      </c>
      <c r="Q97">
        <v>0.2344473</v>
      </c>
      <c r="R97">
        <v>15.35834</v>
      </c>
      <c r="S97">
        <v>325.58390000000003</v>
      </c>
      <c r="T97">
        <v>3207.7280000000001</v>
      </c>
      <c r="U97">
        <v>18509.57</v>
      </c>
      <c r="V97">
        <v>73147.37</v>
      </c>
      <c r="W97">
        <v>221399</v>
      </c>
      <c r="X97">
        <v>558616</v>
      </c>
      <c r="AA97">
        <f t="shared" si="44"/>
        <v>3.8160656363289448E-3</v>
      </c>
      <c r="AB97">
        <f t="shared" si="45"/>
        <v>3.1955691516371062E-3</v>
      </c>
      <c r="AC97">
        <f t="shared" si="46"/>
        <v>2.7486368822541678E-3</v>
      </c>
      <c r="AD97">
        <f t="shared" si="47"/>
        <v>2.4113817217265494E-3</v>
      </c>
      <c r="AE97">
        <f t="shared" si="48"/>
        <v>2.1478433612202156E-3</v>
      </c>
      <c r="AF97">
        <f t="shared" si="49"/>
        <v>1.936233255696834E-3</v>
      </c>
      <c r="AG97">
        <f t="shared" si="50"/>
        <v>1.7625804177315589E-3</v>
      </c>
      <c r="AH97">
        <f t="shared" si="51"/>
        <v>1.6175123533462205E-3</v>
      </c>
      <c r="AI97">
        <f t="shared" si="52"/>
        <v>1.4945076098085729E-3</v>
      </c>
      <c r="AJ97">
        <f t="shared" si="53"/>
        <v>1.3888888888888889E-3</v>
      </c>
      <c r="AK97">
        <f t="shared" si="54"/>
        <v>-16.097822546118763</v>
      </c>
      <c r="AL97">
        <f t="shared" si="55"/>
        <v>-7.3645268394591543</v>
      </c>
      <c r="AM97">
        <f t="shared" si="56"/>
        <v>-1.4505244498276344</v>
      </c>
      <c r="AN97">
        <f t="shared" si="57"/>
        <v>2.7316586489625609</v>
      </c>
      <c r="AO97">
        <f t="shared" si="58"/>
        <v>5.7856201857313865</v>
      </c>
      <c r="AP97">
        <f t="shared" si="59"/>
        <v>8.0733181773617719</v>
      </c>
      <c r="AQ97">
        <f t="shared" si="60"/>
        <v>9.8260431746115913</v>
      </c>
      <c r="AR97">
        <f t="shared" si="61"/>
        <v>11.200231452281763</v>
      </c>
      <c r="AS97">
        <f t="shared" si="62"/>
        <v>12.307721782534639</v>
      </c>
      <c r="AT97">
        <f t="shared" si="63"/>
        <v>13.233217575119172</v>
      </c>
      <c r="AU97">
        <f t="shared" si="64"/>
        <v>0.99448145343524474</v>
      </c>
      <c r="AV97">
        <f t="shared" si="65"/>
        <v>14074.690062099036</v>
      </c>
      <c r="AW97">
        <f t="shared" si="66"/>
        <v>13232.435415318629</v>
      </c>
      <c r="AX97">
        <f t="shared" si="67"/>
        <v>12400.649680934119</v>
      </c>
      <c r="AY97">
        <f t="shared" si="68"/>
        <v>11588.299824364383</v>
      </c>
      <c r="AZ97">
        <f t="shared" si="69"/>
        <v>10810.910877683058</v>
      </c>
      <c r="BA97">
        <f t="shared" si="70"/>
        <v>10093.270100200187</v>
      </c>
      <c r="BB97">
        <f t="shared" si="71"/>
        <v>9472.713953223858</v>
      </c>
      <c r="BC97">
        <f t="shared" si="72"/>
        <v>9003.6391963527058</v>
      </c>
      <c r="BD97">
        <f t="shared" si="73"/>
        <v>8762.6112541952734</v>
      </c>
      <c r="BE97">
        <f t="shared" si="74"/>
        <v>117016.97317629139</v>
      </c>
      <c r="BF97">
        <f t="shared" si="75"/>
        <v>110014.46804295908</v>
      </c>
      <c r="BG97">
        <f t="shared" si="76"/>
        <v>103099.00144728627</v>
      </c>
      <c r="BH97">
        <f t="shared" si="77"/>
        <v>96345.124739765481</v>
      </c>
      <c r="BI97">
        <f t="shared" si="78"/>
        <v>89881.913037056947</v>
      </c>
      <c r="BJ97">
        <f t="shared" si="79"/>
        <v>83915.44761306436</v>
      </c>
      <c r="BK97">
        <f t="shared" si="80"/>
        <v>78756.143807103159</v>
      </c>
      <c r="BL97">
        <f t="shared" si="81"/>
        <v>74856.256278476401</v>
      </c>
      <c r="BM97">
        <f t="shared" si="82"/>
        <v>72852.349967379501</v>
      </c>
      <c r="BO97">
        <v>120702</v>
      </c>
      <c r="BP97">
        <v>113350</v>
      </c>
      <c r="BQ97">
        <v>106322</v>
      </c>
      <c r="BR97">
        <v>99535.6</v>
      </c>
      <c r="BS97">
        <v>92884.18</v>
      </c>
      <c r="BT97">
        <v>86223.26</v>
      </c>
      <c r="BU97">
        <v>79334.509999999995</v>
      </c>
      <c r="BV97">
        <v>71847.73</v>
      </c>
      <c r="BW97">
        <v>63027.19</v>
      </c>
      <c r="BY97">
        <f t="shared" si="83"/>
        <v>0.97422215454909367</v>
      </c>
    </row>
    <row r="98" spans="1:77" x14ac:dyDescent="0.3">
      <c r="A98" s="1" t="s">
        <v>269</v>
      </c>
      <c r="B98">
        <v>234.8</v>
      </c>
      <c r="C98">
        <v>715</v>
      </c>
      <c r="E98">
        <v>234.8</v>
      </c>
      <c r="F98">
        <v>288.15559999999999</v>
      </c>
      <c r="G98">
        <v>341.5111</v>
      </c>
      <c r="H98">
        <v>394.86669999999998</v>
      </c>
      <c r="I98">
        <v>448.22219999999999</v>
      </c>
      <c r="J98">
        <v>501.57780000000002</v>
      </c>
      <c r="K98">
        <v>554.93330000000003</v>
      </c>
      <c r="L98">
        <v>608.28890000000001</v>
      </c>
      <c r="M98">
        <v>661.64440000000002</v>
      </c>
      <c r="N98">
        <v>715</v>
      </c>
      <c r="O98" s="13">
        <v>4.0739999999999999E-14</v>
      </c>
      <c r="P98" s="13">
        <v>8.4122700000000002E-8</v>
      </c>
      <c r="Q98">
        <v>8.6888899999999997E-4</v>
      </c>
      <c r="R98">
        <v>0.42500490000000002</v>
      </c>
      <c r="S98">
        <v>31.61788</v>
      </c>
      <c r="T98">
        <v>694.08</v>
      </c>
      <c r="U98">
        <v>6728.3230000000003</v>
      </c>
      <c r="V98">
        <v>37348.300000000003</v>
      </c>
      <c r="W98">
        <v>141789</v>
      </c>
      <c r="X98">
        <v>420090</v>
      </c>
      <c r="AA98">
        <f t="shared" si="44"/>
        <v>4.2589437819420782E-3</v>
      </c>
      <c r="AB98">
        <f t="shared" si="45"/>
        <v>3.4703472707106856E-3</v>
      </c>
      <c r="AC98">
        <f t="shared" si="46"/>
        <v>2.9281625106768127E-3</v>
      </c>
      <c r="AD98">
        <f t="shared" si="47"/>
        <v>2.5325002082981422E-3</v>
      </c>
      <c r="AE98">
        <f t="shared" si="48"/>
        <v>2.231036302976515E-3</v>
      </c>
      <c r="AF98">
        <f t="shared" si="49"/>
        <v>1.9937086529746729E-3</v>
      </c>
      <c r="AG98">
        <f t="shared" si="50"/>
        <v>1.8020183686940393E-3</v>
      </c>
      <c r="AH98">
        <f t="shared" si="51"/>
        <v>1.6439556927637508E-3</v>
      </c>
      <c r="AI98">
        <f t="shared" si="52"/>
        <v>1.5113858743457966E-3</v>
      </c>
      <c r="AJ98">
        <f t="shared" si="53"/>
        <v>1.3986013986013986E-3</v>
      </c>
      <c r="AK98">
        <f t="shared" si="54"/>
        <v>-30.831565984112025</v>
      </c>
      <c r="AL98">
        <f t="shared" si="55"/>
        <v>-16.29098938962273</v>
      </c>
      <c r="AM98">
        <f t="shared" si="56"/>
        <v>-7.0482951738839068</v>
      </c>
      <c r="AN98">
        <f t="shared" si="57"/>
        <v>-0.85565458071241862</v>
      </c>
      <c r="AO98">
        <f t="shared" si="58"/>
        <v>3.4537227833603228</v>
      </c>
      <c r="AP98">
        <f t="shared" si="59"/>
        <v>6.54258722763851</v>
      </c>
      <c r="AQ98">
        <f t="shared" si="60"/>
        <v>8.8140812088238452</v>
      </c>
      <c r="AR98">
        <f t="shared" si="61"/>
        <v>10.528042674130193</v>
      </c>
      <c r="AS98">
        <f t="shared" si="62"/>
        <v>11.862095316023188</v>
      </c>
      <c r="AT98">
        <f t="shared" si="63"/>
        <v>12.948224253017932</v>
      </c>
      <c r="AU98">
        <f t="shared" si="64"/>
        <v>0.99074428144491844</v>
      </c>
      <c r="AV98">
        <f t="shared" si="65"/>
        <v>18438.550497496111</v>
      </c>
      <c r="AW98">
        <f t="shared" si="66"/>
        <v>17047.13023501691</v>
      </c>
      <c r="AX98">
        <f t="shared" si="67"/>
        <v>15651.328306846865</v>
      </c>
      <c r="AY98">
        <f t="shared" si="68"/>
        <v>14294.836920775419</v>
      </c>
      <c r="AZ98">
        <f t="shared" si="69"/>
        <v>13015.189946279801</v>
      </c>
      <c r="BA98">
        <f t="shared" si="70"/>
        <v>11849.812783729196</v>
      </c>
      <c r="BB98">
        <f t="shared" si="71"/>
        <v>10843.555919945751</v>
      </c>
      <c r="BC98">
        <f t="shared" si="72"/>
        <v>10063.019304191201</v>
      </c>
      <c r="BD98">
        <f t="shared" si="73"/>
        <v>9630.1279925813888</v>
      </c>
      <c r="BE98">
        <f t="shared" si="74"/>
        <v>153298.10883618268</v>
      </c>
      <c r="BF98">
        <f t="shared" si="75"/>
        <v>141729.8407739306</v>
      </c>
      <c r="BG98">
        <f t="shared" si="76"/>
        <v>130125.14354312484</v>
      </c>
      <c r="BH98">
        <f t="shared" si="77"/>
        <v>118847.27415932683</v>
      </c>
      <c r="BI98">
        <f t="shared" si="78"/>
        <v>108208.28921337027</v>
      </c>
      <c r="BJ98">
        <f t="shared" si="79"/>
        <v>98519.343483924531</v>
      </c>
      <c r="BK98">
        <f t="shared" si="80"/>
        <v>90153.323918428971</v>
      </c>
      <c r="BL98">
        <f t="shared" si="81"/>
        <v>83663.942495045645</v>
      </c>
      <c r="BM98">
        <f t="shared" si="82"/>
        <v>80064.884130321661</v>
      </c>
      <c r="BO98">
        <v>159219</v>
      </c>
      <c r="BP98">
        <v>146970</v>
      </c>
      <c r="BQ98">
        <v>135320</v>
      </c>
      <c r="BR98">
        <v>124199</v>
      </c>
      <c r="BS98">
        <v>113505</v>
      </c>
      <c r="BT98">
        <v>103079</v>
      </c>
      <c r="BU98">
        <v>92668.52</v>
      </c>
      <c r="BV98">
        <v>81827.210000000006</v>
      </c>
      <c r="BW98">
        <v>69646.77</v>
      </c>
      <c r="BY98">
        <f t="shared" si="83"/>
        <v>0.98366739923893753</v>
      </c>
    </row>
    <row r="99" spans="1:77" x14ac:dyDescent="0.3">
      <c r="A99" s="1" t="s">
        <v>272</v>
      </c>
      <c r="B99" s="2">
        <v>334.25</v>
      </c>
      <c r="C99" s="2">
        <v>732</v>
      </c>
      <c r="E99">
        <v>334.25</v>
      </c>
      <c r="F99">
        <v>378.44439999999997</v>
      </c>
      <c r="G99">
        <v>422.63889999999998</v>
      </c>
      <c r="H99">
        <v>466.83330000000001</v>
      </c>
      <c r="I99">
        <v>511.02780000000001</v>
      </c>
      <c r="J99">
        <v>555.22220000000004</v>
      </c>
      <c r="K99">
        <v>599.41669999999999</v>
      </c>
      <c r="L99">
        <v>643.61109999999996</v>
      </c>
      <c r="M99">
        <v>687.80560000000003</v>
      </c>
      <c r="N99">
        <v>732</v>
      </c>
      <c r="O99">
        <v>5.7016200000000001E-3</v>
      </c>
      <c r="P99">
        <v>0.74627960000000004</v>
      </c>
      <c r="Q99">
        <v>26.359210000000001</v>
      </c>
      <c r="R99">
        <v>376.90870000000001</v>
      </c>
      <c r="S99">
        <v>2837.5920000000001</v>
      </c>
      <c r="T99">
        <v>13450.39</v>
      </c>
      <c r="U99">
        <v>45595.66</v>
      </c>
      <c r="V99">
        <v>121568</v>
      </c>
      <c r="W99">
        <v>274665</v>
      </c>
      <c r="X99">
        <v>559287</v>
      </c>
      <c r="AA99">
        <f t="shared" si="44"/>
        <v>2.9917726252804786E-3</v>
      </c>
      <c r="AB99">
        <f t="shared" si="45"/>
        <v>2.6423960824892641E-3</v>
      </c>
      <c r="AC99">
        <f t="shared" si="46"/>
        <v>2.3660860370401304E-3</v>
      </c>
      <c r="AD99">
        <f t="shared" si="47"/>
        <v>2.1420922629126929E-3</v>
      </c>
      <c r="AE99">
        <f t="shared" si="48"/>
        <v>1.9568407041652136E-3</v>
      </c>
      <c r="AF99">
        <f t="shared" si="49"/>
        <v>1.8010807204755139E-3</v>
      </c>
      <c r="AG99">
        <f t="shared" si="50"/>
        <v>1.6682885211573184E-3</v>
      </c>
      <c r="AH99">
        <f t="shared" si="51"/>
        <v>1.5537333026108468E-3</v>
      </c>
      <c r="AI99">
        <f t="shared" si="52"/>
        <v>1.453899183141283E-3</v>
      </c>
      <c r="AJ99">
        <f t="shared" si="53"/>
        <v>1.366120218579235E-3</v>
      </c>
      <c r="AK99">
        <f t="shared" si="54"/>
        <v>-5.1670049339954778</v>
      </c>
      <c r="AL99">
        <f t="shared" si="55"/>
        <v>-0.29265495007033532</v>
      </c>
      <c r="AM99">
        <f t="shared" si="56"/>
        <v>3.2718177395342214</v>
      </c>
      <c r="AN99">
        <f t="shared" si="57"/>
        <v>5.9320029830525813</v>
      </c>
      <c r="AO99">
        <f t="shared" si="58"/>
        <v>7.9507110841715356</v>
      </c>
      <c r="AP99">
        <f t="shared" si="59"/>
        <v>9.5067633808921297</v>
      </c>
      <c r="AQ99">
        <f t="shared" si="60"/>
        <v>10.727567815534412</v>
      </c>
      <c r="AR99">
        <f t="shared" si="61"/>
        <v>11.708229055987353</v>
      </c>
      <c r="AS99">
        <f t="shared" si="62"/>
        <v>12.523307452243923</v>
      </c>
      <c r="AT99">
        <f t="shared" si="63"/>
        <v>13.23441803719966</v>
      </c>
      <c r="AU99">
        <f t="shared" si="64"/>
        <v>0.99128004687791149</v>
      </c>
      <c r="AV99">
        <f t="shared" si="65"/>
        <v>13951.566252797993</v>
      </c>
      <c r="AW99">
        <f t="shared" si="66"/>
        <v>12900.264569862502</v>
      </c>
      <c r="AX99">
        <f t="shared" si="67"/>
        <v>11876.157066780313</v>
      </c>
      <c r="AY99">
        <f t="shared" si="68"/>
        <v>10897.118031113047</v>
      </c>
      <c r="AZ99">
        <f t="shared" si="69"/>
        <v>9990.0645843704897</v>
      </c>
      <c r="BA99">
        <f t="shared" si="70"/>
        <v>9193.344495462432</v>
      </c>
      <c r="BB99">
        <f t="shared" si="71"/>
        <v>8560.5985732995287</v>
      </c>
      <c r="BC99">
        <f t="shared" si="72"/>
        <v>8164.3269914857237</v>
      </c>
      <c r="BD99">
        <f t="shared" si="73"/>
        <v>8101.1502984075023</v>
      </c>
      <c r="BE99">
        <f t="shared" si="74"/>
        <v>115993.32182576251</v>
      </c>
      <c r="BF99">
        <f t="shared" si="75"/>
        <v>107252.79963383684</v>
      </c>
      <c r="BG99">
        <f t="shared" si="76"/>
        <v>98738.369853211523</v>
      </c>
      <c r="BH99">
        <f t="shared" si="77"/>
        <v>90598.639310673869</v>
      </c>
      <c r="BI99">
        <f t="shared" si="78"/>
        <v>83057.396954456257</v>
      </c>
      <c r="BJ99">
        <f t="shared" si="79"/>
        <v>76433.466135274663</v>
      </c>
      <c r="BK99">
        <f t="shared" si="80"/>
        <v>71172.816538412284</v>
      </c>
      <c r="BL99">
        <f t="shared" si="81"/>
        <v>67878.214607212314</v>
      </c>
      <c r="BM99">
        <f t="shared" si="82"/>
        <v>67352.963580959971</v>
      </c>
      <c r="BO99" s="2">
        <v>119872</v>
      </c>
      <c r="BP99" s="2">
        <v>111593</v>
      </c>
      <c r="BQ99" s="2">
        <v>103039</v>
      </c>
      <c r="BR99" s="2">
        <v>94477.69</v>
      </c>
      <c r="BS99" s="2">
        <v>86118.26</v>
      </c>
      <c r="BT99" s="2">
        <v>78107.429999999993</v>
      </c>
      <c r="BU99" s="2">
        <v>70511.13</v>
      </c>
      <c r="BV99" s="2">
        <v>63276.7</v>
      </c>
      <c r="BW99" s="2">
        <v>56113</v>
      </c>
      <c r="BY99">
        <f t="shared" si="83"/>
        <v>0.97346482803205703</v>
      </c>
    </row>
    <row r="100" spans="1:77" x14ac:dyDescent="0.3">
      <c r="A100" s="1" t="s">
        <v>275</v>
      </c>
      <c r="B100" s="2">
        <v>341.23</v>
      </c>
      <c r="C100" s="2">
        <v>751</v>
      </c>
      <c r="E100">
        <v>341.23</v>
      </c>
      <c r="F100">
        <v>386.76</v>
      </c>
      <c r="G100">
        <v>432.29</v>
      </c>
      <c r="H100">
        <v>477.82</v>
      </c>
      <c r="I100">
        <v>523.35</v>
      </c>
      <c r="J100">
        <v>568.88</v>
      </c>
      <c r="K100">
        <v>614.41</v>
      </c>
      <c r="L100">
        <v>659.94</v>
      </c>
      <c r="M100">
        <v>705.47</v>
      </c>
      <c r="N100">
        <v>751</v>
      </c>
      <c r="O100">
        <v>2.5427399999999999E-3</v>
      </c>
      <c r="P100">
        <v>0.42746499999999998</v>
      </c>
      <c r="Q100">
        <v>17.762799999999999</v>
      </c>
      <c r="R100">
        <v>282.38130000000001</v>
      </c>
      <c r="S100">
        <v>2277.2730000000001</v>
      </c>
      <c r="T100">
        <v>11284.29</v>
      </c>
      <c r="U100">
        <v>39381.300000000003</v>
      </c>
      <c r="V100">
        <v>107195</v>
      </c>
      <c r="W100">
        <v>246607</v>
      </c>
      <c r="X100">
        <v>512586</v>
      </c>
      <c r="AA100">
        <f t="shared" si="44"/>
        <v>2.9305746856958647E-3</v>
      </c>
      <c r="AB100">
        <f t="shared" si="45"/>
        <v>2.5855827903609476E-3</v>
      </c>
      <c r="AC100">
        <f t="shared" si="46"/>
        <v>2.3132619306484073E-3</v>
      </c>
      <c r="AD100">
        <f t="shared" si="47"/>
        <v>2.092838307312377E-3</v>
      </c>
      <c r="AE100">
        <f t="shared" si="48"/>
        <v>1.9107671730199673E-3</v>
      </c>
      <c r="AF100">
        <f t="shared" si="49"/>
        <v>1.7578399662494728E-3</v>
      </c>
      <c r="AG100">
        <f t="shared" si="50"/>
        <v>1.6275776761445942E-3</v>
      </c>
      <c r="AH100">
        <f t="shared" si="51"/>
        <v>1.5152892687213988E-3</v>
      </c>
      <c r="AI100">
        <f t="shared" si="52"/>
        <v>1.4174947198321685E-3</v>
      </c>
      <c r="AJ100">
        <f t="shared" si="53"/>
        <v>1.3315579227696406E-3</v>
      </c>
      <c r="AK100">
        <f t="shared" si="54"/>
        <v>-5.9745130392162773</v>
      </c>
      <c r="AL100">
        <f t="shared" si="55"/>
        <v>-0.84988286530199297</v>
      </c>
      <c r="AM100">
        <f t="shared" si="56"/>
        <v>2.8771063827950192</v>
      </c>
      <c r="AN100">
        <f t="shared" si="57"/>
        <v>5.6432582852962581</v>
      </c>
      <c r="AO100">
        <f t="shared" si="58"/>
        <v>7.7307339534751121</v>
      </c>
      <c r="AP100">
        <f t="shared" si="59"/>
        <v>9.3311667718979905</v>
      </c>
      <c r="AQ100">
        <f t="shared" si="60"/>
        <v>10.5810463633293</v>
      </c>
      <c r="AR100">
        <f t="shared" si="61"/>
        <v>11.582404884740031</v>
      </c>
      <c r="AS100">
        <f t="shared" si="62"/>
        <v>12.415551255359789</v>
      </c>
      <c r="AT100">
        <f t="shared" si="63"/>
        <v>13.147223780795086</v>
      </c>
      <c r="AU100">
        <f t="shared" si="64"/>
        <v>0.99056027244770228</v>
      </c>
      <c r="AV100">
        <f t="shared" si="65"/>
        <v>14854.349459251234</v>
      </c>
      <c r="AW100">
        <f t="shared" si="66"/>
        <v>13686.021893553041</v>
      </c>
      <c r="AX100">
        <f t="shared" si="67"/>
        <v>12549.253390523889</v>
      </c>
      <c r="AY100">
        <f t="shared" si="68"/>
        <v>11465.165394237227</v>
      </c>
      <c r="AZ100">
        <f t="shared" si="69"/>
        <v>10465.324334503324</v>
      </c>
      <c r="BA100">
        <f t="shared" si="70"/>
        <v>9595.0991681858832</v>
      </c>
      <c r="BB100">
        <f t="shared" si="71"/>
        <v>8917.7373193724852</v>
      </c>
      <c r="BC100">
        <f t="shared" si="72"/>
        <v>8519.3538912219374</v>
      </c>
      <c r="BD100">
        <f t="shared" si="73"/>
        <v>8514.0772107544199</v>
      </c>
      <c r="BE100">
        <f t="shared" si="74"/>
        <v>123499.06140421476</v>
      </c>
      <c r="BF100">
        <f t="shared" si="75"/>
        <v>113785.58602299998</v>
      </c>
      <c r="BG100">
        <f t="shared" si="76"/>
        <v>104334.49268881562</v>
      </c>
      <c r="BH100">
        <f t="shared" si="77"/>
        <v>95321.385087688308</v>
      </c>
      <c r="BI100">
        <f t="shared" si="78"/>
        <v>87008.706517060637</v>
      </c>
      <c r="BJ100">
        <f t="shared" si="79"/>
        <v>79773.65448429744</v>
      </c>
      <c r="BK100">
        <f t="shared" si="80"/>
        <v>74142.068073262839</v>
      </c>
      <c r="BL100">
        <f t="shared" si="81"/>
        <v>70829.908251619185</v>
      </c>
      <c r="BM100">
        <f t="shared" si="82"/>
        <v>70786.037930212246</v>
      </c>
      <c r="BO100" s="2">
        <v>127800</v>
      </c>
      <c r="BP100" s="2">
        <v>118601</v>
      </c>
      <c r="BQ100" s="2">
        <v>109085</v>
      </c>
      <c r="BR100" s="2">
        <v>99598.34</v>
      </c>
      <c r="BS100" s="2">
        <v>90419.46</v>
      </c>
      <c r="BT100" s="2">
        <v>81746.34</v>
      </c>
      <c r="BU100" s="2">
        <v>73684.929999999993</v>
      </c>
      <c r="BV100" s="2">
        <v>66215.649999999994</v>
      </c>
      <c r="BW100" s="2">
        <v>59075.94</v>
      </c>
      <c r="BY100">
        <f t="shared" si="83"/>
        <v>0.97377672840500318</v>
      </c>
    </row>
    <row r="101" spans="1:77" x14ac:dyDescent="0.3">
      <c r="A101" s="1" t="s">
        <v>278</v>
      </c>
      <c r="B101" s="2">
        <v>347.26</v>
      </c>
      <c r="C101" s="2">
        <v>722</v>
      </c>
      <c r="E101">
        <v>347.26</v>
      </c>
      <c r="F101">
        <v>388.89780000000002</v>
      </c>
      <c r="G101">
        <v>430.53559999999999</v>
      </c>
      <c r="H101">
        <v>472.17329999999998</v>
      </c>
      <c r="I101">
        <v>513.81110000000001</v>
      </c>
      <c r="J101">
        <v>555.44889999999998</v>
      </c>
      <c r="K101">
        <v>597.08669999999995</v>
      </c>
      <c r="L101">
        <v>638.72439999999995</v>
      </c>
      <c r="M101">
        <v>680.36220000000003</v>
      </c>
      <c r="N101">
        <v>722</v>
      </c>
      <c r="O101">
        <v>1.2013E-3</v>
      </c>
      <c r="P101">
        <v>0.1530907</v>
      </c>
      <c r="Q101">
        <v>5.6938940000000002</v>
      </c>
      <c r="R101">
        <v>89.056889999999996</v>
      </c>
      <c r="S101">
        <v>748.41780000000006</v>
      </c>
      <c r="T101">
        <v>4008.6849999999999</v>
      </c>
      <c r="U101">
        <v>15483.27</v>
      </c>
      <c r="V101">
        <v>47329.96</v>
      </c>
      <c r="W101">
        <v>123329</v>
      </c>
      <c r="X101">
        <v>292466</v>
      </c>
      <c r="AA101">
        <f t="shared" si="44"/>
        <v>2.8796866900881184E-3</v>
      </c>
      <c r="AB101">
        <f t="shared" si="45"/>
        <v>2.5713696503297267E-3</v>
      </c>
      <c r="AC101">
        <f t="shared" si="46"/>
        <v>2.3226882980176321E-3</v>
      </c>
      <c r="AD101">
        <f t="shared" si="47"/>
        <v>2.1178664697897999E-3</v>
      </c>
      <c r="AE101">
        <f t="shared" si="48"/>
        <v>1.9462405541647505E-3</v>
      </c>
      <c r="AF101">
        <f t="shared" si="49"/>
        <v>1.8003456303541155E-3</v>
      </c>
      <c r="AG101">
        <f t="shared" si="50"/>
        <v>1.6747986515191179E-3</v>
      </c>
      <c r="AH101">
        <f t="shared" si="51"/>
        <v>1.5656204773138462E-3</v>
      </c>
      <c r="AI101">
        <f t="shared" si="52"/>
        <v>1.4698053477985695E-3</v>
      </c>
      <c r="AJ101">
        <f t="shared" si="53"/>
        <v>1.3850415512465374E-3</v>
      </c>
      <c r="AK101">
        <f t="shared" si="54"/>
        <v>-6.7243509752369448</v>
      </c>
      <c r="AL101">
        <f t="shared" si="55"/>
        <v>-1.8767247227748927</v>
      </c>
      <c r="AM101">
        <f t="shared" si="56"/>
        <v>1.739394372595455</v>
      </c>
      <c r="AN101">
        <f t="shared" si="57"/>
        <v>4.489275379005365</v>
      </c>
      <c r="AO101">
        <f t="shared" si="58"/>
        <v>6.6179613781897864</v>
      </c>
      <c r="AP101">
        <f t="shared" si="59"/>
        <v>8.2962185363451937</v>
      </c>
      <c r="AQ101">
        <f t="shared" si="60"/>
        <v>9.6475153651457024</v>
      </c>
      <c r="AR101">
        <f t="shared" si="61"/>
        <v>10.764898777769998</v>
      </c>
      <c r="AS101">
        <f t="shared" si="62"/>
        <v>11.722610860199909</v>
      </c>
      <c r="AT101">
        <f t="shared" si="63"/>
        <v>12.586103699581496</v>
      </c>
      <c r="AU101">
        <f t="shared" si="64"/>
        <v>0.99323139355960366</v>
      </c>
      <c r="AV101">
        <f t="shared" si="65"/>
        <v>15722.861948404881</v>
      </c>
      <c r="AW101">
        <f t="shared" si="66"/>
        <v>14541.175129336298</v>
      </c>
      <c r="AX101">
        <f t="shared" si="67"/>
        <v>13425.722395911325</v>
      </c>
      <c r="AY101">
        <f t="shared" si="68"/>
        <v>12403.056912657379</v>
      </c>
      <c r="AZ101">
        <f t="shared" si="69"/>
        <v>11503.190887804365</v>
      </c>
      <c r="BA101">
        <f t="shared" si="70"/>
        <v>10763.276355510508</v>
      </c>
      <c r="BB101">
        <f t="shared" si="71"/>
        <v>10234.494401082806</v>
      </c>
      <c r="BC101">
        <f t="shared" si="72"/>
        <v>9995.4160399815937</v>
      </c>
      <c r="BD101">
        <f t="shared" si="73"/>
        <v>10187.047707939015</v>
      </c>
      <c r="BE101">
        <f t="shared" si="74"/>
        <v>130719.87423903818</v>
      </c>
      <c r="BF101">
        <f t="shared" si="75"/>
        <v>120895.33002530198</v>
      </c>
      <c r="BG101">
        <f t="shared" si="76"/>
        <v>111621.45599960675</v>
      </c>
      <c r="BH101">
        <f t="shared" si="77"/>
        <v>103119.01517183345</v>
      </c>
      <c r="BI101">
        <f t="shared" si="78"/>
        <v>95637.529041205489</v>
      </c>
      <c r="BJ101">
        <f t="shared" si="79"/>
        <v>89485.879619714367</v>
      </c>
      <c r="BK101">
        <f t="shared" si="80"/>
        <v>85089.586450602452</v>
      </c>
      <c r="BL101">
        <f t="shared" si="81"/>
        <v>83101.888956406969</v>
      </c>
      <c r="BM101">
        <f t="shared" si="82"/>
        <v>84695.114643804976</v>
      </c>
      <c r="BO101" s="2">
        <v>135653</v>
      </c>
      <c r="BP101" s="2">
        <v>125308</v>
      </c>
      <c r="BQ101" s="2">
        <v>115925</v>
      </c>
      <c r="BR101" s="2">
        <v>107336</v>
      </c>
      <c r="BS101" s="2">
        <v>99363.57</v>
      </c>
      <c r="BT101" s="2">
        <v>91796.479999999996</v>
      </c>
      <c r="BU101" s="2">
        <v>84355.02</v>
      </c>
      <c r="BV101" s="2">
        <v>76606.740000000005</v>
      </c>
      <c r="BW101" s="2">
        <v>67757.05</v>
      </c>
      <c r="BY101">
        <f t="shared" si="83"/>
        <v>0.93818909529222372</v>
      </c>
    </row>
    <row r="102" spans="1:77" x14ac:dyDescent="0.3">
      <c r="A102" s="1" t="s">
        <v>281</v>
      </c>
      <c r="B102" s="2">
        <v>352.22</v>
      </c>
      <c r="C102" s="2">
        <v>729</v>
      </c>
      <c r="E102">
        <v>352.22</v>
      </c>
      <c r="F102">
        <v>394.08440000000002</v>
      </c>
      <c r="G102">
        <v>435.94889999999998</v>
      </c>
      <c r="H102">
        <v>477.81330000000003</v>
      </c>
      <c r="I102">
        <v>519.67780000000005</v>
      </c>
      <c r="J102">
        <v>561.54219999999998</v>
      </c>
      <c r="K102">
        <v>603.4067</v>
      </c>
      <c r="L102">
        <v>645.27110000000005</v>
      </c>
      <c r="M102">
        <v>687.13559999999995</v>
      </c>
      <c r="N102">
        <v>729</v>
      </c>
      <c r="O102">
        <v>0.1430999</v>
      </c>
      <c r="P102">
        <v>4.5791680000000001</v>
      </c>
      <c r="Q102">
        <v>64.11712</v>
      </c>
      <c r="R102">
        <v>499.64879999999999</v>
      </c>
      <c r="S102">
        <v>2543.9560000000001</v>
      </c>
      <c r="T102">
        <v>9451.6170000000002</v>
      </c>
      <c r="U102">
        <v>27713.94</v>
      </c>
      <c r="V102">
        <v>67906.78</v>
      </c>
      <c r="W102">
        <v>145153</v>
      </c>
      <c r="X102">
        <v>279967</v>
      </c>
      <c r="AA102">
        <f t="shared" si="44"/>
        <v>2.8391346317642382E-3</v>
      </c>
      <c r="AB102">
        <f t="shared" si="45"/>
        <v>2.5375274941103988E-3</v>
      </c>
      <c r="AC102">
        <f t="shared" si="46"/>
        <v>2.2938468247081251E-3</v>
      </c>
      <c r="AD102">
        <f t="shared" si="47"/>
        <v>2.0928676535374798E-3</v>
      </c>
      <c r="AE102">
        <f t="shared" si="48"/>
        <v>1.9242692298959085E-3</v>
      </c>
      <c r="AF102">
        <f t="shared" si="49"/>
        <v>1.7808100620042447E-3</v>
      </c>
      <c r="AG102">
        <f t="shared" si="50"/>
        <v>1.6572570374177151E-3</v>
      </c>
      <c r="AH102">
        <f t="shared" si="51"/>
        <v>1.5497362271454586E-3</v>
      </c>
      <c r="AI102">
        <f t="shared" si="52"/>
        <v>1.4553168253835197E-3</v>
      </c>
      <c r="AJ102">
        <f t="shared" si="53"/>
        <v>1.3717421124828531E-3</v>
      </c>
      <c r="AK102">
        <f t="shared" si="54"/>
        <v>-1.9442122912319955</v>
      </c>
      <c r="AL102">
        <f t="shared" si="55"/>
        <v>1.5215173222353822</v>
      </c>
      <c r="AM102">
        <f t="shared" si="56"/>
        <v>4.160711410949701</v>
      </c>
      <c r="AN102">
        <f t="shared" si="57"/>
        <v>6.2139054516237371</v>
      </c>
      <c r="AO102">
        <f t="shared" si="58"/>
        <v>7.8414756287129581</v>
      </c>
      <c r="AP102">
        <f t="shared" si="59"/>
        <v>9.1539411169610627</v>
      </c>
      <c r="AQ102">
        <f t="shared" si="60"/>
        <v>10.229690814685544</v>
      </c>
      <c r="AR102">
        <f t="shared" si="61"/>
        <v>11.125891161286431</v>
      </c>
      <c r="AS102">
        <f t="shared" si="62"/>
        <v>11.88554363751339</v>
      </c>
      <c r="AT102">
        <f t="shared" si="63"/>
        <v>12.542427018062831</v>
      </c>
      <c r="AU102">
        <f t="shared" si="64"/>
        <v>0.99604590422818673</v>
      </c>
      <c r="AV102">
        <f t="shared" si="65"/>
        <v>11490.873990671484</v>
      </c>
      <c r="AW102">
        <f t="shared" si="66"/>
        <v>10830.543494434829</v>
      </c>
      <c r="AX102">
        <f t="shared" si="67"/>
        <v>10215.954363403813</v>
      </c>
      <c r="AY102">
        <f t="shared" si="68"/>
        <v>9653.5314028162175</v>
      </c>
      <c r="AZ102">
        <f t="shared" si="69"/>
        <v>9148.7041751088436</v>
      </c>
      <c r="BA102">
        <f t="shared" si="70"/>
        <v>8706.7856195708573</v>
      </c>
      <c r="BB102">
        <f t="shared" si="71"/>
        <v>8335.1338622876156</v>
      </c>
      <c r="BC102">
        <f t="shared" si="72"/>
        <v>8045.5124905608118</v>
      </c>
      <c r="BD102">
        <f t="shared" si="73"/>
        <v>7859.8341262647928</v>
      </c>
      <c r="BE102">
        <f t="shared" si="74"/>
        <v>95535.126358442722</v>
      </c>
      <c r="BF102">
        <f t="shared" si="75"/>
        <v>90045.138612731171</v>
      </c>
      <c r="BG102">
        <f t="shared" si="76"/>
        <v>84935.444577339294</v>
      </c>
      <c r="BH102">
        <f t="shared" si="77"/>
        <v>80259.460083014026</v>
      </c>
      <c r="BI102">
        <f t="shared" si="78"/>
        <v>76062.326511854932</v>
      </c>
      <c r="BJ102">
        <f t="shared" si="79"/>
        <v>72388.21564111211</v>
      </c>
      <c r="BK102">
        <f t="shared" si="80"/>
        <v>69298.302931059239</v>
      </c>
      <c r="BL102">
        <f t="shared" si="81"/>
        <v>66890.390846522583</v>
      </c>
      <c r="BM102">
        <f t="shared" si="82"/>
        <v>65346.660925765485</v>
      </c>
      <c r="BO102" s="2">
        <v>97996.89</v>
      </c>
      <c r="BP102" s="2">
        <v>92598.399999999994</v>
      </c>
      <c r="BQ102" s="2">
        <v>87452.59</v>
      </c>
      <c r="BR102" s="2">
        <v>82455.95</v>
      </c>
      <c r="BS102" s="2">
        <v>77493.649999999994</v>
      </c>
      <c r="BT102" s="2">
        <v>72429.55</v>
      </c>
      <c r="BU102" s="2">
        <v>67089.39</v>
      </c>
      <c r="BV102" s="2">
        <v>61229.25</v>
      </c>
      <c r="BW102" s="2">
        <v>54467.12</v>
      </c>
      <c r="BY102">
        <f t="shared" si="83"/>
        <v>0.96082870037844559</v>
      </c>
    </row>
    <row r="103" spans="1:77" x14ac:dyDescent="0.3">
      <c r="A103" s="1" t="s">
        <v>284</v>
      </c>
      <c r="B103" s="2">
        <v>331.5</v>
      </c>
      <c r="C103" s="2">
        <v>786</v>
      </c>
      <c r="E103">
        <v>331.5</v>
      </c>
      <c r="F103">
        <v>382</v>
      </c>
      <c r="G103">
        <v>432.5</v>
      </c>
      <c r="H103">
        <v>483</v>
      </c>
      <c r="I103">
        <v>533.5</v>
      </c>
      <c r="J103">
        <v>584</v>
      </c>
      <c r="K103">
        <v>634.5</v>
      </c>
      <c r="L103">
        <v>685</v>
      </c>
      <c r="M103">
        <v>735.5</v>
      </c>
      <c r="N103">
        <v>786</v>
      </c>
      <c r="O103" s="13">
        <v>1.3668399999999999E-5</v>
      </c>
      <c r="P103">
        <v>2.1252299999999998E-2</v>
      </c>
      <c r="Q103">
        <v>3.5589119999999999</v>
      </c>
      <c r="R103">
        <v>133.79920000000001</v>
      </c>
      <c r="S103">
        <v>1787.32</v>
      </c>
      <c r="T103">
        <v>11490.79</v>
      </c>
      <c r="U103">
        <v>43894.01</v>
      </c>
      <c r="V103">
        <v>116174</v>
      </c>
      <c r="W103">
        <v>239943</v>
      </c>
      <c r="X103">
        <v>427941</v>
      </c>
      <c r="AA103">
        <f t="shared" si="44"/>
        <v>3.0165912518853697E-3</v>
      </c>
      <c r="AB103">
        <f t="shared" si="45"/>
        <v>2.617801047120419E-3</v>
      </c>
      <c r="AC103">
        <f t="shared" si="46"/>
        <v>2.3121387283236996E-3</v>
      </c>
      <c r="AD103">
        <f t="shared" si="47"/>
        <v>2.070393374741201E-3</v>
      </c>
      <c r="AE103">
        <f t="shared" si="48"/>
        <v>1.8744142455482662E-3</v>
      </c>
      <c r="AF103">
        <f t="shared" si="49"/>
        <v>1.7123287671232876E-3</v>
      </c>
      <c r="AG103">
        <f t="shared" si="50"/>
        <v>1.5760441292356187E-3</v>
      </c>
      <c r="AH103">
        <f t="shared" si="51"/>
        <v>1.4598540145985401E-3</v>
      </c>
      <c r="AI103">
        <f t="shared" si="52"/>
        <v>1.3596193065941536E-3</v>
      </c>
      <c r="AJ103">
        <f t="shared" si="53"/>
        <v>1.2722646310432571E-3</v>
      </c>
      <c r="AK103">
        <f t="shared" si="54"/>
        <v>-11.200423958701935</v>
      </c>
      <c r="AL103">
        <f t="shared" si="55"/>
        <v>-3.8512901541746105</v>
      </c>
      <c r="AM103">
        <f t="shared" si="56"/>
        <v>1.2694548801757195</v>
      </c>
      <c r="AN103">
        <f t="shared" si="57"/>
        <v>4.8963401686030101</v>
      </c>
      <c r="AO103">
        <f t="shared" si="58"/>
        <v>7.4884725701969481</v>
      </c>
      <c r="AP103">
        <f t="shared" si="59"/>
        <v>9.3493011239187673</v>
      </c>
      <c r="AQ103">
        <f t="shared" si="60"/>
        <v>10.689533143284349</v>
      </c>
      <c r="AR103">
        <f t="shared" si="61"/>
        <v>11.662844346212237</v>
      </c>
      <c r="AS103">
        <f t="shared" si="62"/>
        <v>12.388156674116537</v>
      </c>
      <c r="AT103">
        <f t="shared" si="63"/>
        <v>12.966740614594395</v>
      </c>
      <c r="AU103">
        <f t="shared" si="64"/>
        <v>0.97946965751142323</v>
      </c>
      <c r="AV103">
        <f t="shared" si="65"/>
        <v>18428.571506311062</v>
      </c>
      <c r="AW103">
        <f t="shared" si="66"/>
        <v>16752.948333667122</v>
      </c>
      <c r="AX103">
        <f t="shared" si="67"/>
        <v>15002.916228499802</v>
      </c>
      <c r="AY103">
        <f t="shared" si="68"/>
        <v>13226.573728889633</v>
      </c>
      <c r="AZ103">
        <f t="shared" si="69"/>
        <v>11480.538366569988</v>
      </c>
      <c r="BA103">
        <f t="shared" si="70"/>
        <v>9834.0652338985783</v>
      </c>
      <c r="BB103">
        <f t="shared" si="71"/>
        <v>8376.8847803278186</v>
      </c>
      <c r="BC103">
        <f t="shared" si="72"/>
        <v>7236.1394804737556</v>
      </c>
      <c r="BD103">
        <f t="shared" si="73"/>
        <v>6623.3883513281489</v>
      </c>
      <c r="BE103">
        <f t="shared" si="74"/>
        <v>153215.14350347017</v>
      </c>
      <c r="BF103">
        <f t="shared" si="75"/>
        <v>139284.01244610845</v>
      </c>
      <c r="BG103">
        <f t="shared" si="76"/>
        <v>124734.24552374735</v>
      </c>
      <c r="BH103">
        <f t="shared" si="77"/>
        <v>109965.73398198841</v>
      </c>
      <c r="BI103">
        <f t="shared" si="78"/>
        <v>95449.19597966288</v>
      </c>
      <c r="BJ103">
        <f t="shared" si="79"/>
        <v>81760.418354632784</v>
      </c>
      <c r="BK103">
        <f t="shared" si="80"/>
        <v>69645.420063645477</v>
      </c>
      <c r="BL103">
        <f t="shared" si="81"/>
        <v>60161.263640658806</v>
      </c>
      <c r="BM103">
        <f t="shared" si="82"/>
        <v>55066.850752942228</v>
      </c>
      <c r="BO103" s="2">
        <v>157054</v>
      </c>
      <c r="BP103" s="2">
        <v>146605</v>
      </c>
      <c r="BQ103" s="2">
        <v>132985</v>
      </c>
      <c r="BR103" s="2">
        <v>117393</v>
      </c>
      <c r="BS103" s="2">
        <v>100964</v>
      </c>
      <c r="BT103" s="2">
        <v>84638.13</v>
      </c>
      <c r="BU103" s="2">
        <v>69078.91</v>
      </c>
      <c r="BV103" s="2">
        <v>54620.36</v>
      </c>
      <c r="BW103" s="2">
        <v>41188.76</v>
      </c>
      <c r="BY103">
        <f t="shared" si="83"/>
        <v>0.98670811084566656</v>
      </c>
    </row>
    <row r="104" spans="1:77" x14ac:dyDescent="0.3">
      <c r="A104" s="1" t="s">
        <v>287</v>
      </c>
      <c r="B104" s="2">
        <v>360.1</v>
      </c>
      <c r="C104" s="2">
        <v>738</v>
      </c>
      <c r="E104">
        <v>360.1</v>
      </c>
      <c r="F104">
        <v>402.08890000000002</v>
      </c>
      <c r="G104">
        <v>444.07780000000002</v>
      </c>
      <c r="H104">
        <v>486.06670000000003</v>
      </c>
      <c r="I104">
        <v>528.05560000000003</v>
      </c>
      <c r="J104">
        <v>570.0444</v>
      </c>
      <c r="K104">
        <v>612.03330000000005</v>
      </c>
      <c r="L104">
        <v>654.0222</v>
      </c>
      <c r="M104">
        <v>696.01110000000006</v>
      </c>
      <c r="N104">
        <v>738</v>
      </c>
      <c r="O104">
        <v>0.44630940000000002</v>
      </c>
      <c r="P104">
        <v>9.588063</v>
      </c>
      <c r="Q104">
        <v>101.04810000000001</v>
      </c>
      <c r="R104">
        <v>640.8261</v>
      </c>
      <c r="S104">
        <v>2804.4380000000001</v>
      </c>
      <c r="T104">
        <v>9311.1280000000006</v>
      </c>
      <c r="U104">
        <v>25088.48</v>
      </c>
      <c r="V104">
        <v>57624.86</v>
      </c>
      <c r="W104">
        <v>117061</v>
      </c>
      <c r="X104">
        <v>216425</v>
      </c>
      <c r="AA104">
        <f t="shared" si="44"/>
        <v>2.7770063871146904E-3</v>
      </c>
      <c r="AB104">
        <f t="shared" si="45"/>
        <v>2.4870122005357519E-3</v>
      </c>
      <c r="AC104">
        <f t="shared" si="46"/>
        <v>2.251857669984854E-3</v>
      </c>
      <c r="AD104">
        <f t="shared" si="47"/>
        <v>2.0573308148861052E-3</v>
      </c>
      <c r="AE104">
        <f t="shared" si="48"/>
        <v>1.8937399773811697E-3</v>
      </c>
      <c r="AF104">
        <f t="shared" si="49"/>
        <v>1.7542493181232901E-3</v>
      </c>
      <c r="AG104">
        <f t="shared" si="50"/>
        <v>1.6338980248296947E-3</v>
      </c>
      <c r="AH104">
        <f t="shared" si="51"/>
        <v>1.5290000859298049E-3</v>
      </c>
      <c r="AI104">
        <f t="shared" si="52"/>
        <v>1.4367586953713811E-3</v>
      </c>
      <c r="AJ104">
        <f t="shared" si="53"/>
        <v>1.3550135501355014E-3</v>
      </c>
      <c r="AK104">
        <f t="shared" si="54"/>
        <v>-0.80674284550284003</v>
      </c>
      <c r="AL104">
        <f t="shared" si="55"/>
        <v>2.2605188872639426</v>
      </c>
      <c r="AM104">
        <f t="shared" si="56"/>
        <v>4.6155966410998754</v>
      </c>
      <c r="AN104">
        <f t="shared" si="57"/>
        <v>6.4627581252617707</v>
      </c>
      <c r="AO104">
        <f t="shared" si="58"/>
        <v>7.9389584413765117</v>
      </c>
      <c r="AP104">
        <f t="shared" si="59"/>
        <v>9.138965522974793</v>
      </c>
      <c r="AQ104">
        <f t="shared" si="60"/>
        <v>10.130164055620169</v>
      </c>
      <c r="AR104">
        <f t="shared" si="61"/>
        <v>10.961709350794914</v>
      </c>
      <c r="AS104">
        <f t="shared" si="62"/>
        <v>11.670450445436437</v>
      </c>
      <c r="AT104">
        <f t="shared" si="63"/>
        <v>12.284999346083975</v>
      </c>
      <c r="AU104">
        <f t="shared" si="64"/>
        <v>0.99679861197967767</v>
      </c>
      <c r="AV104">
        <f t="shared" si="65"/>
        <v>10576.976624777448</v>
      </c>
      <c r="AW104">
        <f t="shared" si="66"/>
        <v>10015.021817009769</v>
      </c>
      <c r="AX104">
        <f t="shared" si="67"/>
        <v>9495.6631218050097</v>
      </c>
      <c r="AY104">
        <f t="shared" si="68"/>
        <v>9023.7346946170128</v>
      </c>
      <c r="AZ104">
        <f t="shared" si="69"/>
        <v>8602.7773327804043</v>
      </c>
      <c r="BA104">
        <f t="shared" si="70"/>
        <v>8235.8777003530759</v>
      </c>
      <c r="BB104">
        <f t="shared" si="71"/>
        <v>7927.1843078665033</v>
      </c>
      <c r="BC104">
        <f t="shared" si="72"/>
        <v>7683.5473787943492</v>
      </c>
      <c r="BD104">
        <f t="shared" si="73"/>
        <v>7517.8641970018625</v>
      </c>
      <c r="BE104">
        <f t="shared" si="74"/>
        <v>87936.983658399695</v>
      </c>
      <c r="BF104">
        <f t="shared" si="75"/>
        <v>83264.891386619216</v>
      </c>
      <c r="BG104">
        <f t="shared" si="76"/>
        <v>78946.943194686857</v>
      </c>
      <c r="BH104">
        <f t="shared" si="77"/>
        <v>75023.330251045845</v>
      </c>
      <c r="BI104">
        <f t="shared" si="78"/>
        <v>71523.490744736278</v>
      </c>
      <c r="BJ104">
        <f t="shared" si="79"/>
        <v>68473.087200735477</v>
      </c>
      <c r="BK104">
        <f t="shared" si="80"/>
        <v>65906.610335602105</v>
      </c>
      <c r="BL104">
        <f t="shared" si="81"/>
        <v>63881.012907296223</v>
      </c>
      <c r="BM104">
        <f t="shared" si="82"/>
        <v>62503.522933873486</v>
      </c>
      <c r="BO104" s="2">
        <v>91515.87</v>
      </c>
      <c r="BP104" s="2">
        <v>85367.95</v>
      </c>
      <c r="BQ104" s="2">
        <v>80355.039999999994</v>
      </c>
      <c r="BR104" s="2">
        <v>76163.17</v>
      </c>
      <c r="BS104" s="2">
        <v>72501.850000000006</v>
      </c>
      <c r="BT104" s="2">
        <v>69075.17</v>
      </c>
      <c r="BU104" s="2">
        <v>65548.960000000006</v>
      </c>
      <c r="BV104" s="2">
        <v>61506.12</v>
      </c>
      <c r="BW104" s="2">
        <v>56373.33</v>
      </c>
      <c r="BY104">
        <f t="shared" si="83"/>
        <v>0.98124960056311417</v>
      </c>
    </row>
    <row r="105" spans="1:77" x14ac:dyDescent="0.3">
      <c r="A105" s="1" t="s">
        <v>290</v>
      </c>
      <c r="B105" s="2">
        <v>336.63</v>
      </c>
      <c r="C105" s="2">
        <v>811</v>
      </c>
      <c r="E105">
        <v>336.63</v>
      </c>
      <c r="F105">
        <v>389.33780000000002</v>
      </c>
      <c r="G105">
        <v>442.04559999999998</v>
      </c>
      <c r="H105">
        <v>494.75330000000002</v>
      </c>
      <c r="I105">
        <v>547.46109999999999</v>
      </c>
      <c r="J105">
        <v>600.16890000000001</v>
      </c>
      <c r="K105">
        <v>652.87670000000003</v>
      </c>
      <c r="L105">
        <v>705.58439999999996</v>
      </c>
      <c r="M105">
        <v>758.29219999999998</v>
      </c>
      <c r="N105">
        <v>811</v>
      </c>
      <c r="O105">
        <v>1.33881E-3</v>
      </c>
      <c r="P105">
        <v>0.27282990000000001</v>
      </c>
      <c r="Q105">
        <v>11.883179999999999</v>
      </c>
      <c r="R105">
        <v>189.24430000000001</v>
      </c>
      <c r="S105">
        <v>1524.3420000000001</v>
      </c>
      <c r="T105">
        <v>7632.9859999999999</v>
      </c>
      <c r="U105">
        <v>27242.68</v>
      </c>
      <c r="V105">
        <v>76156.19</v>
      </c>
      <c r="W105">
        <v>178491</v>
      </c>
      <c r="X105">
        <v>369770</v>
      </c>
      <c r="AA105">
        <f t="shared" si="44"/>
        <v>2.9706205626355347E-3</v>
      </c>
      <c r="AB105">
        <f t="shared" si="45"/>
        <v>2.5684636837214367E-3</v>
      </c>
      <c r="AC105">
        <f t="shared" si="46"/>
        <v>2.2622100525375665E-3</v>
      </c>
      <c r="AD105">
        <f t="shared" si="47"/>
        <v>2.0212093582801772E-3</v>
      </c>
      <c r="AE105">
        <f t="shared" si="48"/>
        <v>1.8266137995923363E-3</v>
      </c>
      <c r="AF105">
        <f t="shared" si="49"/>
        <v>1.6661976320332492E-3</v>
      </c>
      <c r="AG105">
        <f t="shared" si="50"/>
        <v>1.5316827817564939E-3</v>
      </c>
      <c r="AH105">
        <f t="shared" si="51"/>
        <v>1.4172648941784996E-3</v>
      </c>
      <c r="AI105">
        <f t="shared" si="52"/>
        <v>1.3187528501545974E-3</v>
      </c>
      <c r="AJ105">
        <f t="shared" si="53"/>
        <v>1.2330456226880395E-3</v>
      </c>
      <c r="AK105">
        <f t="shared" si="54"/>
        <v>-6.6159741192794383</v>
      </c>
      <c r="AL105">
        <f t="shared" si="55"/>
        <v>-1.2989067549133493</v>
      </c>
      <c r="AM105">
        <f t="shared" si="56"/>
        <v>2.4751239548831414</v>
      </c>
      <c r="AN105">
        <f t="shared" si="57"/>
        <v>5.2430387729736188</v>
      </c>
      <c r="AO105">
        <f t="shared" si="58"/>
        <v>7.3293181205193765</v>
      </c>
      <c r="AP105">
        <f t="shared" si="59"/>
        <v>8.9402343976555603</v>
      </c>
      <c r="AQ105">
        <f t="shared" si="60"/>
        <v>10.212540140152329</v>
      </c>
      <c r="AR105">
        <f t="shared" si="61"/>
        <v>11.240541641953387</v>
      </c>
      <c r="AS105">
        <f t="shared" si="62"/>
        <v>12.092293458762624</v>
      </c>
      <c r="AT105">
        <f t="shared" si="63"/>
        <v>12.82063646971196</v>
      </c>
      <c r="AU105">
        <f t="shared" si="64"/>
        <v>0.99448487930221041</v>
      </c>
      <c r="AV105">
        <f t="shared" si="65"/>
        <v>13221.376142373112</v>
      </c>
      <c r="AW105">
        <f t="shared" si="66"/>
        <v>12323.219467496267</v>
      </c>
      <c r="AX105">
        <f t="shared" si="67"/>
        <v>11485.090641001796</v>
      </c>
      <c r="AY105">
        <f t="shared" si="68"/>
        <v>10721.10464192273</v>
      </c>
      <c r="AZ105">
        <f t="shared" si="69"/>
        <v>10042.106738043254</v>
      </c>
      <c r="BA105">
        <f t="shared" si="70"/>
        <v>9458.4779292329804</v>
      </c>
      <c r="BB105">
        <f t="shared" si="71"/>
        <v>8984.6222785777973</v>
      </c>
      <c r="BC105">
        <f t="shared" si="72"/>
        <v>8646.1693618150384</v>
      </c>
      <c r="BD105">
        <f t="shared" si="73"/>
        <v>8498.0349088240928</v>
      </c>
      <c r="BE105">
        <f t="shared" si="74"/>
        <v>109922.52124769005</v>
      </c>
      <c r="BF105">
        <f t="shared" si="75"/>
        <v>102455.24665276396</v>
      </c>
      <c r="BG105">
        <f t="shared" si="76"/>
        <v>95487.043589288936</v>
      </c>
      <c r="BH105">
        <f t="shared" si="77"/>
        <v>89135.263992945576</v>
      </c>
      <c r="BI105">
        <f t="shared" si="78"/>
        <v>83490.075420091613</v>
      </c>
      <c r="BJ105">
        <f t="shared" si="79"/>
        <v>78637.785503642997</v>
      </c>
      <c r="BK105">
        <f t="shared" si="80"/>
        <v>74698.149624095808</v>
      </c>
      <c r="BL105">
        <f t="shared" si="81"/>
        <v>71884.252074130229</v>
      </c>
      <c r="BM105">
        <f t="shared" si="82"/>
        <v>70652.662231963506</v>
      </c>
      <c r="BO105" s="2">
        <v>113876</v>
      </c>
      <c r="BP105" s="2">
        <v>105797</v>
      </c>
      <c r="BQ105" s="2">
        <v>98650.62</v>
      </c>
      <c r="BR105" s="2">
        <v>92096.93</v>
      </c>
      <c r="BS105" s="2">
        <v>85795.58</v>
      </c>
      <c r="BT105" s="2">
        <v>79372.929999999993</v>
      </c>
      <c r="BU105" s="2">
        <v>72375.86</v>
      </c>
      <c r="BV105" s="2">
        <v>64188.09</v>
      </c>
      <c r="BW105" s="2">
        <v>53834.59</v>
      </c>
      <c r="BY105">
        <f t="shared" si="83"/>
        <v>0.9429153951354724</v>
      </c>
    </row>
    <row r="106" spans="1:77" x14ac:dyDescent="0.3">
      <c r="A106" s="1" t="s">
        <v>293</v>
      </c>
      <c r="B106" s="2">
        <v>364.02</v>
      </c>
      <c r="C106" s="2">
        <v>813</v>
      </c>
      <c r="E106">
        <v>364.02</v>
      </c>
      <c r="F106">
        <v>413.9067</v>
      </c>
      <c r="G106">
        <v>463.79329999999999</v>
      </c>
      <c r="H106">
        <v>513.67999999999995</v>
      </c>
      <c r="I106">
        <v>563.56669999999997</v>
      </c>
      <c r="J106">
        <v>613.45330000000001</v>
      </c>
      <c r="K106">
        <v>663.34</v>
      </c>
      <c r="L106">
        <v>713.22670000000005</v>
      </c>
      <c r="M106">
        <v>763.11329999999998</v>
      </c>
      <c r="N106">
        <v>813</v>
      </c>
      <c r="O106">
        <v>7.1360499999999993E-2</v>
      </c>
      <c r="P106">
        <v>2.9354740000000001</v>
      </c>
      <c r="Q106">
        <v>46.207509999999999</v>
      </c>
      <c r="R106">
        <v>377.77519999999998</v>
      </c>
      <c r="S106">
        <v>1947.5940000000001</v>
      </c>
      <c r="T106">
        <v>7198.1850000000004</v>
      </c>
      <c r="U106">
        <v>20820.89</v>
      </c>
      <c r="V106">
        <v>50136.5</v>
      </c>
      <c r="W106">
        <v>105112</v>
      </c>
      <c r="X106">
        <v>198445</v>
      </c>
      <c r="AA106">
        <f t="shared" si="44"/>
        <v>2.7471018075929895E-3</v>
      </c>
      <c r="AB106">
        <f t="shared" si="45"/>
        <v>2.4160034133296222E-3</v>
      </c>
      <c r="AC106">
        <f t="shared" si="46"/>
        <v>2.1561329152447869E-3</v>
      </c>
      <c r="AD106">
        <f t="shared" si="47"/>
        <v>1.9467372683382653E-3</v>
      </c>
      <c r="AE106">
        <f t="shared" si="48"/>
        <v>1.7744128600926919E-3</v>
      </c>
      <c r="AF106">
        <f t="shared" si="49"/>
        <v>1.630115935475447E-3</v>
      </c>
      <c r="AG106">
        <f t="shared" si="50"/>
        <v>1.5075225374619351E-3</v>
      </c>
      <c r="AH106">
        <f t="shared" si="51"/>
        <v>1.4020787499963194E-3</v>
      </c>
      <c r="AI106">
        <f t="shared" si="52"/>
        <v>1.3104214013829926E-3</v>
      </c>
      <c r="AJ106">
        <f t="shared" si="53"/>
        <v>1.2300123001230013E-3</v>
      </c>
      <c r="AK106">
        <f t="shared" si="54"/>
        <v>-2.640010784008473</v>
      </c>
      <c r="AL106">
        <f t="shared" si="55"/>
        <v>1.0768689393886874</v>
      </c>
      <c r="AM106">
        <f t="shared" si="56"/>
        <v>3.833142338989759</v>
      </c>
      <c r="AN106">
        <f t="shared" si="57"/>
        <v>5.9342993097153416</v>
      </c>
      <c r="AO106">
        <f t="shared" si="58"/>
        <v>7.5743500435890745</v>
      </c>
      <c r="AP106">
        <f t="shared" si="59"/>
        <v>8.8815841898924699</v>
      </c>
      <c r="AQ106">
        <f t="shared" si="60"/>
        <v>9.9437120886136263</v>
      </c>
      <c r="AR106">
        <f t="shared" si="61"/>
        <v>10.822504564728566</v>
      </c>
      <c r="AS106">
        <f t="shared" si="62"/>
        <v>11.562781727321658</v>
      </c>
      <c r="AT106">
        <f t="shared" si="63"/>
        <v>12.198267262630514</v>
      </c>
      <c r="AU106">
        <f t="shared" si="64"/>
        <v>0.99662193417554512</v>
      </c>
      <c r="AV106">
        <f t="shared" si="65"/>
        <v>11225.906823458114</v>
      </c>
      <c r="AW106">
        <f t="shared" si="66"/>
        <v>10606.33438544948</v>
      </c>
      <c r="AX106">
        <f t="shared" si="67"/>
        <v>10034.387064710952</v>
      </c>
      <c r="AY106">
        <f t="shared" si="68"/>
        <v>9517.2282938384142</v>
      </c>
      <c r="AZ106">
        <f t="shared" si="69"/>
        <v>9059.3347694062231</v>
      </c>
      <c r="BA106">
        <f t="shared" si="70"/>
        <v>8663.826241312694</v>
      </c>
      <c r="BB106">
        <f t="shared" si="71"/>
        <v>8334.227148294598</v>
      </c>
      <c r="BC106">
        <f t="shared" si="72"/>
        <v>8076.5718602235147</v>
      </c>
      <c r="BD106">
        <f t="shared" si="73"/>
        <v>7903.1543115263094</v>
      </c>
      <c r="BE106">
        <f t="shared" si="74"/>
        <v>93332.189330230758</v>
      </c>
      <c r="BF106">
        <f t="shared" si="75"/>
        <v>88181.06408062698</v>
      </c>
      <c r="BG106">
        <f t="shared" si="76"/>
        <v>83425.894056006859</v>
      </c>
      <c r="BH106">
        <f t="shared" si="77"/>
        <v>79126.236034972579</v>
      </c>
      <c r="BI106">
        <f t="shared" si="78"/>
        <v>75319.30927284334</v>
      </c>
      <c r="BJ106">
        <f t="shared" si="79"/>
        <v>72031.051370273737</v>
      </c>
      <c r="BK106">
        <f t="shared" si="80"/>
        <v>69290.76451092129</v>
      </c>
      <c r="BL106">
        <f t="shared" si="81"/>
        <v>67148.618445898304</v>
      </c>
      <c r="BM106">
        <f t="shared" si="82"/>
        <v>65706.824946029737</v>
      </c>
      <c r="BO106" s="2">
        <v>87336.67</v>
      </c>
      <c r="BP106" s="2">
        <v>81560.42</v>
      </c>
      <c r="BQ106" s="2">
        <v>76856.25</v>
      </c>
      <c r="BR106" s="2">
        <v>72884.41</v>
      </c>
      <c r="BS106" s="2">
        <v>69310.559999999998</v>
      </c>
      <c r="BT106" s="2">
        <v>65761.710000000006</v>
      </c>
      <c r="BU106" s="2">
        <v>61762.8</v>
      </c>
      <c r="BV106" s="2">
        <v>56620.71</v>
      </c>
      <c r="BW106" s="2">
        <v>49144.27</v>
      </c>
      <c r="BY106">
        <f t="shared" si="83"/>
        <v>0.94865757946319373</v>
      </c>
    </row>
    <row r="107" spans="1:77" x14ac:dyDescent="0.3">
      <c r="A107" s="1" t="s">
        <v>296</v>
      </c>
      <c r="B107" s="2">
        <v>363.37</v>
      </c>
      <c r="C107" s="2">
        <v>818</v>
      </c>
      <c r="E107">
        <v>363.37</v>
      </c>
      <c r="F107">
        <v>413.88440000000003</v>
      </c>
      <c r="G107">
        <v>464.39890000000003</v>
      </c>
      <c r="H107">
        <v>514.91330000000005</v>
      </c>
      <c r="I107">
        <v>565.42780000000005</v>
      </c>
      <c r="J107">
        <v>615.94219999999996</v>
      </c>
      <c r="K107">
        <v>666.45669999999996</v>
      </c>
      <c r="L107">
        <v>716.97109999999998</v>
      </c>
      <c r="M107">
        <v>767.48559999999998</v>
      </c>
      <c r="N107">
        <v>818</v>
      </c>
      <c r="O107">
        <v>7.9479999999999995E-2</v>
      </c>
      <c r="P107">
        <v>3.1543809999999999</v>
      </c>
      <c r="Q107">
        <v>48.08972</v>
      </c>
      <c r="R107">
        <v>382.71519999999998</v>
      </c>
      <c r="S107">
        <v>1930.0150000000001</v>
      </c>
      <c r="T107">
        <v>7007.1450000000004</v>
      </c>
      <c r="U107">
        <v>19979.23</v>
      </c>
      <c r="V107">
        <v>47552.54</v>
      </c>
      <c r="W107">
        <v>98736.62</v>
      </c>
      <c r="X107">
        <v>184854</v>
      </c>
      <c r="AA107">
        <f t="shared" si="44"/>
        <v>2.7520158516113054E-3</v>
      </c>
      <c r="AB107">
        <f t="shared" si="45"/>
        <v>2.416133587059575E-3</v>
      </c>
      <c r="AC107">
        <f t="shared" si="46"/>
        <v>2.1533212072638412E-3</v>
      </c>
      <c r="AD107">
        <f t="shared" si="47"/>
        <v>1.942074520118241E-3</v>
      </c>
      <c r="AE107">
        <f t="shared" si="48"/>
        <v>1.7685723977491025E-3</v>
      </c>
      <c r="AF107">
        <f t="shared" si="49"/>
        <v>1.623528960996665E-3</v>
      </c>
      <c r="AG107">
        <f t="shared" si="50"/>
        <v>1.50047257383713E-3</v>
      </c>
      <c r="AH107">
        <f t="shared" si="51"/>
        <v>1.3947563576830364E-3</v>
      </c>
      <c r="AI107">
        <f t="shared" si="52"/>
        <v>1.3029560424325877E-3</v>
      </c>
      <c r="AJ107">
        <f t="shared" si="53"/>
        <v>1.2224938875305623E-3</v>
      </c>
      <c r="AK107">
        <f t="shared" si="54"/>
        <v>-2.5322498612985211</v>
      </c>
      <c r="AL107">
        <f t="shared" si="55"/>
        <v>1.1487922802306521</v>
      </c>
      <c r="AM107">
        <f t="shared" si="56"/>
        <v>3.8730684328563183</v>
      </c>
      <c r="AN107">
        <f t="shared" si="57"/>
        <v>5.9472911094375434</v>
      </c>
      <c r="AO107">
        <f t="shared" si="58"/>
        <v>7.5652830538894547</v>
      </c>
      <c r="AP107">
        <f t="shared" si="59"/>
        <v>8.8546856217485459</v>
      </c>
      <c r="AQ107">
        <f t="shared" si="60"/>
        <v>9.902448512921378</v>
      </c>
      <c r="AR107">
        <f t="shared" si="61"/>
        <v>10.769590484002185</v>
      </c>
      <c r="AS107">
        <f t="shared" si="62"/>
        <v>11.500211179912386</v>
      </c>
      <c r="AT107">
        <f t="shared" si="63"/>
        <v>12.127321603297547</v>
      </c>
      <c r="AU107">
        <f t="shared" si="64"/>
        <v>0.99680414213328072</v>
      </c>
      <c r="AV107">
        <f t="shared" si="65"/>
        <v>10959.322744956196</v>
      </c>
      <c r="AW107">
        <f t="shared" si="66"/>
        <v>10365.85930519354</v>
      </c>
      <c r="AX107">
        <f t="shared" si="67"/>
        <v>9818.9595520216735</v>
      </c>
      <c r="AY107">
        <f t="shared" si="68"/>
        <v>9325.4879096493933</v>
      </c>
      <c r="AZ107">
        <f t="shared" si="69"/>
        <v>8889.7684495704889</v>
      </c>
      <c r="BA107">
        <f t="shared" si="70"/>
        <v>8514.4941709890481</v>
      </c>
      <c r="BB107">
        <f t="shared" si="71"/>
        <v>8202.5445350488844</v>
      </c>
      <c r="BC107">
        <f t="shared" si="72"/>
        <v>7958.8037787988878</v>
      </c>
      <c r="BD107">
        <f t="shared" si="73"/>
        <v>7793.8556846850788</v>
      </c>
      <c r="BE107">
        <f t="shared" si="74"/>
        <v>91115.809301565823</v>
      </c>
      <c r="BF107">
        <f t="shared" si="75"/>
        <v>86181.754263379102</v>
      </c>
      <c r="BG107">
        <f t="shared" si="76"/>
        <v>81634.829715508196</v>
      </c>
      <c r="BH107">
        <f t="shared" si="77"/>
        <v>77532.106480825052</v>
      </c>
      <c r="BI107">
        <f t="shared" si="78"/>
        <v>73909.534889729039</v>
      </c>
      <c r="BJ107">
        <f t="shared" si="79"/>
        <v>70789.504537602945</v>
      </c>
      <c r="BK107">
        <f t="shared" si="80"/>
        <v>68195.955264396427</v>
      </c>
      <c r="BL107">
        <f t="shared" si="81"/>
        <v>66169.494616933953</v>
      </c>
      <c r="BM107">
        <f t="shared" si="82"/>
        <v>64798.116162471742</v>
      </c>
      <c r="BO107" s="2">
        <v>84914.3</v>
      </c>
      <c r="BP107" s="2">
        <v>81923.59</v>
      </c>
      <c r="BQ107" s="2">
        <v>77337.27</v>
      </c>
      <c r="BR107" s="2">
        <v>71455.149999999994</v>
      </c>
      <c r="BS107" s="2">
        <v>64606.14</v>
      </c>
      <c r="BT107" s="2">
        <v>57107.19</v>
      </c>
      <c r="BU107" s="2">
        <v>49220.71</v>
      </c>
      <c r="BV107" s="2">
        <v>41101.64</v>
      </c>
      <c r="BW107" s="2">
        <v>32692.95</v>
      </c>
      <c r="BY107">
        <f t="shared" si="83"/>
        <v>0.91585957312161281</v>
      </c>
    </row>
    <row r="108" spans="1:77" x14ac:dyDescent="0.3">
      <c r="A108" s="1" t="s">
        <v>299</v>
      </c>
      <c r="B108" s="2">
        <v>366.72</v>
      </c>
      <c r="C108" s="2">
        <v>824</v>
      </c>
      <c r="E108">
        <v>366.72</v>
      </c>
      <c r="F108">
        <v>417.52890000000002</v>
      </c>
      <c r="G108">
        <v>468.33780000000002</v>
      </c>
      <c r="H108">
        <v>519.14670000000001</v>
      </c>
      <c r="I108">
        <v>569.9556</v>
      </c>
      <c r="J108">
        <v>620.76440000000002</v>
      </c>
      <c r="K108">
        <v>671.57330000000002</v>
      </c>
      <c r="L108">
        <v>722.38220000000001</v>
      </c>
      <c r="M108">
        <v>773.19110000000001</v>
      </c>
      <c r="N108">
        <v>824</v>
      </c>
      <c r="O108">
        <v>0.12496549999999999</v>
      </c>
      <c r="P108">
        <v>4.2736619999999998</v>
      </c>
      <c r="Q108">
        <v>58.714120000000001</v>
      </c>
      <c r="R108">
        <v>433.71039999999999</v>
      </c>
      <c r="S108">
        <v>2071.4029999999998</v>
      </c>
      <c r="T108">
        <v>7223.2610000000004</v>
      </c>
      <c r="U108">
        <v>19980.02</v>
      </c>
      <c r="V108">
        <v>46464.15</v>
      </c>
      <c r="W108">
        <v>94744.27</v>
      </c>
      <c r="X108">
        <v>174800</v>
      </c>
      <c r="AA108">
        <f t="shared" si="44"/>
        <v>2.7268760907504363E-3</v>
      </c>
      <c r="AB108">
        <f t="shared" si="45"/>
        <v>2.3950437921782179E-3</v>
      </c>
      <c r="AC108">
        <f t="shared" si="46"/>
        <v>2.1352109524364676E-3</v>
      </c>
      <c r="AD108">
        <f t="shared" si="47"/>
        <v>1.9262378052292348E-3</v>
      </c>
      <c r="AE108">
        <f t="shared" si="48"/>
        <v>1.7545226329910609E-3</v>
      </c>
      <c r="AF108">
        <f t="shared" si="49"/>
        <v>1.6109171208915974E-3</v>
      </c>
      <c r="AG108">
        <f t="shared" si="50"/>
        <v>1.4890407346450491E-3</v>
      </c>
      <c r="AH108">
        <f t="shared" si="51"/>
        <v>1.384308749578824E-3</v>
      </c>
      <c r="AI108">
        <f t="shared" si="52"/>
        <v>1.2933413227337975E-3</v>
      </c>
      <c r="AJ108">
        <f t="shared" si="53"/>
        <v>1.2135922330097086E-3</v>
      </c>
      <c r="AK108">
        <f t="shared" si="54"/>
        <v>-2.0797175797748455</v>
      </c>
      <c r="AL108">
        <f t="shared" si="55"/>
        <v>1.4524710709433521</v>
      </c>
      <c r="AM108">
        <f t="shared" si="56"/>
        <v>4.0726802430525098</v>
      </c>
      <c r="AN108">
        <f t="shared" si="57"/>
        <v>6.0723770302632882</v>
      </c>
      <c r="AO108">
        <f t="shared" si="58"/>
        <v>7.635981434449568</v>
      </c>
      <c r="AP108">
        <f t="shared" si="59"/>
        <v>8.8850617919681323</v>
      </c>
      <c r="AQ108">
        <f t="shared" si="60"/>
        <v>9.9024880532030437</v>
      </c>
      <c r="AR108">
        <f t="shared" si="61"/>
        <v>10.746436326485043</v>
      </c>
      <c r="AS108">
        <f t="shared" si="62"/>
        <v>11.458936646181954</v>
      </c>
      <c r="AT108">
        <f t="shared" si="63"/>
        <v>12.071397742203573</v>
      </c>
      <c r="AU108">
        <f t="shared" si="64"/>
        <v>0.99704814305269807</v>
      </c>
      <c r="AV108">
        <f t="shared" si="65"/>
        <v>10644.499242286594</v>
      </c>
      <c r="AW108">
        <f t="shared" si="66"/>
        <v>10084.210966994788</v>
      </c>
      <c r="AX108">
        <f t="shared" si="67"/>
        <v>9569.1566784307215</v>
      </c>
      <c r="AY108">
        <f t="shared" si="68"/>
        <v>9105.8022643305867</v>
      </c>
      <c r="AZ108">
        <f t="shared" si="69"/>
        <v>8697.9973070492651</v>
      </c>
      <c r="BA108">
        <f t="shared" si="70"/>
        <v>8348.0179595801401</v>
      </c>
      <c r="BB108">
        <f t="shared" si="71"/>
        <v>8058.1712716353677</v>
      </c>
      <c r="BC108">
        <f t="shared" si="72"/>
        <v>7832.4774527341242</v>
      </c>
      <c r="BD108">
        <f t="shared" si="73"/>
        <v>7679.8506182399697</v>
      </c>
      <c r="BE108">
        <f t="shared" si="74"/>
        <v>88498.366700370752</v>
      </c>
      <c r="BF108">
        <f t="shared" si="75"/>
        <v>83840.129979594669</v>
      </c>
      <c r="BG108">
        <f t="shared" si="76"/>
        <v>79557.968624473026</v>
      </c>
      <c r="BH108">
        <f t="shared" si="77"/>
        <v>75705.640025644505</v>
      </c>
      <c r="BI108">
        <f t="shared" si="78"/>
        <v>72315.149610807595</v>
      </c>
      <c r="BJ108">
        <f t="shared" si="79"/>
        <v>69405.421315949279</v>
      </c>
      <c r="BK108">
        <f t="shared" si="80"/>
        <v>66995.63595237644</v>
      </c>
      <c r="BL108">
        <f t="shared" si="81"/>
        <v>65119.217542031511</v>
      </c>
      <c r="BM108">
        <f t="shared" si="82"/>
        <v>63850.278040047109</v>
      </c>
      <c r="BO108" s="2">
        <v>86621.04</v>
      </c>
      <c r="BP108" s="2">
        <v>80776.600000000006</v>
      </c>
      <c r="BQ108" s="2">
        <v>76090.679999999993</v>
      </c>
      <c r="BR108" s="2">
        <v>72201.649999999994</v>
      </c>
      <c r="BS108" s="2">
        <v>68757.960000000006</v>
      </c>
      <c r="BT108" s="2">
        <v>65369.95</v>
      </c>
      <c r="BU108" s="2">
        <v>61541.98</v>
      </c>
      <c r="BV108" s="2">
        <v>56549.98</v>
      </c>
      <c r="BW108" s="2">
        <v>49148.28</v>
      </c>
      <c r="BY108">
        <f t="shared" si="83"/>
        <v>0.94780752167948035</v>
      </c>
    </row>
    <row r="109" spans="1:77" x14ac:dyDescent="0.3">
      <c r="A109" s="1" t="s">
        <v>302</v>
      </c>
      <c r="B109" s="2">
        <v>268.14999999999998</v>
      </c>
      <c r="C109" s="2">
        <v>610.9</v>
      </c>
      <c r="E109">
        <v>268.14999999999998</v>
      </c>
      <c r="F109">
        <v>306.23329999999999</v>
      </c>
      <c r="G109">
        <v>344.31670000000003</v>
      </c>
      <c r="H109">
        <v>382.4</v>
      </c>
      <c r="I109">
        <v>420.48329999999999</v>
      </c>
      <c r="J109">
        <v>458.56670000000003</v>
      </c>
      <c r="K109">
        <v>496.65</v>
      </c>
      <c r="L109">
        <v>534.73329999999999</v>
      </c>
      <c r="M109">
        <v>572.81669999999997</v>
      </c>
      <c r="N109">
        <v>610.9</v>
      </c>
      <c r="O109">
        <v>8.5473199999999999E-2</v>
      </c>
      <c r="P109">
        <v>7.5190390000000003</v>
      </c>
      <c r="Q109">
        <v>188.9419</v>
      </c>
      <c r="R109">
        <v>2033.1020000000001</v>
      </c>
      <c r="S109">
        <v>12091.35</v>
      </c>
      <c r="T109">
        <v>47084.959999999999</v>
      </c>
      <c r="U109">
        <v>135106</v>
      </c>
      <c r="V109">
        <v>311411</v>
      </c>
      <c r="W109">
        <v>616065</v>
      </c>
      <c r="X109">
        <v>1103660</v>
      </c>
      <c r="AA109">
        <f t="shared" si="44"/>
        <v>3.7292560134253219E-3</v>
      </c>
      <c r="AB109">
        <f t="shared" si="45"/>
        <v>3.2654841913012074E-3</v>
      </c>
      <c r="AC109">
        <f t="shared" si="46"/>
        <v>2.904302928089169E-3</v>
      </c>
      <c r="AD109">
        <f t="shared" si="47"/>
        <v>2.6150627615062765E-3</v>
      </c>
      <c r="AE109">
        <f t="shared" si="48"/>
        <v>2.378215734132604E-3</v>
      </c>
      <c r="AF109">
        <f t="shared" si="49"/>
        <v>2.1807078446821368E-3</v>
      </c>
      <c r="AG109">
        <f t="shared" si="50"/>
        <v>2.0134903855834091E-3</v>
      </c>
      <c r="AH109">
        <f t="shared" si="51"/>
        <v>1.8700911276705603E-3</v>
      </c>
      <c r="AI109">
        <f t="shared" si="52"/>
        <v>1.7457591582089001E-3</v>
      </c>
      <c r="AJ109">
        <f t="shared" si="53"/>
        <v>1.6369291209690621E-3</v>
      </c>
      <c r="AK109">
        <f t="shared" si="54"/>
        <v>-2.4595524024676312</v>
      </c>
      <c r="AL109">
        <f t="shared" si="55"/>
        <v>2.017438337242393</v>
      </c>
      <c r="AM109">
        <f t="shared" si="56"/>
        <v>5.2414395603928927</v>
      </c>
      <c r="AN109">
        <f t="shared" si="57"/>
        <v>7.6173179845291363</v>
      </c>
      <c r="AO109">
        <f t="shared" si="58"/>
        <v>9.400245599906059</v>
      </c>
      <c r="AP109">
        <f t="shared" si="59"/>
        <v>10.759708908416352</v>
      </c>
      <c r="AQ109">
        <f t="shared" si="60"/>
        <v>11.813814934509129</v>
      </c>
      <c r="AR109">
        <f t="shared" si="61"/>
        <v>12.648868862099828</v>
      </c>
      <c r="AS109">
        <f t="shared" si="62"/>
        <v>13.331107756429388</v>
      </c>
      <c r="AT109">
        <f t="shared" si="63"/>
        <v>13.914142487371873</v>
      </c>
      <c r="AU109">
        <f t="shared" si="64"/>
        <v>0.9907290492635471</v>
      </c>
      <c r="AV109">
        <f t="shared" si="65"/>
        <v>9653.4341375140593</v>
      </c>
      <c r="AW109">
        <f t="shared" si="66"/>
        <v>8926.2693044455846</v>
      </c>
      <c r="AX109">
        <f t="shared" si="67"/>
        <v>8214.2063884316958</v>
      </c>
      <c r="AY109">
        <f t="shared" si="68"/>
        <v>7527.7601545068419</v>
      </c>
      <c r="AZ109">
        <f t="shared" si="69"/>
        <v>6883.0835684223675</v>
      </c>
      <c r="BA109">
        <f t="shared" si="70"/>
        <v>6303.8036325526091</v>
      </c>
      <c r="BB109">
        <f t="shared" si="71"/>
        <v>5823.27928153021</v>
      </c>
      <c r="BC109">
        <f t="shared" si="72"/>
        <v>5487.2362859171108</v>
      </c>
      <c r="BD109">
        <f t="shared" si="73"/>
        <v>5357.296071282246</v>
      </c>
      <c r="BE109">
        <f t="shared" si="74"/>
        <v>80258.651419291884</v>
      </c>
      <c r="BF109">
        <f t="shared" si="75"/>
        <v>74213.002997160584</v>
      </c>
      <c r="BG109">
        <f t="shared" si="76"/>
        <v>68292.911913421121</v>
      </c>
      <c r="BH109">
        <f t="shared" si="77"/>
        <v>62585.797924569881</v>
      </c>
      <c r="BI109">
        <f t="shared" si="78"/>
        <v>57225.956787863564</v>
      </c>
      <c r="BJ109">
        <f t="shared" si="79"/>
        <v>52409.823401042391</v>
      </c>
      <c r="BK109">
        <f t="shared" si="80"/>
        <v>48414.743946642164</v>
      </c>
      <c r="BL109">
        <f t="shared" si="81"/>
        <v>45620.882481114859</v>
      </c>
      <c r="BM109">
        <f t="shared" si="82"/>
        <v>44540.559536640591</v>
      </c>
      <c r="BO109" s="2">
        <v>82410.94</v>
      </c>
      <c r="BP109" s="2">
        <v>77381.179999999993</v>
      </c>
      <c r="BQ109" s="2">
        <v>71613.38</v>
      </c>
      <c r="BR109" s="2">
        <v>65426.6</v>
      </c>
      <c r="BS109" s="2">
        <v>59103.34</v>
      </c>
      <c r="BT109" s="2">
        <v>52870.720000000001</v>
      </c>
      <c r="BU109" s="2">
        <v>46885.7</v>
      </c>
      <c r="BV109" s="2">
        <v>41215.96</v>
      </c>
      <c r="BW109" s="2">
        <v>35791.449999999997</v>
      </c>
      <c r="BY109">
        <f t="shared" si="83"/>
        <v>0.97483111020211644</v>
      </c>
    </row>
    <row r="110" spans="1:77" x14ac:dyDescent="0.3">
      <c r="A110" s="1" t="s">
        <v>305</v>
      </c>
      <c r="B110" s="2">
        <v>288.45</v>
      </c>
      <c r="C110" s="2">
        <v>643.9</v>
      </c>
      <c r="E110">
        <v>288.45</v>
      </c>
      <c r="F110">
        <v>327.94439999999997</v>
      </c>
      <c r="G110">
        <v>367.43889999999999</v>
      </c>
      <c r="H110">
        <v>406.93329999999997</v>
      </c>
      <c r="I110">
        <v>446.42779999999999</v>
      </c>
      <c r="J110">
        <v>485.92219999999998</v>
      </c>
      <c r="K110">
        <v>525.41669999999999</v>
      </c>
      <c r="L110">
        <v>564.91110000000003</v>
      </c>
      <c r="M110">
        <v>604.40560000000005</v>
      </c>
      <c r="N110">
        <v>643.9</v>
      </c>
      <c r="O110">
        <v>0.12555430000000001</v>
      </c>
      <c r="P110">
        <v>9.3725830000000006</v>
      </c>
      <c r="Q110">
        <v>209.38740000000001</v>
      </c>
      <c r="R110">
        <v>2056.4929999999999</v>
      </c>
      <c r="S110">
        <v>11357.21</v>
      </c>
      <c r="T110">
        <v>41635.56</v>
      </c>
      <c r="U110">
        <v>113974</v>
      </c>
      <c r="V110">
        <v>254345</v>
      </c>
      <c r="W110">
        <v>495858</v>
      </c>
      <c r="X110">
        <v>894718</v>
      </c>
      <c r="AA110">
        <f t="shared" si="44"/>
        <v>3.4668053388802219E-3</v>
      </c>
      <c r="AB110">
        <f t="shared" si="45"/>
        <v>3.049297380897494E-3</v>
      </c>
      <c r="AC110">
        <f t="shared" si="46"/>
        <v>2.7215409146935723E-3</v>
      </c>
      <c r="AD110">
        <f t="shared" si="47"/>
        <v>2.4574051816354183E-3</v>
      </c>
      <c r="AE110">
        <f t="shared" si="48"/>
        <v>2.2400038707266886E-3</v>
      </c>
      <c r="AF110">
        <f t="shared" si="49"/>
        <v>2.0579426089196995E-3</v>
      </c>
      <c r="AG110">
        <f t="shared" si="50"/>
        <v>1.9032512670419499E-3</v>
      </c>
      <c r="AH110">
        <f t="shared" si="51"/>
        <v>1.7701900352108499E-3</v>
      </c>
      <c r="AI110">
        <f t="shared" si="52"/>
        <v>1.6545180918244304E-3</v>
      </c>
      <c r="AJ110">
        <f t="shared" si="53"/>
        <v>1.553036185743128E-3</v>
      </c>
      <c r="AK110">
        <f t="shared" si="54"/>
        <v>-2.0750169446619706</v>
      </c>
      <c r="AL110">
        <f t="shared" si="55"/>
        <v>2.2377887252835706</v>
      </c>
      <c r="AM110">
        <f t="shared" si="56"/>
        <v>5.3441861247062628</v>
      </c>
      <c r="AN110">
        <f t="shared" si="57"/>
        <v>7.6287573838232072</v>
      </c>
      <c r="AO110">
        <f t="shared" si="58"/>
        <v>9.337608063519319</v>
      </c>
      <c r="AP110">
        <f t="shared" si="59"/>
        <v>10.636709888801635</v>
      </c>
      <c r="AQ110">
        <f t="shared" si="60"/>
        <v>11.643725631189236</v>
      </c>
      <c r="AR110">
        <f t="shared" si="61"/>
        <v>12.446446892106049</v>
      </c>
      <c r="AS110">
        <f t="shared" si="62"/>
        <v>13.114044874395587</v>
      </c>
      <c r="AT110">
        <f t="shared" si="63"/>
        <v>13.70426386380878</v>
      </c>
      <c r="AU110">
        <f t="shared" si="64"/>
        <v>0.98963129520681425</v>
      </c>
      <c r="AV110">
        <f t="shared" si="65"/>
        <v>10329.876562793468</v>
      </c>
      <c r="AW110">
        <f t="shared" si="66"/>
        <v>9477.7608368829933</v>
      </c>
      <c r="AX110">
        <f t="shared" si="67"/>
        <v>8649.2320924028718</v>
      </c>
      <c r="AY110">
        <f t="shared" si="68"/>
        <v>7860.3513132150765</v>
      </c>
      <c r="AZ110">
        <f t="shared" si="69"/>
        <v>7135.5202770128471</v>
      </c>
      <c r="BA110">
        <f t="shared" si="70"/>
        <v>6509.8390780230702</v>
      </c>
      <c r="BB110">
        <f t="shared" si="71"/>
        <v>6032.7207998174881</v>
      </c>
      <c r="BC110">
        <f t="shared" si="72"/>
        <v>5771.4771857798423</v>
      </c>
      <c r="BD110">
        <f t="shared" si="73"/>
        <v>5816.0022037853505</v>
      </c>
      <c r="BE110">
        <f t="shared" si="74"/>
        <v>85882.593743064892</v>
      </c>
      <c r="BF110">
        <f t="shared" si="75"/>
        <v>78798.103597845213</v>
      </c>
      <c r="BG110">
        <f t="shared" si="76"/>
        <v>71909.715616237474</v>
      </c>
      <c r="BH110">
        <f t="shared" si="77"/>
        <v>65350.960818070147</v>
      </c>
      <c r="BI110">
        <f t="shared" si="78"/>
        <v>59324.715583084813</v>
      </c>
      <c r="BJ110">
        <f t="shared" si="79"/>
        <v>54122.802094683808</v>
      </c>
      <c r="BK110">
        <f t="shared" si="80"/>
        <v>50156.040729682594</v>
      </c>
      <c r="BL110">
        <f t="shared" si="81"/>
        <v>47984.061322573609</v>
      </c>
      <c r="BM110">
        <f t="shared" si="82"/>
        <v>48354.242322271406</v>
      </c>
      <c r="BO110" s="2">
        <v>89006.54</v>
      </c>
      <c r="BP110" s="2">
        <v>82467.92</v>
      </c>
      <c r="BQ110" s="2">
        <v>75425.899999999994</v>
      </c>
      <c r="BR110" s="2">
        <v>68259.31</v>
      </c>
      <c r="BS110" s="2">
        <v>61280.74</v>
      </c>
      <c r="BT110" s="2">
        <v>54725.22</v>
      </c>
      <c r="BU110" s="2">
        <v>48745.919999999998</v>
      </c>
      <c r="BV110" s="2">
        <v>43407.17</v>
      </c>
      <c r="BW110" s="2">
        <v>38646.94</v>
      </c>
      <c r="BY110">
        <f t="shared" si="83"/>
        <v>0.97170290608821819</v>
      </c>
    </row>
    <row r="111" spans="1:77" x14ac:dyDescent="0.3">
      <c r="A111" s="1" t="s">
        <v>308</v>
      </c>
      <c r="B111" s="2">
        <v>310.64999999999998</v>
      </c>
      <c r="C111" s="2">
        <v>685.3</v>
      </c>
      <c r="E111">
        <v>310.64999999999998</v>
      </c>
      <c r="F111">
        <v>352.27780000000001</v>
      </c>
      <c r="G111">
        <v>393.90559999999999</v>
      </c>
      <c r="H111">
        <v>435.5333</v>
      </c>
      <c r="I111">
        <v>477.16109999999998</v>
      </c>
      <c r="J111">
        <v>518.78890000000001</v>
      </c>
      <c r="K111">
        <v>560.41669999999999</v>
      </c>
      <c r="L111">
        <v>602.0444</v>
      </c>
      <c r="M111">
        <v>643.67219999999998</v>
      </c>
      <c r="N111">
        <v>685.3</v>
      </c>
      <c r="O111">
        <v>9.1954999999999995E-2</v>
      </c>
      <c r="P111">
        <v>6.4613480000000001</v>
      </c>
      <c r="Q111">
        <v>142.03280000000001</v>
      </c>
      <c r="R111">
        <v>1406.1590000000001</v>
      </c>
      <c r="S111">
        <v>7932.1059999999998</v>
      </c>
      <c r="T111">
        <v>29908</v>
      </c>
      <c r="U111">
        <v>84458.46</v>
      </c>
      <c r="V111">
        <v>194516</v>
      </c>
      <c r="W111">
        <v>390774</v>
      </c>
      <c r="X111">
        <v>724319</v>
      </c>
      <c r="AA111">
        <f t="shared" si="44"/>
        <v>3.2190568163528088E-3</v>
      </c>
      <c r="AB111">
        <f t="shared" si="45"/>
        <v>2.8386688005886261E-3</v>
      </c>
      <c r="AC111">
        <f t="shared" si="46"/>
        <v>2.5386793180904258E-3</v>
      </c>
      <c r="AD111">
        <f t="shared" si="47"/>
        <v>2.2960356877419017E-3</v>
      </c>
      <c r="AE111">
        <f t="shared" si="48"/>
        <v>2.0957282561382311E-3</v>
      </c>
      <c r="AF111">
        <f t="shared" si="49"/>
        <v>1.9275662991247498E-3</v>
      </c>
      <c r="AG111">
        <f t="shared" si="50"/>
        <v>1.7843865109658582E-3</v>
      </c>
      <c r="AH111">
        <f t="shared" si="51"/>
        <v>1.6610070619376245E-3</v>
      </c>
      <c r="AI111">
        <f t="shared" si="52"/>
        <v>1.5535858158857879E-3</v>
      </c>
      <c r="AJ111">
        <f t="shared" si="53"/>
        <v>1.4592149423610099E-3</v>
      </c>
      <c r="AK111">
        <f t="shared" si="54"/>
        <v>-2.3864559520311928</v>
      </c>
      <c r="AL111">
        <f t="shared" si="55"/>
        <v>1.8658379647568692</v>
      </c>
      <c r="AM111">
        <f t="shared" si="56"/>
        <v>4.9560580168436141</v>
      </c>
      <c r="AN111">
        <f t="shared" si="57"/>
        <v>7.248617152747765</v>
      </c>
      <c r="AO111">
        <f t="shared" si="58"/>
        <v>8.9786738531409132</v>
      </c>
      <c r="AP111">
        <f t="shared" si="59"/>
        <v>10.305881282119806</v>
      </c>
      <c r="AQ111">
        <f t="shared" si="60"/>
        <v>11.344015094838397</v>
      </c>
      <c r="AR111">
        <f t="shared" si="61"/>
        <v>12.178269700868086</v>
      </c>
      <c r="AS111">
        <f t="shared" si="62"/>
        <v>12.87588466674306</v>
      </c>
      <c r="AT111">
        <f t="shared" si="63"/>
        <v>13.492987182063574</v>
      </c>
      <c r="AU111">
        <f t="shared" si="64"/>
        <v>0.99085612027218384</v>
      </c>
      <c r="AV111">
        <f t="shared" si="65"/>
        <v>11178.832509340209</v>
      </c>
      <c r="AW111">
        <f t="shared" si="66"/>
        <v>10301.094646227419</v>
      </c>
      <c r="AX111">
        <f t="shared" si="67"/>
        <v>9448.2559983594274</v>
      </c>
      <c r="AY111">
        <f t="shared" si="68"/>
        <v>8637.0070573130197</v>
      </c>
      <c r="AZ111">
        <f t="shared" si="69"/>
        <v>7892.4356765929697</v>
      </c>
      <c r="BA111">
        <f t="shared" si="70"/>
        <v>7250.5611725485824</v>
      </c>
      <c r="BB111">
        <f t="shared" si="71"/>
        <v>6761.6982617484409</v>
      </c>
      <c r="BC111">
        <f t="shared" si="72"/>
        <v>6494.1991599905414</v>
      </c>
      <c r="BD111">
        <f t="shared" si="73"/>
        <v>6539.1205175025534</v>
      </c>
      <c r="BE111">
        <f t="shared" si="74"/>
        <v>92940.813482654499</v>
      </c>
      <c r="BF111">
        <f t="shared" si="75"/>
        <v>85643.300888734753</v>
      </c>
      <c r="BG111">
        <f t="shared" si="76"/>
        <v>78552.800370360274</v>
      </c>
      <c r="BH111">
        <f t="shared" si="77"/>
        <v>71808.076674500451</v>
      </c>
      <c r="BI111">
        <f t="shared" si="78"/>
        <v>65617.710215193947</v>
      </c>
      <c r="BJ111">
        <f t="shared" si="79"/>
        <v>60281.165588568911</v>
      </c>
      <c r="BK111">
        <f t="shared" si="80"/>
        <v>56216.759348176536</v>
      </c>
      <c r="BL111">
        <f t="shared" si="81"/>
        <v>53992.771816161359</v>
      </c>
      <c r="BM111">
        <f t="shared" si="82"/>
        <v>54366.24798251623</v>
      </c>
      <c r="BO111" s="2">
        <v>96195.97</v>
      </c>
      <c r="BP111" s="2">
        <v>89363.08</v>
      </c>
      <c r="BQ111" s="2">
        <v>82132.5</v>
      </c>
      <c r="BR111" s="2">
        <v>74823.350000000006</v>
      </c>
      <c r="BS111" s="2">
        <v>67697.539999999994</v>
      </c>
      <c r="BT111" s="2">
        <v>60950.17</v>
      </c>
      <c r="BU111" s="2">
        <v>54701.75</v>
      </c>
      <c r="BV111" s="2">
        <v>48980.83</v>
      </c>
      <c r="BW111" s="2">
        <v>43660.21</v>
      </c>
      <c r="BY111">
        <f t="shared" si="83"/>
        <v>0.96818318339718556</v>
      </c>
    </row>
    <row r="112" spans="1:77" x14ac:dyDescent="0.3">
      <c r="A112" s="1" t="s">
        <v>311</v>
      </c>
      <c r="B112" s="2">
        <v>300</v>
      </c>
      <c r="C112" s="2">
        <v>805.5</v>
      </c>
      <c r="E112">
        <v>300</v>
      </c>
      <c r="F112">
        <v>356.16669999999999</v>
      </c>
      <c r="G112">
        <v>412.33330000000001</v>
      </c>
      <c r="H112">
        <v>468.5</v>
      </c>
      <c r="I112">
        <v>524.66669999999999</v>
      </c>
      <c r="J112">
        <v>580.83330000000001</v>
      </c>
      <c r="K112">
        <v>637</v>
      </c>
      <c r="L112">
        <v>693.16669999999999</v>
      </c>
      <c r="M112">
        <v>749.33330000000001</v>
      </c>
      <c r="N112">
        <v>805.5</v>
      </c>
      <c r="O112" s="13">
        <v>3.9348299999999997E-5</v>
      </c>
      <c r="P112">
        <v>3.8897599999999997E-2</v>
      </c>
      <c r="Q112">
        <v>4.1131130000000002</v>
      </c>
      <c r="R112">
        <v>110.3308</v>
      </c>
      <c r="S112">
        <v>1219.876</v>
      </c>
      <c r="T112">
        <v>7440.1540000000005</v>
      </c>
      <c r="U112">
        <v>30095.18</v>
      </c>
      <c r="V112">
        <v>91197.48</v>
      </c>
      <c r="W112">
        <v>225320</v>
      </c>
      <c r="X112">
        <v>483578</v>
      </c>
      <c r="AA112">
        <f t="shared" si="44"/>
        <v>3.3333333333333335E-3</v>
      </c>
      <c r="AB112">
        <f t="shared" si="45"/>
        <v>2.8076740470122557E-3</v>
      </c>
      <c r="AC112">
        <f t="shared" si="46"/>
        <v>2.425222508102062E-3</v>
      </c>
      <c r="AD112">
        <f t="shared" si="47"/>
        <v>2.1344717182497333E-3</v>
      </c>
      <c r="AE112">
        <f t="shared" si="48"/>
        <v>1.9059719246523556E-3</v>
      </c>
      <c r="AF112">
        <f t="shared" si="49"/>
        <v>1.7216643742705524E-3</v>
      </c>
      <c r="AG112">
        <f t="shared" si="50"/>
        <v>1.5698587127158557E-3</v>
      </c>
      <c r="AH112">
        <f t="shared" si="51"/>
        <v>1.4426544148759598E-3</v>
      </c>
      <c r="AI112">
        <f t="shared" si="52"/>
        <v>1.334519632318489E-3</v>
      </c>
      <c r="AJ112">
        <f t="shared" si="53"/>
        <v>1.2414649286157666E-3</v>
      </c>
      <c r="AK112">
        <f t="shared" si="54"/>
        <v>-10.143057786067134</v>
      </c>
      <c r="AL112">
        <f t="shared" si="55"/>
        <v>-3.2468227269191514</v>
      </c>
      <c r="AM112">
        <f t="shared" si="56"/>
        <v>1.4141801627342474</v>
      </c>
      <c r="AN112">
        <f t="shared" si="57"/>
        <v>4.7034831257202763</v>
      </c>
      <c r="AO112">
        <f t="shared" si="58"/>
        <v>7.106504493217412</v>
      </c>
      <c r="AP112">
        <f t="shared" si="59"/>
        <v>8.9146468265376484</v>
      </c>
      <c r="AQ112">
        <f t="shared" si="60"/>
        <v>10.312120305023962</v>
      </c>
      <c r="AR112">
        <f t="shared" si="61"/>
        <v>11.420782544101716</v>
      </c>
      <c r="AS112">
        <f t="shared" si="62"/>
        <v>12.325276893008651</v>
      </c>
      <c r="AT112">
        <f t="shared" si="63"/>
        <v>13.08896790454571</v>
      </c>
      <c r="AU112">
        <f t="shared" si="64"/>
        <v>0.99397044369566889</v>
      </c>
      <c r="AV112">
        <f t="shared" si="65"/>
        <v>13119.210938729035</v>
      </c>
      <c r="AW112">
        <f t="shared" si="66"/>
        <v>12187.172531544931</v>
      </c>
      <c r="AX112">
        <f t="shared" si="67"/>
        <v>11313.135089526855</v>
      </c>
      <c r="AY112">
        <f t="shared" si="68"/>
        <v>10516.51439008001</v>
      </c>
      <c r="AZ112">
        <f t="shared" si="69"/>
        <v>9810.4626184579574</v>
      </c>
      <c r="BA112">
        <f t="shared" si="70"/>
        <v>9205.6743086804636</v>
      </c>
      <c r="BB112">
        <f t="shared" si="71"/>
        <v>8715.6036227105942</v>
      </c>
      <c r="BC112">
        <f t="shared" si="72"/>
        <v>8364.5088797050084</v>
      </c>
      <c r="BD112">
        <f t="shared" si="73"/>
        <v>8206.9039086598787</v>
      </c>
      <c r="BE112">
        <f t="shared" si="74"/>
        <v>109073.11974459319</v>
      </c>
      <c r="BF112">
        <f t="shared" si="75"/>
        <v>101324.15242726456</v>
      </c>
      <c r="BG112">
        <f t="shared" si="76"/>
        <v>94057.405134326269</v>
      </c>
      <c r="BH112">
        <f t="shared" si="77"/>
        <v>87434.300639125213</v>
      </c>
      <c r="BI112">
        <f t="shared" si="78"/>
        <v>81564.186209859457</v>
      </c>
      <c r="BJ112">
        <f t="shared" si="79"/>
        <v>76535.976202369377</v>
      </c>
      <c r="BK112">
        <f t="shared" si="80"/>
        <v>72461.528519215877</v>
      </c>
      <c r="BL112">
        <f t="shared" si="81"/>
        <v>69542.526825867448</v>
      </c>
      <c r="BM112">
        <f t="shared" si="82"/>
        <v>68232.199096598226</v>
      </c>
      <c r="BO112" s="2">
        <v>112757</v>
      </c>
      <c r="BP112" s="2">
        <v>104609</v>
      </c>
      <c r="BQ112" s="2">
        <v>97318.6</v>
      </c>
      <c r="BR112" s="2">
        <v>90602.96</v>
      </c>
      <c r="BS112" s="2">
        <v>84176.52</v>
      </c>
      <c r="BT112" s="2">
        <v>77722.31</v>
      </c>
      <c r="BU112" s="2">
        <v>70847.33</v>
      </c>
      <c r="BV112" s="2">
        <v>62995.1</v>
      </c>
      <c r="BW112" s="2">
        <v>53226.98</v>
      </c>
      <c r="BY112">
        <f t="shared" si="83"/>
        <v>0.94999115456821837</v>
      </c>
    </row>
    <row r="113" spans="1:77" x14ac:dyDescent="0.3">
      <c r="A113" s="1" t="s">
        <v>314</v>
      </c>
      <c r="B113" s="2">
        <v>300</v>
      </c>
      <c r="C113" s="2">
        <v>796</v>
      </c>
      <c r="E113">
        <v>300</v>
      </c>
      <c r="F113">
        <v>355.11110000000002</v>
      </c>
      <c r="G113">
        <v>410.22219999999999</v>
      </c>
      <c r="H113">
        <v>465.33330000000001</v>
      </c>
      <c r="I113">
        <v>520.44439999999997</v>
      </c>
      <c r="J113">
        <v>575.55560000000003</v>
      </c>
      <c r="K113">
        <v>630.66669999999999</v>
      </c>
      <c r="L113">
        <v>685.77779999999996</v>
      </c>
      <c r="M113">
        <v>740.88890000000004</v>
      </c>
      <c r="N113">
        <v>796</v>
      </c>
      <c r="O113" s="13">
        <v>2.7279699999999998E-7</v>
      </c>
      <c r="P113">
        <v>1.1786500000000001E-3</v>
      </c>
      <c r="Q113">
        <v>0.342059</v>
      </c>
      <c r="R113">
        <v>18.60671</v>
      </c>
      <c r="S113">
        <v>340.01339999999999</v>
      </c>
      <c r="T113">
        <v>2974.241</v>
      </c>
      <c r="U113">
        <v>15619.2</v>
      </c>
      <c r="V113">
        <v>57313.02</v>
      </c>
      <c r="W113">
        <v>163557</v>
      </c>
      <c r="X113">
        <v>393963</v>
      </c>
      <c r="AA113">
        <f t="shared" si="44"/>
        <v>3.3333333333333335E-3</v>
      </c>
      <c r="AB113">
        <f t="shared" si="45"/>
        <v>2.8160201131420559E-3</v>
      </c>
      <c r="AC113">
        <f t="shared" si="46"/>
        <v>2.4377032739817594E-3</v>
      </c>
      <c r="AD113">
        <f t="shared" si="47"/>
        <v>2.1489972886101208E-3</v>
      </c>
      <c r="AE113">
        <f t="shared" si="48"/>
        <v>1.9214348353061347E-3</v>
      </c>
      <c r="AF113">
        <f t="shared" si="49"/>
        <v>1.7374516032855904E-3</v>
      </c>
      <c r="AG113">
        <f t="shared" si="50"/>
        <v>1.5856235948401905E-3</v>
      </c>
      <c r="AH113">
        <f t="shared" si="51"/>
        <v>1.4581982677187859E-3</v>
      </c>
      <c r="AI113">
        <f t="shared" si="52"/>
        <v>1.3497300337473E-3</v>
      </c>
      <c r="AJ113">
        <f t="shared" si="53"/>
        <v>1.2562814070351759E-3</v>
      </c>
      <c r="AK113">
        <f t="shared" si="54"/>
        <v>-15.114537908105021</v>
      </c>
      <c r="AL113">
        <f t="shared" si="55"/>
        <v>-6.7433855632463171</v>
      </c>
      <c r="AM113">
        <f t="shared" si="56"/>
        <v>-1.0727720421785847</v>
      </c>
      <c r="AN113">
        <f t="shared" si="57"/>
        <v>2.9235222683517219</v>
      </c>
      <c r="AO113">
        <f t="shared" si="58"/>
        <v>5.8289850285982894</v>
      </c>
      <c r="AP113">
        <f t="shared" si="59"/>
        <v>7.9977441593791232</v>
      </c>
      <c r="AQ113">
        <f t="shared" si="60"/>
        <v>9.6562562056928289</v>
      </c>
      <c r="AR113">
        <f t="shared" si="61"/>
        <v>10.956283102022001</v>
      </c>
      <c r="AS113">
        <f t="shared" si="62"/>
        <v>12.00491683241748</v>
      </c>
      <c r="AT113">
        <f t="shared" si="63"/>
        <v>12.884012275240938</v>
      </c>
      <c r="AU113">
        <f t="shared" si="64"/>
        <v>0.99244566597513828</v>
      </c>
      <c r="AV113">
        <f t="shared" si="65"/>
        <v>16181.980313133023</v>
      </c>
      <c r="AW113">
        <f t="shared" si="66"/>
        <v>14989.05925957221</v>
      </c>
      <c r="AX113">
        <f t="shared" si="67"/>
        <v>13842.090268360911</v>
      </c>
      <c r="AY113">
        <f t="shared" si="68"/>
        <v>12767.759874540227</v>
      </c>
      <c r="AZ113">
        <f t="shared" si="69"/>
        <v>11787.808633227305</v>
      </c>
      <c r="BA113">
        <f t="shared" si="70"/>
        <v>10923.62379837273</v>
      </c>
      <c r="BB113">
        <f t="shared" si="71"/>
        <v>10202.264539533568</v>
      </c>
      <c r="BC113">
        <f t="shared" si="72"/>
        <v>9667.6574514077984</v>
      </c>
      <c r="BD113">
        <f t="shared" si="73"/>
        <v>9407.2590871942957</v>
      </c>
      <c r="BE113">
        <f t="shared" si="74"/>
        <v>134536.98432338797</v>
      </c>
      <c r="BF113">
        <f t="shared" si="75"/>
        <v>124619.03868408335</v>
      </c>
      <c r="BG113">
        <f t="shared" si="76"/>
        <v>115083.13849115261</v>
      </c>
      <c r="BH113">
        <f t="shared" si="77"/>
        <v>106151.15559692745</v>
      </c>
      <c r="BI113">
        <f t="shared" si="78"/>
        <v>98003.840976651816</v>
      </c>
      <c r="BJ113">
        <f t="shared" si="79"/>
        <v>90819.008259670882</v>
      </c>
      <c r="BK113">
        <f t="shared" si="80"/>
        <v>84821.627381682076</v>
      </c>
      <c r="BL113">
        <f t="shared" si="81"/>
        <v>80376.904051004443</v>
      </c>
      <c r="BM113">
        <f t="shared" si="82"/>
        <v>78211.952050933382</v>
      </c>
      <c r="BO113" s="2">
        <v>139225</v>
      </c>
      <c r="BP113" s="2">
        <v>128767</v>
      </c>
      <c r="BQ113" s="2">
        <v>119292</v>
      </c>
      <c r="BR113" s="2">
        <v>110501</v>
      </c>
      <c r="BS113" s="2">
        <v>102090</v>
      </c>
      <c r="BT113" s="2">
        <v>93718.16</v>
      </c>
      <c r="BU113" s="2">
        <v>84956.49</v>
      </c>
      <c r="BV113" s="2">
        <v>75187.990000000005</v>
      </c>
      <c r="BW113" s="2">
        <v>63348.3</v>
      </c>
      <c r="BY113">
        <f t="shared" si="83"/>
        <v>0.96467647586192362</v>
      </c>
    </row>
    <row r="114" spans="1:77" x14ac:dyDescent="0.3">
      <c r="A114" s="1" t="s">
        <v>317</v>
      </c>
      <c r="B114" s="2">
        <v>300</v>
      </c>
      <c r="C114" s="2">
        <v>809</v>
      </c>
      <c r="E114">
        <v>300</v>
      </c>
      <c r="F114">
        <v>356.55560000000003</v>
      </c>
      <c r="G114">
        <v>413.11110000000002</v>
      </c>
      <c r="H114">
        <v>469.66669999999999</v>
      </c>
      <c r="I114">
        <v>526.22220000000004</v>
      </c>
      <c r="J114">
        <v>582.77779999999996</v>
      </c>
      <c r="K114">
        <v>639.33330000000001</v>
      </c>
      <c r="L114">
        <v>695.88890000000004</v>
      </c>
      <c r="M114">
        <v>752.44439999999997</v>
      </c>
      <c r="N114">
        <v>809</v>
      </c>
      <c r="O114" s="13">
        <v>1.4870700000000001E-7</v>
      </c>
      <c r="P114">
        <v>8.4339799999999998E-4</v>
      </c>
      <c r="Q114">
        <v>0.28175489999999997</v>
      </c>
      <c r="R114">
        <v>16.533719999999999</v>
      </c>
      <c r="S114">
        <v>315.01569999999998</v>
      </c>
      <c r="T114">
        <v>2820.152</v>
      </c>
      <c r="U114">
        <v>15000.28</v>
      </c>
      <c r="V114">
        <v>55422.36</v>
      </c>
      <c r="W114">
        <v>158731</v>
      </c>
      <c r="X114">
        <v>383075</v>
      </c>
      <c r="AA114">
        <f t="shared" si="44"/>
        <v>3.3333333333333335E-3</v>
      </c>
      <c r="AB114">
        <f t="shared" si="45"/>
        <v>2.8046116790761385E-3</v>
      </c>
      <c r="AC114">
        <f t="shared" si="46"/>
        <v>2.4206563319165231E-3</v>
      </c>
      <c r="AD114">
        <f t="shared" si="47"/>
        <v>2.1291694727346008E-3</v>
      </c>
      <c r="AE114">
        <f t="shared" si="48"/>
        <v>1.9003379180885943E-3</v>
      </c>
      <c r="AF114">
        <f t="shared" si="49"/>
        <v>1.7159198583062019E-3</v>
      </c>
      <c r="AG114">
        <f t="shared" si="50"/>
        <v>1.5641293829055988E-3</v>
      </c>
      <c r="AH114">
        <f t="shared" si="51"/>
        <v>1.4370109941400128E-3</v>
      </c>
      <c r="AI114">
        <f t="shared" si="52"/>
        <v>1.3290018505021767E-3</v>
      </c>
      <c r="AJ114">
        <f t="shared" si="53"/>
        <v>1.2360939431396785E-3</v>
      </c>
      <c r="AK114">
        <f t="shared" si="54"/>
        <v>-15.721287909941339</v>
      </c>
      <c r="AL114">
        <f t="shared" si="55"/>
        <v>-7.0780715880086698</v>
      </c>
      <c r="AM114">
        <f t="shared" si="56"/>
        <v>-1.2667177349091305</v>
      </c>
      <c r="AN114">
        <f t="shared" si="57"/>
        <v>2.8054019318860726</v>
      </c>
      <c r="AO114">
        <f t="shared" si="58"/>
        <v>5.7526224788534392</v>
      </c>
      <c r="AP114">
        <f t="shared" si="59"/>
        <v>7.9445460631887883</v>
      </c>
      <c r="AQ114">
        <f t="shared" si="60"/>
        <v>9.6158241465767933</v>
      </c>
      <c r="AR114">
        <f t="shared" si="61"/>
        <v>10.922738401415028</v>
      </c>
      <c r="AS114">
        <f t="shared" si="62"/>
        <v>11.974966224552743</v>
      </c>
      <c r="AT114">
        <f t="shared" si="63"/>
        <v>12.855986071446377</v>
      </c>
      <c r="AU114">
        <f t="shared" si="64"/>
        <v>0.99240276874073996</v>
      </c>
      <c r="AV114">
        <f t="shared" si="65"/>
        <v>16347.384776732073</v>
      </c>
      <c r="AW114">
        <f t="shared" si="66"/>
        <v>15135.493999732427</v>
      </c>
      <c r="AX114">
        <f t="shared" si="67"/>
        <v>13970.165510115563</v>
      </c>
      <c r="AY114">
        <f t="shared" si="68"/>
        <v>12879.432434598461</v>
      </c>
      <c r="AZ114">
        <f t="shared" si="69"/>
        <v>11885.623278553909</v>
      </c>
      <c r="BA114">
        <f t="shared" si="70"/>
        <v>11010.427887370357</v>
      </c>
      <c r="BB114">
        <f t="shared" si="71"/>
        <v>10281.079453014969</v>
      </c>
      <c r="BC114">
        <f t="shared" si="72"/>
        <v>9742.0254220876432</v>
      </c>
      <c r="BD114">
        <f t="shared" si="73"/>
        <v>9482.7218899266009</v>
      </c>
      <c r="BE114">
        <f t="shared" si="74"/>
        <v>135912.15703375047</v>
      </c>
      <c r="BF114">
        <f t="shared" si="75"/>
        <v>125836.4971137754</v>
      </c>
      <c r="BG114">
        <f t="shared" si="76"/>
        <v>116147.95605110079</v>
      </c>
      <c r="BH114">
        <f t="shared" si="77"/>
        <v>107079.60126125161</v>
      </c>
      <c r="BI114">
        <f t="shared" si="78"/>
        <v>98817.071937897199</v>
      </c>
      <c r="BJ114">
        <f t="shared" si="79"/>
        <v>91540.697455597154</v>
      </c>
      <c r="BK114">
        <f t="shared" si="80"/>
        <v>85476.894572366451</v>
      </c>
      <c r="BL114">
        <f t="shared" si="81"/>
        <v>80995.199359236663</v>
      </c>
      <c r="BM114">
        <f t="shared" si="82"/>
        <v>78839.349792849767</v>
      </c>
      <c r="BO114" s="2">
        <v>141056</v>
      </c>
      <c r="BP114" s="2">
        <v>130137</v>
      </c>
      <c r="BQ114" s="2">
        <v>120380</v>
      </c>
      <c r="BR114" s="2">
        <v>111425</v>
      </c>
      <c r="BS114" s="2">
        <v>102913</v>
      </c>
      <c r="BT114" s="2">
        <v>94450.5</v>
      </c>
      <c r="BU114" s="2">
        <v>85556.41</v>
      </c>
      <c r="BV114" s="2">
        <v>75553.05</v>
      </c>
      <c r="BW114" s="2">
        <v>63300.74</v>
      </c>
      <c r="BY114">
        <f t="shared" si="83"/>
        <v>0.96405601419710329</v>
      </c>
    </row>
    <row r="115" spans="1:77" x14ac:dyDescent="0.3">
      <c r="A115" s="1" t="s">
        <v>320</v>
      </c>
      <c r="B115" s="2">
        <v>353.1</v>
      </c>
      <c r="C115" s="2">
        <v>821</v>
      </c>
      <c r="E115" s="2">
        <v>353.1</v>
      </c>
      <c r="F115">
        <v>405.08890000000002</v>
      </c>
      <c r="G115">
        <v>457.07780000000002</v>
      </c>
      <c r="H115">
        <v>509.06670000000003</v>
      </c>
      <c r="I115">
        <v>561.05560000000003</v>
      </c>
      <c r="J115">
        <v>613.0444</v>
      </c>
      <c r="K115">
        <v>665.03330000000005</v>
      </c>
      <c r="L115">
        <v>717.0222</v>
      </c>
      <c r="M115">
        <v>769.01110000000006</v>
      </c>
      <c r="N115">
        <v>821</v>
      </c>
      <c r="O115">
        <v>9.1615399999999997E-4</v>
      </c>
      <c r="P115">
        <v>0.18803929999999999</v>
      </c>
      <c r="Q115">
        <v>8.6705760000000005</v>
      </c>
      <c r="R115">
        <v>147.99680000000001</v>
      </c>
      <c r="S115">
        <v>1274.172</v>
      </c>
      <c r="T115">
        <v>6764.009</v>
      </c>
      <c r="U115">
        <v>25357.99</v>
      </c>
      <c r="V115">
        <v>73848.42</v>
      </c>
      <c r="W115">
        <v>179187</v>
      </c>
      <c r="X115">
        <v>382940</v>
      </c>
      <c r="AA115">
        <f t="shared" si="44"/>
        <v>2.8320589068252617E-3</v>
      </c>
      <c r="AB115">
        <f t="shared" si="45"/>
        <v>2.468593930863077E-3</v>
      </c>
      <c r="AC115">
        <f t="shared" si="46"/>
        <v>2.1878113529031598E-3</v>
      </c>
      <c r="AD115">
        <f t="shared" si="47"/>
        <v>1.9643791275288677E-3</v>
      </c>
      <c r="AE115">
        <f t="shared" si="48"/>
        <v>1.7823545473924509E-3</v>
      </c>
      <c r="AF115">
        <f t="shared" si="49"/>
        <v>1.6312032211696248E-3</v>
      </c>
      <c r="AG115">
        <f t="shared" si="50"/>
        <v>1.5036841012322239E-3</v>
      </c>
      <c r="AH115">
        <f t="shared" si="51"/>
        <v>1.3946569576227905E-3</v>
      </c>
      <c r="AI115">
        <f t="shared" si="52"/>
        <v>1.3003713470455757E-3</v>
      </c>
      <c r="AJ115">
        <f t="shared" si="53"/>
        <v>1.2180267965895249E-3</v>
      </c>
      <c r="AK115">
        <f t="shared" si="54"/>
        <v>-6.9953260851503662</v>
      </c>
      <c r="AL115">
        <f t="shared" si="55"/>
        <v>-1.6711042954453463</v>
      </c>
      <c r="AM115">
        <f t="shared" si="56"/>
        <v>2.1599352245718375</v>
      </c>
      <c r="AN115">
        <f t="shared" si="57"/>
        <v>4.9971906519087428</v>
      </c>
      <c r="AO115">
        <f t="shared" si="58"/>
        <v>7.1500518348686626</v>
      </c>
      <c r="AP115">
        <f t="shared" si="59"/>
        <v>8.8193710405912107</v>
      </c>
      <c r="AQ115">
        <f t="shared" si="60"/>
        <v>10.140849146734949</v>
      </c>
      <c r="AR115">
        <f t="shared" si="61"/>
        <v>11.209769893011631</v>
      </c>
      <c r="AS115">
        <f t="shared" si="62"/>
        <v>12.096185232248621</v>
      </c>
      <c r="AT115">
        <f t="shared" si="63"/>
        <v>12.855633597927197</v>
      </c>
      <c r="AU115">
        <f t="shared" si="64"/>
        <v>0.99402333808040855</v>
      </c>
      <c r="AV115">
        <f t="shared" si="65"/>
        <v>14648.514002237613</v>
      </c>
      <c r="AW115">
        <f t="shared" si="66"/>
        <v>13644.149675711287</v>
      </c>
      <c r="AX115">
        <f t="shared" si="67"/>
        <v>12698.505878388647</v>
      </c>
      <c r="AY115">
        <f t="shared" si="68"/>
        <v>11827.310253079426</v>
      </c>
      <c r="AZ115">
        <f t="shared" si="69"/>
        <v>11044.026191749394</v>
      </c>
      <c r="BA115">
        <f t="shared" si="70"/>
        <v>10362.980130293019</v>
      </c>
      <c r="BB115">
        <f t="shared" si="71"/>
        <v>9804.1708779041601</v>
      </c>
      <c r="BC115">
        <f t="shared" si="72"/>
        <v>9401.3851510359964</v>
      </c>
      <c r="BD115">
        <f t="shared" si="73"/>
        <v>9222.8126994744071</v>
      </c>
      <c r="BE115">
        <f t="shared" si="74"/>
        <v>121787.74541460352</v>
      </c>
      <c r="BF115">
        <f t="shared" si="75"/>
        <v>113437.46040386365</v>
      </c>
      <c r="BG115">
        <f t="shared" si="76"/>
        <v>105575.37787292321</v>
      </c>
      <c r="BH115">
        <f t="shared" si="77"/>
        <v>98332.257444102346</v>
      </c>
      <c r="BI115">
        <f t="shared" si="78"/>
        <v>91820.033758204459</v>
      </c>
      <c r="BJ115">
        <f t="shared" si="79"/>
        <v>86157.816803256166</v>
      </c>
      <c r="BK115">
        <f t="shared" si="80"/>
        <v>81511.876678895191</v>
      </c>
      <c r="BL115">
        <f t="shared" si="81"/>
        <v>78163.116145713269</v>
      </c>
      <c r="BM115">
        <f t="shared" si="82"/>
        <v>76678.464783430216</v>
      </c>
      <c r="BO115" s="2">
        <v>126323</v>
      </c>
      <c r="BP115" s="2">
        <v>117179</v>
      </c>
      <c r="BQ115" s="2">
        <v>109099</v>
      </c>
      <c r="BR115" s="2">
        <v>101719</v>
      </c>
      <c r="BS115" s="2">
        <v>94677.72</v>
      </c>
      <c r="BT115" s="2">
        <v>87577.2</v>
      </c>
      <c r="BU115" s="2">
        <v>79932.33</v>
      </c>
      <c r="BV115" s="2">
        <v>71073.94</v>
      </c>
      <c r="BW115" s="2">
        <v>59922.54</v>
      </c>
      <c r="BY115">
        <f t="shared" si="83"/>
        <v>0.95122379922883094</v>
      </c>
    </row>
    <row r="116" spans="1:77" x14ac:dyDescent="0.3">
      <c r="A116" s="1" t="s">
        <v>323</v>
      </c>
      <c r="B116" s="1">
        <v>353.1</v>
      </c>
      <c r="C116" s="2">
        <v>808</v>
      </c>
      <c r="E116">
        <v>353.1</v>
      </c>
      <c r="F116">
        <v>403.64440000000002</v>
      </c>
      <c r="G116">
        <v>454.18889999999999</v>
      </c>
      <c r="H116">
        <v>504.73329999999999</v>
      </c>
      <c r="I116">
        <v>555.27779999999996</v>
      </c>
      <c r="J116">
        <v>605.82219999999995</v>
      </c>
      <c r="K116">
        <v>656.36670000000004</v>
      </c>
      <c r="L116">
        <v>706.91110000000003</v>
      </c>
      <c r="M116">
        <v>757.4556</v>
      </c>
      <c r="N116">
        <v>808</v>
      </c>
      <c r="O116">
        <v>4.15658E-3</v>
      </c>
      <c r="P116">
        <v>0.50744599999999995</v>
      </c>
      <c r="Q116">
        <v>16.57283</v>
      </c>
      <c r="R116">
        <v>223.50059999999999</v>
      </c>
      <c r="S116">
        <v>1632.7750000000001</v>
      </c>
      <c r="T116">
        <v>7716.4780000000001</v>
      </c>
      <c r="U116">
        <v>26614.15</v>
      </c>
      <c r="V116">
        <v>72930.679999999993</v>
      </c>
      <c r="W116">
        <v>169044</v>
      </c>
      <c r="X116">
        <v>348273</v>
      </c>
      <c r="AA116">
        <f t="shared" si="44"/>
        <v>2.8320589068252617E-3</v>
      </c>
      <c r="AB116">
        <f t="shared" si="45"/>
        <v>2.4774281521061608E-3</v>
      </c>
      <c r="AC116">
        <f t="shared" si="46"/>
        <v>2.2017270787551171E-3</v>
      </c>
      <c r="AD116">
        <f t="shared" si="47"/>
        <v>1.9812443522153186E-3</v>
      </c>
      <c r="AE116">
        <f t="shared" si="48"/>
        <v>1.8009003781530616E-3</v>
      </c>
      <c r="AF116">
        <f t="shared" si="49"/>
        <v>1.6506493159214042E-3</v>
      </c>
      <c r="AG116">
        <f t="shared" si="50"/>
        <v>1.5235385951176377E-3</v>
      </c>
      <c r="AH116">
        <f t="shared" si="51"/>
        <v>1.4146050330798314E-3</v>
      </c>
      <c r="AI116">
        <f t="shared" si="52"/>
        <v>1.3202093957718445E-3</v>
      </c>
      <c r="AJ116">
        <f t="shared" si="53"/>
        <v>1.2376237623762376E-3</v>
      </c>
      <c r="AK116">
        <f t="shared" si="54"/>
        <v>-5.4830626582157631</v>
      </c>
      <c r="AL116">
        <f t="shared" si="55"/>
        <v>-0.67836497766838233</v>
      </c>
      <c r="AM116">
        <f t="shared" si="56"/>
        <v>2.8077646074408151</v>
      </c>
      <c r="AN116">
        <f t="shared" si="57"/>
        <v>5.4094140986137784</v>
      </c>
      <c r="AO116">
        <f t="shared" si="58"/>
        <v>7.39803630025642</v>
      </c>
      <c r="AP116">
        <f t="shared" si="59"/>
        <v>8.9511133213033229</v>
      </c>
      <c r="AQ116">
        <f t="shared" si="60"/>
        <v>10.189198308219165</v>
      </c>
      <c r="AR116">
        <f t="shared" si="61"/>
        <v>11.197264679944134</v>
      </c>
      <c r="AS116">
        <f t="shared" si="62"/>
        <v>12.037914315048306</v>
      </c>
      <c r="AT116">
        <f t="shared" si="63"/>
        <v>12.760741933969465</v>
      </c>
      <c r="AU116">
        <f t="shared" si="64"/>
        <v>0.99458127393295204</v>
      </c>
      <c r="AV116">
        <f t="shared" si="65"/>
        <v>13548.451781496304</v>
      </c>
      <c r="AW116">
        <f t="shared" si="66"/>
        <v>12644.59924923974</v>
      </c>
      <c r="AX116">
        <f t="shared" si="67"/>
        <v>11799.788273678436</v>
      </c>
      <c r="AY116">
        <f t="shared" si="68"/>
        <v>11026.829213357272</v>
      </c>
      <c r="AZ116">
        <f t="shared" si="69"/>
        <v>10336.546031550613</v>
      </c>
      <c r="BA116">
        <f t="shared" si="70"/>
        <v>9740.209001152607</v>
      </c>
      <c r="BB116">
        <f t="shared" si="71"/>
        <v>9253.9558320429314</v>
      </c>
      <c r="BC116">
        <f t="shared" si="72"/>
        <v>8905.5983843974154</v>
      </c>
      <c r="BD116">
        <f t="shared" si="73"/>
        <v>8752.4620106577695</v>
      </c>
      <c r="BE116">
        <f t="shared" si="74"/>
        <v>112641.82811136027</v>
      </c>
      <c r="BF116">
        <f t="shared" si="75"/>
        <v>105127.19815817919</v>
      </c>
      <c r="BG116">
        <f t="shared" si="76"/>
        <v>98103.439707362515</v>
      </c>
      <c r="BH116">
        <f t="shared" si="77"/>
        <v>91677.058079852359</v>
      </c>
      <c r="BI116">
        <f t="shared" si="78"/>
        <v>85938.043706311801</v>
      </c>
      <c r="BJ116">
        <f t="shared" si="79"/>
        <v>80980.097635582773</v>
      </c>
      <c r="BK116">
        <f t="shared" si="80"/>
        <v>76937.388787604927</v>
      </c>
      <c r="BL116">
        <f t="shared" si="81"/>
        <v>74041.144967880115</v>
      </c>
      <c r="BM116">
        <f t="shared" si="82"/>
        <v>72767.969156608699</v>
      </c>
      <c r="BO116" s="2">
        <v>115802</v>
      </c>
      <c r="BP116" s="2">
        <v>108391</v>
      </c>
      <c r="BQ116" s="2">
        <v>101545</v>
      </c>
      <c r="BR116" s="2">
        <v>95008.16</v>
      </c>
      <c r="BS116" s="2">
        <v>88510.42</v>
      </c>
      <c r="BT116" s="2">
        <v>81743.240000000005</v>
      </c>
      <c r="BU116" s="2">
        <v>74321.5</v>
      </c>
      <c r="BV116" s="2">
        <v>65710.13</v>
      </c>
      <c r="BW116" s="2">
        <v>55046.91</v>
      </c>
      <c r="BY116">
        <f t="shared" si="83"/>
        <v>0.93602669312914522</v>
      </c>
    </row>
    <row r="117" spans="1:77" x14ac:dyDescent="0.3">
      <c r="A117" s="1" t="s">
        <v>326</v>
      </c>
      <c r="B117" s="2">
        <v>355.9</v>
      </c>
      <c r="C117" s="2">
        <v>845</v>
      </c>
      <c r="E117">
        <v>355.9</v>
      </c>
      <c r="F117">
        <v>410.24439999999998</v>
      </c>
      <c r="G117">
        <v>464.58890000000002</v>
      </c>
      <c r="H117">
        <v>518.93330000000003</v>
      </c>
      <c r="I117">
        <v>573.27779999999996</v>
      </c>
      <c r="J117">
        <v>627.62220000000002</v>
      </c>
      <c r="K117">
        <v>681.96669999999995</v>
      </c>
      <c r="L117">
        <v>736.31110000000001</v>
      </c>
      <c r="M117">
        <v>790.65560000000005</v>
      </c>
      <c r="N117">
        <v>845</v>
      </c>
      <c r="O117">
        <v>2.5125100000000001E-2</v>
      </c>
      <c r="P117">
        <v>2.1013030000000001</v>
      </c>
      <c r="Q117">
        <v>50.186880000000002</v>
      </c>
      <c r="R117">
        <v>526.54499999999996</v>
      </c>
      <c r="S117">
        <v>3154.4279999999999</v>
      </c>
      <c r="T117">
        <v>12759.34</v>
      </c>
      <c r="U117">
        <v>38955.440000000002</v>
      </c>
      <c r="V117">
        <v>96956.17</v>
      </c>
      <c r="W117">
        <v>207958</v>
      </c>
      <c r="X117">
        <v>401296</v>
      </c>
      <c r="Z117" s="13"/>
      <c r="AA117">
        <f t="shared" si="44"/>
        <v>2.8097780275358249E-3</v>
      </c>
      <c r="AB117">
        <f t="shared" si="45"/>
        <v>2.4375713599015612E-3</v>
      </c>
      <c r="AC117">
        <f t="shared" si="46"/>
        <v>2.1524405770348793E-3</v>
      </c>
      <c r="AD117">
        <f t="shared" si="47"/>
        <v>1.9270299285091166E-3</v>
      </c>
      <c r="AE117">
        <f t="shared" si="48"/>
        <v>1.7443550055487934E-3</v>
      </c>
      <c r="AF117">
        <f t="shared" si="49"/>
        <v>1.593315214152718E-3</v>
      </c>
      <c r="AG117">
        <f t="shared" si="50"/>
        <v>1.46634725713147E-3</v>
      </c>
      <c r="AH117">
        <f t="shared" si="51"/>
        <v>1.3581215874648638E-3</v>
      </c>
      <c r="AI117">
        <f t="shared" si="52"/>
        <v>1.2647731831659701E-3</v>
      </c>
      <c r="AJ117">
        <f t="shared" si="53"/>
        <v>1.1834319526627219E-3</v>
      </c>
      <c r="AK117">
        <f t="shared" si="54"/>
        <v>-3.6838879325113152</v>
      </c>
      <c r="AL117">
        <f t="shared" si="55"/>
        <v>0.74255762850409091</v>
      </c>
      <c r="AM117">
        <f t="shared" si="56"/>
        <v>3.9157536379569495</v>
      </c>
      <c r="AN117">
        <f t="shared" si="57"/>
        <v>6.2663367980071403</v>
      </c>
      <c r="AO117">
        <f t="shared" si="58"/>
        <v>8.0565624590140033</v>
      </c>
      <c r="AP117">
        <f t="shared" si="59"/>
        <v>9.4540188314231113</v>
      </c>
      <c r="AQ117">
        <f t="shared" si="60"/>
        <v>10.570173707785241</v>
      </c>
      <c r="AR117">
        <f t="shared" si="61"/>
        <v>11.48201429969788</v>
      </c>
      <c r="AS117">
        <f t="shared" si="62"/>
        <v>12.245091415217322</v>
      </c>
      <c r="AT117">
        <f t="shared" si="63"/>
        <v>12.902454588600049</v>
      </c>
      <c r="AU117">
        <f t="shared" si="64"/>
        <v>0.99557639675372256</v>
      </c>
      <c r="AV117">
        <f t="shared" si="65"/>
        <v>11892.440264839377</v>
      </c>
      <c r="AW117">
        <f t="shared" si="66"/>
        <v>11128.91416896416</v>
      </c>
      <c r="AX117">
        <f t="shared" si="67"/>
        <v>10428.00406912248</v>
      </c>
      <c r="AY117">
        <f t="shared" si="68"/>
        <v>9800.0624935021733</v>
      </c>
      <c r="AZ117">
        <f t="shared" si="69"/>
        <v>9252.2398203300199</v>
      </c>
      <c r="BA117">
        <f t="shared" si="70"/>
        <v>8790.8390632397241</v>
      </c>
      <c r="BB117">
        <f t="shared" si="71"/>
        <v>8425.363360851481</v>
      </c>
      <c r="BC117">
        <f t="shared" si="72"/>
        <v>8174.5062623259619</v>
      </c>
      <c r="BD117">
        <f t="shared" si="73"/>
        <v>8081.5494100064871</v>
      </c>
      <c r="BE117">
        <f t="shared" si="74"/>
        <v>98873.748361874575</v>
      </c>
      <c r="BF117">
        <f t="shared" si="75"/>
        <v>92525.792400768027</v>
      </c>
      <c r="BG117">
        <f t="shared" si="76"/>
        <v>86698.425830684297</v>
      </c>
      <c r="BH117">
        <f t="shared" si="77"/>
        <v>81477.719570977075</v>
      </c>
      <c r="BI117">
        <f t="shared" si="78"/>
        <v>76923.121866223781</v>
      </c>
      <c r="BJ117">
        <f t="shared" si="79"/>
        <v>73087.035971775069</v>
      </c>
      <c r="BK117">
        <f t="shared" si="80"/>
        <v>70048.470982119208</v>
      </c>
      <c r="BL117">
        <f t="shared" si="81"/>
        <v>67962.845064978043</v>
      </c>
      <c r="BM117">
        <f t="shared" si="82"/>
        <v>67190.001794793934</v>
      </c>
      <c r="BO117" s="2">
        <v>102383</v>
      </c>
      <c r="BP117" s="2">
        <v>95372.29</v>
      </c>
      <c r="BQ117" s="2">
        <v>89234.79</v>
      </c>
      <c r="BR117" s="2">
        <v>83642.39</v>
      </c>
      <c r="BS117" s="2">
        <v>78265.279999999999</v>
      </c>
      <c r="BT117" s="2">
        <v>72739.3</v>
      </c>
      <c r="BU117" s="2">
        <v>66620.42</v>
      </c>
      <c r="BV117" s="2">
        <v>59303.47</v>
      </c>
      <c r="BW117" s="2">
        <v>49832.9</v>
      </c>
      <c r="BY117">
        <f t="shared" si="83"/>
        <v>0.9273436052412749</v>
      </c>
    </row>
    <row r="118" spans="1:77" x14ac:dyDescent="0.3">
      <c r="A118" s="1" t="s">
        <v>329</v>
      </c>
      <c r="B118" s="2">
        <v>253.67</v>
      </c>
      <c r="C118" s="2">
        <v>712.1</v>
      </c>
      <c r="E118">
        <v>253.67</v>
      </c>
      <c r="F118">
        <v>304.60669999999999</v>
      </c>
      <c r="G118">
        <v>355.54329999999999</v>
      </c>
      <c r="H118">
        <v>406.48</v>
      </c>
      <c r="I118">
        <v>457.41669999999999</v>
      </c>
      <c r="J118">
        <v>508.35329999999999</v>
      </c>
      <c r="K118">
        <v>559.29</v>
      </c>
      <c r="L118">
        <v>610.22670000000005</v>
      </c>
      <c r="M118">
        <v>661.16330000000005</v>
      </c>
      <c r="N118">
        <v>712.1</v>
      </c>
      <c r="O118" s="13">
        <v>4.5549799999999999E-6</v>
      </c>
      <c r="P118">
        <v>7.8393100000000004E-3</v>
      </c>
      <c r="Q118">
        <v>1.222915</v>
      </c>
      <c r="R118">
        <v>44.198639999999997</v>
      </c>
      <c r="S118">
        <v>618.9248</v>
      </c>
      <c r="T118">
        <v>4557.5820000000003</v>
      </c>
      <c r="U118">
        <v>21419.96</v>
      </c>
      <c r="V118">
        <v>73181.14</v>
      </c>
      <c r="W118">
        <v>199343</v>
      </c>
      <c r="X118">
        <v>464072</v>
      </c>
      <c r="AA118">
        <f t="shared" si="44"/>
        <v>3.9421295383766314E-3</v>
      </c>
      <c r="AB118">
        <f t="shared" si="45"/>
        <v>3.282921879262669E-3</v>
      </c>
      <c r="AC118">
        <f t="shared" si="46"/>
        <v>2.8125969467010068E-3</v>
      </c>
      <c r="AD118">
        <f t="shared" si="47"/>
        <v>2.4601456406219248E-3</v>
      </c>
      <c r="AE118">
        <f t="shared" si="48"/>
        <v>2.1861904036297756E-3</v>
      </c>
      <c r="AF118">
        <f t="shared" si="49"/>
        <v>1.9671358482378299E-3</v>
      </c>
      <c r="AG118">
        <f t="shared" si="50"/>
        <v>1.7879811904378767E-3</v>
      </c>
      <c r="AH118">
        <f t="shared" si="51"/>
        <v>1.6387352438036551E-3</v>
      </c>
      <c r="AI118">
        <f t="shared" si="52"/>
        <v>1.5124856446206254E-3</v>
      </c>
      <c r="AJ118">
        <f t="shared" si="53"/>
        <v>1.404297149276787E-3</v>
      </c>
      <c r="AK118">
        <f t="shared" si="54"/>
        <v>-12.299289418041356</v>
      </c>
      <c r="AL118">
        <f t="shared" si="55"/>
        <v>-4.8486044586970278</v>
      </c>
      <c r="AM118">
        <f t="shared" si="56"/>
        <v>0.20123735306322091</v>
      </c>
      <c r="AN118">
        <f t="shared" si="57"/>
        <v>3.7886940193795007</v>
      </c>
      <c r="AO118">
        <f t="shared" si="58"/>
        <v>6.4279837790363672</v>
      </c>
      <c r="AP118">
        <f t="shared" si="59"/>
        <v>8.4245474987113091</v>
      </c>
      <c r="AQ118">
        <f t="shared" si="60"/>
        <v>9.9720784765863648</v>
      </c>
      <c r="AR118">
        <f t="shared" si="61"/>
        <v>11.200693016478645</v>
      </c>
      <c r="AS118">
        <f t="shared" si="62"/>
        <v>12.202782238072093</v>
      </c>
      <c r="AT118">
        <f t="shared" si="63"/>
        <v>13.047794991584192</v>
      </c>
      <c r="AU118">
        <f t="shared" si="64"/>
        <v>0.99642635432123361</v>
      </c>
      <c r="AV118">
        <f t="shared" si="65"/>
        <v>11302.485425243322</v>
      </c>
      <c r="AW118">
        <f t="shared" si="66"/>
        <v>10736.921354043217</v>
      </c>
      <c r="AX118">
        <f t="shared" si="67"/>
        <v>10178.588089871731</v>
      </c>
      <c r="AY118">
        <f t="shared" si="68"/>
        <v>9634.0182747902763</v>
      </c>
      <c r="AZ118">
        <f t="shared" si="69"/>
        <v>9114.4587981864534</v>
      </c>
      <c r="BA118">
        <f t="shared" si="70"/>
        <v>8637.9611720899429</v>
      </c>
      <c r="BB118">
        <f t="shared" si="71"/>
        <v>8232.1467858917586</v>
      </c>
      <c r="BC118">
        <f t="shared" si="72"/>
        <v>7937.3655685090416</v>
      </c>
      <c r="BD118">
        <f t="shared" si="73"/>
        <v>7810.5601785710123</v>
      </c>
      <c r="BE118">
        <f t="shared" si="74"/>
        <v>93968.863825472974</v>
      </c>
      <c r="BF118">
        <f t="shared" si="75"/>
        <v>89266.764137515303</v>
      </c>
      <c r="BG118">
        <f t="shared" si="76"/>
        <v>84624.781379193577</v>
      </c>
      <c r="BH118">
        <f t="shared" si="77"/>
        <v>80097.227936606359</v>
      </c>
      <c r="BI118">
        <f t="shared" si="78"/>
        <v>75777.61044812217</v>
      </c>
      <c r="BJ118">
        <f t="shared" si="79"/>
        <v>71816.009184755792</v>
      </c>
      <c r="BK118">
        <f t="shared" si="80"/>
        <v>68442.068377904085</v>
      </c>
      <c r="BL118">
        <f t="shared" si="81"/>
        <v>65991.257336584167</v>
      </c>
      <c r="BM118">
        <f t="shared" si="82"/>
        <v>64936.9973246394</v>
      </c>
      <c r="BO118" s="2">
        <v>96262.56</v>
      </c>
      <c r="BP118" s="2">
        <v>91414.1</v>
      </c>
      <c r="BQ118" s="2">
        <v>86784.35</v>
      </c>
      <c r="BR118" s="2">
        <v>82274.81</v>
      </c>
      <c r="BS118" s="2">
        <v>77769.2</v>
      </c>
      <c r="BT118" s="2">
        <v>73118.100000000006</v>
      </c>
      <c r="BU118" s="2">
        <v>68109.38</v>
      </c>
      <c r="BV118" s="2">
        <v>62402.86</v>
      </c>
      <c r="BW118" s="2">
        <v>55354.27</v>
      </c>
      <c r="BY118">
        <f t="shared" si="83"/>
        <v>0.95606107746177982</v>
      </c>
    </row>
    <row r="119" spans="1:77" x14ac:dyDescent="0.3">
      <c r="A119" s="1" t="s">
        <v>332</v>
      </c>
      <c r="B119" s="2">
        <v>240.5</v>
      </c>
      <c r="C119" s="2">
        <v>731</v>
      </c>
      <c r="E119">
        <v>240.5</v>
      </c>
      <c r="F119">
        <v>295</v>
      </c>
      <c r="G119">
        <v>349.5</v>
      </c>
      <c r="H119">
        <v>404</v>
      </c>
      <c r="I119">
        <v>458.5</v>
      </c>
      <c r="J119">
        <v>513</v>
      </c>
      <c r="K119">
        <v>567.5</v>
      </c>
      <c r="L119">
        <v>622</v>
      </c>
      <c r="M119">
        <v>676.5</v>
      </c>
      <c r="N119">
        <v>731</v>
      </c>
      <c r="O119" s="13">
        <v>3.1940599999999999E-8</v>
      </c>
      <c r="P119">
        <v>6.0310099999999998E-4</v>
      </c>
      <c r="Q119">
        <v>0.31973049999999997</v>
      </c>
      <c r="R119">
        <v>21.988389999999999</v>
      </c>
      <c r="S119">
        <v>432.50560000000002</v>
      </c>
      <c r="T119">
        <v>3799.1579999999999</v>
      </c>
      <c r="U119">
        <v>19482.189999999999</v>
      </c>
      <c r="V119">
        <v>69126.740000000005</v>
      </c>
      <c r="W119">
        <v>190138</v>
      </c>
      <c r="X119">
        <v>439998</v>
      </c>
      <c r="AA119">
        <f t="shared" si="44"/>
        <v>4.1580041580041582E-3</v>
      </c>
      <c r="AB119">
        <f t="shared" si="45"/>
        <v>3.3898305084745762E-3</v>
      </c>
      <c r="AC119">
        <f t="shared" si="46"/>
        <v>2.8612303290414878E-3</v>
      </c>
      <c r="AD119">
        <f t="shared" si="47"/>
        <v>2.4752475247524753E-3</v>
      </c>
      <c r="AE119">
        <f t="shared" si="48"/>
        <v>2.1810250817884407E-3</v>
      </c>
      <c r="AF119">
        <f t="shared" si="49"/>
        <v>1.9493177387914229E-3</v>
      </c>
      <c r="AG119">
        <f t="shared" si="50"/>
        <v>1.762114537444934E-3</v>
      </c>
      <c r="AH119">
        <f t="shared" si="51"/>
        <v>1.6077170418006431E-3</v>
      </c>
      <c r="AI119">
        <f t="shared" si="52"/>
        <v>1.4781966001478197E-3</v>
      </c>
      <c r="AJ119">
        <f t="shared" si="53"/>
        <v>1.3679890560875513E-3</v>
      </c>
      <c r="AK119">
        <f t="shared" si="54"/>
        <v>-17.259387909113695</v>
      </c>
      <c r="AL119">
        <f t="shared" si="55"/>
        <v>-7.4134258794088899</v>
      </c>
      <c r="AM119">
        <f t="shared" si="56"/>
        <v>-1.1402768255274989</v>
      </c>
      <c r="AN119">
        <f t="shared" si="57"/>
        <v>3.090514586788542</v>
      </c>
      <c r="AO119">
        <f t="shared" si="58"/>
        <v>6.0695952742649881</v>
      </c>
      <c r="AP119">
        <f t="shared" si="59"/>
        <v>8.2425347422148665</v>
      </c>
      <c r="AQ119">
        <f t="shared" si="60"/>
        <v>9.8772559938754814</v>
      </c>
      <c r="AR119">
        <f t="shared" si="61"/>
        <v>11.143696910298067</v>
      </c>
      <c r="AS119">
        <f t="shared" si="62"/>
        <v>12.155505403292434</v>
      </c>
      <c r="AT119">
        <f t="shared" si="63"/>
        <v>12.994525460429568</v>
      </c>
      <c r="AU119">
        <f t="shared" si="64"/>
        <v>0.99312345864024065</v>
      </c>
      <c r="AV119">
        <f t="shared" si="65"/>
        <v>12817.364974357457</v>
      </c>
      <c r="AW119">
        <f t="shared" si="66"/>
        <v>11867.4743179414</v>
      </c>
      <c r="AX119">
        <f t="shared" si="67"/>
        <v>10961.087813508262</v>
      </c>
      <c r="AY119">
        <f t="shared" si="68"/>
        <v>10125.266643376372</v>
      </c>
      <c r="AZ119">
        <f t="shared" si="69"/>
        <v>9377.9482335087032</v>
      </c>
      <c r="BA119">
        <f t="shared" si="70"/>
        <v>8732.3359851894693</v>
      </c>
      <c r="BB119">
        <f t="shared" si="71"/>
        <v>8202.4705850169903</v>
      </c>
      <c r="BC119">
        <f t="shared" si="72"/>
        <v>7811.9598735348436</v>
      </c>
      <c r="BD119">
        <f t="shared" si="73"/>
        <v>7613.0909575328633</v>
      </c>
      <c r="BE119">
        <f t="shared" si="74"/>
        <v>106563.5723968079</v>
      </c>
      <c r="BF119">
        <f t="shared" si="75"/>
        <v>98666.181479364794</v>
      </c>
      <c r="BG119">
        <f t="shared" si="76"/>
        <v>91130.48408150769</v>
      </c>
      <c r="BH119">
        <f t="shared" si="77"/>
        <v>84181.466873031153</v>
      </c>
      <c r="BI119">
        <f t="shared" si="78"/>
        <v>77968.261613391354</v>
      </c>
      <c r="BJ119">
        <f t="shared" si="79"/>
        <v>72600.641380865243</v>
      </c>
      <c r="BK119">
        <f t="shared" si="80"/>
        <v>68195.340443831257</v>
      </c>
      <c r="BL119">
        <f t="shared" si="81"/>
        <v>64948.634388568687</v>
      </c>
      <c r="BM119">
        <f t="shared" si="82"/>
        <v>63295.238220928222</v>
      </c>
      <c r="BO119" s="2">
        <v>110766</v>
      </c>
      <c r="BP119" s="2">
        <v>102172</v>
      </c>
      <c r="BQ119" s="2">
        <v>94477.94</v>
      </c>
      <c r="BR119" s="2">
        <v>87445.21</v>
      </c>
      <c r="BS119" s="2">
        <v>80834.600000000006</v>
      </c>
      <c r="BT119" s="2">
        <v>74382.929999999993</v>
      </c>
      <c r="BU119" s="2">
        <v>67762.39</v>
      </c>
      <c r="BV119" s="2">
        <v>60498.11</v>
      </c>
      <c r="BW119" s="2">
        <v>51756.44</v>
      </c>
      <c r="BY119">
        <f t="shared" si="83"/>
        <v>0.96786104533297623</v>
      </c>
    </row>
    <row r="120" spans="1:77" x14ac:dyDescent="0.3">
      <c r="A120" s="1" t="s">
        <v>335</v>
      </c>
      <c r="B120" s="2">
        <v>233.93</v>
      </c>
      <c r="C120" s="2">
        <v>707.4</v>
      </c>
      <c r="E120">
        <v>233.93</v>
      </c>
      <c r="F120">
        <v>286.5378</v>
      </c>
      <c r="G120">
        <v>339.1456</v>
      </c>
      <c r="H120">
        <v>391.75330000000002</v>
      </c>
      <c r="I120">
        <v>444.36110000000002</v>
      </c>
      <c r="J120">
        <v>496.96890000000002</v>
      </c>
      <c r="K120">
        <v>549.57669999999996</v>
      </c>
      <c r="L120">
        <v>602.18439999999998</v>
      </c>
      <c r="M120">
        <v>654.79219999999998</v>
      </c>
      <c r="N120">
        <v>707.4</v>
      </c>
      <c r="O120" s="13">
        <v>5.5357100000000003E-8</v>
      </c>
      <c r="P120">
        <v>5.6511199999999999E-4</v>
      </c>
      <c r="Q120">
        <v>0.2394559</v>
      </c>
      <c r="R120">
        <v>15.88012</v>
      </c>
      <c r="S120">
        <v>328.55689999999998</v>
      </c>
      <c r="T120">
        <v>3144.451</v>
      </c>
      <c r="U120">
        <v>17733.75</v>
      </c>
      <c r="V120">
        <v>69063.02</v>
      </c>
      <c r="W120">
        <v>207384</v>
      </c>
      <c r="X120">
        <v>520959</v>
      </c>
      <c r="AA120">
        <f t="shared" si="44"/>
        <v>4.2747830547599707E-3</v>
      </c>
      <c r="AB120">
        <f t="shared" si="45"/>
        <v>3.4899409432193589E-3</v>
      </c>
      <c r="AC120">
        <f t="shared" si="46"/>
        <v>2.9485860939962071E-3</v>
      </c>
      <c r="AD120">
        <f t="shared" si="47"/>
        <v>2.5526268700225372E-3</v>
      </c>
      <c r="AE120">
        <f t="shared" si="48"/>
        <v>2.2504220103874979E-3</v>
      </c>
      <c r="AF120">
        <f t="shared" si="49"/>
        <v>2.0121983488302787E-3</v>
      </c>
      <c r="AG120">
        <f t="shared" si="50"/>
        <v>1.8195822348363751E-3</v>
      </c>
      <c r="AH120">
        <f t="shared" si="51"/>
        <v>1.6606208995118439E-3</v>
      </c>
      <c r="AI120">
        <f t="shared" si="52"/>
        <v>1.5272020650215442E-3</v>
      </c>
      <c r="AJ120">
        <f t="shared" si="53"/>
        <v>1.4136273678258412E-3</v>
      </c>
      <c r="AK120">
        <f t="shared" si="54"/>
        <v>-16.709460911402171</v>
      </c>
      <c r="AL120">
        <f t="shared" si="55"/>
        <v>-7.4784866163743251</v>
      </c>
      <c r="AM120">
        <f t="shared" si="56"/>
        <v>-1.4293860126975328</v>
      </c>
      <c r="AN120">
        <f t="shared" si="57"/>
        <v>2.7650680124655009</v>
      </c>
      <c r="AO120">
        <f t="shared" si="58"/>
        <v>5.794710034493006</v>
      </c>
      <c r="AP120">
        <f t="shared" si="59"/>
        <v>8.0533945910985896</v>
      </c>
      <c r="AQ120">
        <f t="shared" si="60"/>
        <v>9.7832248826261949</v>
      </c>
      <c r="AR120">
        <f t="shared" si="61"/>
        <v>11.142774700077627</v>
      </c>
      <c r="AS120">
        <f t="shared" si="62"/>
        <v>12.242327426189345</v>
      </c>
      <c r="AT120">
        <f t="shared" si="63"/>
        <v>13.163426622821246</v>
      </c>
      <c r="AU120">
        <f t="shared" si="64"/>
        <v>0.99647847905042408</v>
      </c>
      <c r="AV120">
        <f t="shared" si="65"/>
        <v>11761.56854900132</v>
      </c>
      <c r="AW120">
        <f t="shared" si="66"/>
        <v>11174.002804920461</v>
      </c>
      <c r="AX120">
        <f t="shared" si="67"/>
        <v>10593.146392876941</v>
      </c>
      <c r="AY120">
        <f t="shared" si="68"/>
        <v>10025.126749074394</v>
      </c>
      <c r="AZ120">
        <f t="shared" si="69"/>
        <v>9481.3610950357561</v>
      </c>
      <c r="BA120">
        <f t="shared" si="70"/>
        <v>8980.7143112769663</v>
      </c>
      <c r="BB120">
        <f t="shared" si="71"/>
        <v>8552.7075793356416</v>
      </c>
      <c r="BC120">
        <f t="shared" si="72"/>
        <v>8241.3606018396222</v>
      </c>
      <c r="BD120">
        <f t="shared" si="73"/>
        <v>8110.0739810447003</v>
      </c>
      <c r="BE120">
        <f t="shared" si="74"/>
        <v>97785.680916396974</v>
      </c>
      <c r="BF120">
        <f t="shared" si="75"/>
        <v>92900.659320108709</v>
      </c>
      <c r="BG120">
        <f t="shared" si="76"/>
        <v>88071.419110378891</v>
      </c>
      <c r="BH120">
        <f t="shared" si="77"/>
        <v>83348.903791804507</v>
      </c>
      <c r="BI120">
        <f t="shared" si="78"/>
        <v>78828.036144127283</v>
      </c>
      <c r="BJ120">
        <f t="shared" si="79"/>
        <v>74665.658783956693</v>
      </c>
      <c r="BK120">
        <f t="shared" si="80"/>
        <v>71107.210814596532</v>
      </c>
      <c r="BL120">
        <f t="shared" si="81"/>
        <v>68518.67204369462</v>
      </c>
      <c r="BM120">
        <f t="shared" si="82"/>
        <v>67427.155078405645</v>
      </c>
      <c r="BO120" s="2">
        <v>100251</v>
      </c>
      <c r="BP120" s="2">
        <v>95081.58</v>
      </c>
      <c r="BQ120" s="2">
        <v>90234.58</v>
      </c>
      <c r="BR120" s="2">
        <v>85588.92</v>
      </c>
      <c r="BS120" s="2">
        <v>81006.91</v>
      </c>
      <c r="BT120" s="2">
        <v>76316.740000000005</v>
      </c>
      <c r="BU120" s="2">
        <v>71279.94</v>
      </c>
      <c r="BV120" s="2">
        <v>65519.7</v>
      </c>
      <c r="BW120" s="2">
        <v>58326.64</v>
      </c>
      <c r="BY120">
        <f t="shared" si="83"/>
        <v>0.95900910760814195</v>
      </c>
    </row>
    <row r="121" spans="1:77" x14ac:dyDescent="0.3">
      <c r="A121" s="1" t="s">
        <v>338</v>
      </c>
      <c r="B121" s="2">
        <v>256.52999999999997</v>
      </c>
      <c r="C121" s="2">
        <v>719.8</v>
      </c>
      <c r="E121">
        <v>256.52999999999997</v>
      </c>
      <c r="F121">
        <v>308.00439999999998</v>
      </c>
      <c r="G121">
        <v>359.47890000000001</v>
      </c>
      <c r="H121">
        <v>410.95330000000001</v>
      </c>
      <c r="I121">
        <v>462.42779999999999</v>
      </c>
      <c r="J121">
        <v>513.90219999999999</v>
      </c>
      <c r="K121">
        <v>565.37670000000003</v>
      </c>
      <c r="L121">
        <v>616.85109999999997</v>
      </c>
      <c r="M121">
        <v>668.32560000000001</v>
      </c>
      <c r="N121">
        <v>719.8</v>
      </c>
      <c r="O121" s="13">
        <v>1.76417E-6</v>
      </c>
      <c r="P121">
        <v>4.7266699999999997E-3</v>
      </c>
      <c r="Q121">
        <v>0.95994829999999998</v>
      </c>
      <c r="R121">
        <v>40.662230000000001</v>
      </c>
      <c r="S121">
        <v>625.08590000000004</v>
      </c>
      <c r="T121">
        <v>4843.8580000000002</v>
      </c>
      <c r="U121">
        <v>23298.18</v>
      </c>
      <c r="V121">
        <v>79979.320000000007</v>
      </c>
      <c r="W121">
        <v>216366</v>
      </c>
      <c r="X121">
        <v>496940</v>
      </c>
      <c r="AA121">
        <f t="shared" si="44"/>
        <v>3.8981795501500803E-3</v>
      </c>
      <c r="AB121">
        <f t="shared" si="45"/>
        <v>3.2467068652266011E-3</v>
      </c>
      <c r="AC121">
        <f t="shared" si="46"/>
        <v>2.7818044397042497E-3</v>
      </c>
      <c r="AD121">
        <f t="shared" si="47"/>
        <v>2.4333665163413943E-3</v>
      </c>
      <c r="AE121">
        <f t="shared" si="48"/>
        <v>2.1624997459062799E-3</v>
      </c>
      <c r="AF121">
        <f t="shared" si="49"/>
        <v>1.9458955419922313E-3</v>
      </c>
      <c r="AG121">
        <f t="shared" si="50"/>
        <v>1.7687322452446307E-3</v>
      </c>
      <c r="AH121">
        <f t="shared" si="51"/>
        <v>1.6211367702837849E-3</v>
      </c>
      <c r="AI121">
        <f t="shared" si="52"/>
        <v>1.4962766651464496E-3</v>
      </c>
      <c r="AJ121">
        <f t="shared" si="53"/>
        <v>1.3892747985551543E-3</v>
      </c>
      <c r="AK121">
        <f t="shared" si="54"/>
        <v>-13.247830233141061</v>
      </c>
      <c r="AL121">
        <f t="shared" si="55"/>
        <v>-5.3545343413278959</v>
      </c>
      <c r="AM121">
        <f t="shared" si="56"/>
        <v>-4.0875850137109523E-2</v>
      </c>
      <c r="AN121">
        <f t="shared" si="57"/>
        <v>3.7052996517528323</v>
      </c>
      <c r="AO121">
        <f t="shared" si="58"/>
        <v>6.4378890802923898</v>
      </c>
      <c r="AP121">
        <f t="shared" si="59"/>
        <v>8.4854667896272815</v>
      </c>
      <c r="AQ121">
        <f t="shared" si="60"/>
        <v>10.05613052491494</v>
      </c>
      <c r="AR121">
        <f t="shared" si="61"/>
        <v>11.289523380239135</v>
      </c>
      <c r="AS121">
        <f t="shared" si="62"/>
        <v>12.284726697159364</v>
      </c>
      <c r="AT121">
        <f t="shared" si="63"/>
        <v>13.116224573444919</v>
      </c>
      <c r="AU121">
        <f t="shared" si="64"/>
        <v>0.99514700114080878</v>
      </c>
      <c r="AV121">
        <f t="shared" si="65"/>
        <v>12116.081110507797</v>
      </c>
      <c r="AW121">
        <f t="shared" si="66"/>
        <v>11429.620925768473</v>
      </c>
      <c r="AX121">
        <f t="shared" si="67"/>
        <v>10751.342637261558</v>
      </c>
      <c r="AY121">
        <f t="shared" si="68"/>
        <v>10088.315462801089</v>
      </c>
      <c r="AZ121">
        <f t="shared" si="69"/>
        <v>9453.0838845002163</v>
      </c>
      <c r="BA121">
        <f t="shared" si="70"/>
        <v>8865.6271593621168</v>
      </c>
      <c r="BB121">
        <f t="shared" si="71"/>
        <v>8356.5763493182367</v>
      </c>
      <c r="BC121">
        <f t="shared" si="72"/>
        <v>7970.5468438104481</v>
      </c>
      <c r="BD121">
        <f t="shared" si="73"/>
        <v>7770.8726284331788</v>
      </c>
      <c r="BE121">
        <f t="shared" si="74"/>
        <v>100733.09835276182</v>
      </c>
      <c r="BF121">
        <f t="shared" si="75"/>
        <v>95025.868376839091</v>
      </c>
      <c r="BG121">
        <f t="shared" si="76"/>
        <v>89386.662686192591</v>
      </c>
      <c r="BH121">
        <f t="shared" si="77"/>
        <v>83874.254757728253</v>
      </c>
      <c r="BI121">
        <f t="shared" si="78"/>
        <v>78592.9394157348</v>
      </c>
      <c r="BJ121">
        <f t="shared" si="79"/>
        <v>73708.824202936637</v>
      </c>
      <c r="BK121">
        <f t="shared" si="80"/>
        <v>69476.575768231822</v>
      </c>
      <c r="BL121">
        <f t="shared" si="81"/>
        <v>66267.126459440071</v>
      </c>
      <c r="BM121">
        <f t="shared" si="82"/>
        <v>64607.03503279345</v>
      </c>
      <c r="BO121" s="2">
        <v>103440</v>
      </c>
      <c r="BP121" s="2">
        <v>97675.79</v>
      </c>
      <c r="BQ121" s="2">
        <v>92070.25</v>
      </c>
      <c r="BR121" s="2">
        <v>86552.7</v>
      </c>
      <c r="BS121" s="2">
        <v>81032.149999999994</v>
      </c>
      <c r="BT121" s="2">
        <v>75382.39</v>
      </c>
      <c r="BU121" s="2">
        <v>69412.3</v>
      </c>
      <c r="BV121" s="2">
        <v>62798.76</v>
      </c>
      <c r="BW121" s="2">
        <v>54904.58</v>
      </c>
      <c r="BY121">
        <f t="shared" si="83"/>
        <v>0.96721732118056758</v>
      </c>
    </row>
    <row r="122" spans="1:77" x14ac:dyDescent="0.3">
      <c r="A122" s="1" t="s">
        <v>341</v>
      </c>
      <c r="B122" s="2">
        <v>242.85</v>
      </c>
      <c r="C122" s="2">
        <v>767</v>
      </c>
      <c r="E122">
        <v>242.85</v>
      </c>
      <c r="F122">
        <v>301.08890000000002</v>
      </c>
      <c r="G122">
        <v>359.32780000000002</v>
      </c>
      <c r="H122">
        <v>417.56670000000003</v>
      </c>
      <c r="I122">
        <v>475.80560000000003</v>
      </c>
      <c r="J122">
        <v>534.0444</v>
      </c>
      <c r="K122">
        <v>592.28330000000005</v>
      </c>
      <c r="L122">
        <v>650.5222</v>
      </c>
      <c r="M122">
        <v>708.76110000000006</v>
      </c>
      <c r="N122">
        <v>767</v>
      </c>
      <c r="O122" s="13">
        <v>4.9697200000000001E-9</v>
      </c>
      <c r="P122">
        <v>2.2443300000000001E-4</v>
      </c>
      <c r="Q122">
        <v>0.18224570000000001</v>
      </c>
      <c r="R122">
        <v>15.687430000000001</v>
      </c>
      <c r="S122">
        <v>349.26580000000001</v>
      </c>
      <c r="T122">
        <v>3292.1759999999999</v>
      </c>
      <c r="U122">
        <v>17589.009999999998</v>
      </c>
      <c r="V122">
        <v>63942.53</v>
      </c>
      <c r="W122">
        <v>178506</v>
      </c>
      <c r="X122">
        <v>417244</v>
      </c>
      <c r="AA122">
        <f t="shared" si="44"/>
        <v>4.1177681696520484E-3</v>
      </c>
      <c r="AB122">
        <f t="shared" si="45"/>
        <v>3.3212782005580411E-3</v>
      </c>
      <c r="AC122">
        <f t="shared" si="46"/>
        <v>2.7829742090648146E-3</v>
      </c>
      <c r="AD122">
        <f t="shared" si="47"/>
        <v>2.3948269821324353E-3</v>
      </c>
      <c r="AE122">
        <f t="shared" si="48"/>
        <v>2.1016986769386487E-3</v>
      </c>
      <c r="AF122">
        <f t="shared" si="49"/>
        <v>1.872503484728985E-3</v>
      </c>
      <c r="AG122">
        <f t="shared" si="50"/>
        <v>1.6883812189200673E-3</v>
      </c>
      <c r="AH122">
        <f t="shared" si="51"/>
        <v>1.5372265542974552E-3</v>
      </c>
      <c r="AI122">
        <f t="shared" si="52"/>
        <v>1.4109126474350807E-3</v>
      </c>
      <c r="AJ122">
        <f t="shared" si="53"/>
        <v>1.3037809647979139E-3</v>
      </c>
      <c r="AK122">
        <f t="shared" si="54"/>
        <v>-19.119902336453087</v>
      </c>
      <c r="AL122">
        <f t="shared" si="55"/>
        <v>-8.4019333363042925</v>
      </c>
      <c r="AM122">
        <f t="shared" si="56"/>
        <v>-1.7023995023360461</v>
      </c>
      <c r="AN122">
        <f t="shared" si="57"/>
        <v>2.752859754730653</v>
      </c>
      <c r="AO122">
        <f t="shared" si="58"/>
        <v>5.8558332369133526</v>
      </c>
      <c r="AP122">
        <f t="shared" si="59"/>
        <v>8.0993040233083295</v>
      </c>
      <c r="AQ122">
        <f t="shared" si="60"/>
        <v>9.7750295541693166</v>
      </c>
      <c r="AR122">
        <f t="shared" si="61"/>
        <v>11.06573999017635</v>
      </c>
      <c r="AS122">
        <f t="shared" si="62"/>
        <v>12.09237749308229</v>
      </c>
      <c r="AT122">
        <f t="shared" si="63"/>
        <v>12.941426461552506</v>
      </c>
      <c r="AU122">
        <f t="shared" si="64"/>
        <v>0.9929627818156469</v>
      </c>
      <c r="AV122">
        <f t="shared" si="65"/>
        <v>13456.502173329674</v>
      </c>
      <c r="AW122">
        <f t="shared" si="66"/>
        <v>12445.632839140015</v>
      </c>
      <c r="AX122">
        <f t="shared" si="67"/>
        <v>11478.271511245057</v>
      </c>
      <c r="AY122">
        <f t="shared" si="68"/>
        <v>10585.717677899882</v>
      </c>
      <c r="AZ122">
        <f t="shared" si="69"/>
        <v>9788.4722832348471</v>
      </c>
      <c r="BA122">
        <f t="shared" si="70"/>
        <v>9101.1563620450816</v>
      </c>
      <c r="BB122">
        <f t="shared" si="71"/>
        <v>8539.004993524688</v>
      </c>
      <c r="BC122">
        <f t="shared" si="72"/>
        <v>8127.6680328201228</v>
      </c>
      <c r="BD122">
        <f t="shared" si="73"/>
        <v>7925.2836095720841</v>
      </c>
      <c r="BE122">
        <f t="shared" si="74"/>
        <v>111877.35906906292</v>
      </c>
      <c r="BF122">
        <f t="shared" si="75"/>
        <v>103472.99142461008</v>
      </c>
      <c r="BG122">
        <f t="shared" si="76"/>
        <v>95430.349344491406</v>
      </c>
      <c r="BH122">
        <f t="shared" si="77"/>
        <v>88009.656774059622</v>
      </c>
      <c r="BI122">
        <f t="shared" si="78"/>
        <v>81381.358562814523</v>
      </c>
      <c r="BJ122">
        <f t="shared" si="79"/>
        <v>75667.013994042805</v>
      </c>
      <c r="BK122">
        <f t="shared" si="80"/>
        <v>70993.287516164259</v>
      </c>
      <c r="BL122">
        <f t="shared" si="81"/>
        <v>67573.432024866503</v>
      </c>
      <c r="BM122">
        <f t="shared" si="82"/>
        <v>65890.8079299823</v>
      </c>
      <c r="BO122" s="2">
        <v>116495</v>
      </c>
      <c r="BP122" s="2">
        <v>107125</v>
      </c>
      <c r="BQ122" s="2">
        <v>98914.53</v>
      </c>
      <c r="BR122" s="2">
        <v>91507.99</v>
      </c>
      <c r="BS122" s="2">
        <v>84561.04</v>
      </c>
      <c r="BT122" s="2">
        <v>77708</v>
      </c>
      <c r="BU122" s="2">
        <v>70512.59</v>
      </c>
      <c r="BV122" s="2">
        <v>62376.33</v>
      </c>
      <c r="BW122" s="2">
        <v>52313.33</v>
      </c>
      <c r="BY122">
        <f t="shared" si="83"/>
        <v>0.96187280858506063</v>
      </c>
    </row>
    <row r="123" spans="1:77" x14ac:dyDescent="0.3">
      <c r="A123" s="1" t="s">
        <v>344</v>
      </c>
      <c r="B123" s="2">
        <v>253.65</v>
      </c>
      <c r="C123" s="2">
        <v>717</v>
      </c>
      <c r="E123">
        <v>253.65</v>
      </c>
      <c r="F123">
        <v>305.13330000000002</v>
      </c>
      <c r="G123">
        <v>356.61669999999998</v>
      </c>
      <c r="H123">
        <v>408.1</v>
      </c>
      <c r="I123">
        <v>459.58330000000001</v>
      </c>
      <c r="J123">
        <v>511.06670000000003</v>
      </c>
      <c r="K123">
        <v>562.54999999999995</v>
      </c>
      <c r="L123">
        <v>614.03330000000005</v>
      </c>
      <c r="M123">
        <v>665.51670000000001</v>
      </c>
      <c r="N123">
        <v>717</v>
      </c>
      <c r="O123" s="13">
        <v>5.8351600000000002E-7</v>
      </c>
      <c r="P123">
        <v>2.7612299999999999E-3</v>
      </c>
      <c r="Q123">
        <v>0.77332029999999996</v>
      </c>
      <c r="R123">
        <v>39.343339999999998</v>
      </c>
      <c r="S123">
        <v>668.86699999999996</v>
      </c>
      <c r="T123">
        <v>5443.826</v>
      </c>
      <c r="U123">
        <v>26606.14</v>
      </c>
      <c r="V123">
        <v>90854.55</v>
      </c>
      <c r="W123">
        <v>241276</v>
      </c>
      <c r="X123">
        <v>539969</v>
      </c>
      <c r="AA123">
        <f t="shared" si="44"/>
        <v>3.9424403705893944E-3</v>
      </c>
      <c r="AB123">
        <f t="shared" si="45"/>
        <v>3.2772562024531572E-3</v>
      </c>
      <c r="AC123">
        <f t="shared" si="46"/>
        <v>2.8041311581874884E-3</v>
      </c>
      <c r="AD123">
        <f t="shared" si="47"/>
        <v>2.4503798088703747E-3</v>
      </c>
      <c r="AE123">
        <f t="shared" si="48"/>
        <v>2.1758841106715582E-3</v>
      </c>
      <c r="AF123">
        <f t="shared" si="49"/>
        <v>1.9566917586295485E-3</v>
      </c>
      <c r="AG123">
        <f t="shared" si="50"/>
        <v>1.7776197671318106E-3</v>
      </c>
      <c r="AH123">
        <f t="shared" si="51"/>
        <v>1.6285761700546206E-3</v>
      </c>
      <c r="AI123">
        <f t="shared" si="52"/>
        <v>1.5025918958908168E-3</v>
      </c>
      <c r="AJ123">
        <f t="shared" si="53"/>
        <v>1.3947001394700139E-3</v>
      </c>
      <c r="AK123">
        <f t="shared" si="54"/>
        <v>-14.35419396485881</v>
      </c>
      <c r="AL123">
        <f t="shared" si="55"/>
        <v>-5.8920790463526025</v>
      </c>
      <c r="AM123">
        <f t="shared" si="56"/>
        <v>-0.25706195658018799</v>
      </c>
      <c r="AN123">
        <f t="shared" si="57"/>
        <v>3.6723267102212986</v>
      </c>
      <c r="AO123">
        <f t="shared" si="58"/>
        <v>6.5055852361787059</v>
      </c>
      <c r="AP123">
        <f t="shared" si="59"/>
        <v>8.6022374014677681</v>
      </c>
      <c r="AQ123">
        <f t="shared" si="60"/>
        <v>10.188897295200992</v>
      </c>
      <c r="AR123">
        <f t="shared" si="61"/>
        <v>11.417015155123888</v>
      </c>
      <c r="AS123">
        <f t="shared" si="62"/>
        <v>12.393696785414971</v>
      </c>
      <c r="AT123">
        <f t="shared" si="63"/>
        <v>13.199267009485181</v>
      </c>
      <c r="AU123">
        <f t="shared" si="64"/>
        <v>0.99348603458662488</v>
      </c>
      <c r="AV123">
        <f t="shared" si="65"/>
        <v>12721.461700172442</v>
      </c>
      <c r="AW123">
        <f t="shared" si="66"/>
        <v>11910.206737245224</v>
      </c>
      <c r="AX123">
        <f t="shared" si="67"/>
        <v>11107.770117023811</v>
      </c>
      <c r="AY123">
        <f t="shared" si="68"/>
        <v>10321.686440074138</v>
      </c>
      <c r="AZ123">
        <f t="shared" si="69"/>
        <v>9565.352740442444</v>
      </c>
      <c r="BA123">
        <f t="shared" si="70"/>
        <v>8860.4581903768394</v>
      </c>
      <c r="BB123">
        <f t="shared" si="71"/>
        <v>8239.990741010175</v>
      </c>
      <c r="BC123">
        <f t="shared" si="72"/>
        <v>7752.409074653302</v>
      </c>
      <c r="BD123">
        <f t="shared" si="73"/>
        <v>7466.4668626609428</v>
      </c>
      <c r="BE123">
        <f t="shared" si="74"/>
        <v>105766.23257523368</v>
      </c>
      <c r="BF123">
        <f t="shared" si="75"/>
        <v>99021.458813456789</v>
      </c>
      <c r="BG123">
        <f t="shared" si="76"/>
        <v>92350.000752935957</v>
      </c>
      <c r="BH123">
        <f t="shared" si="77"/>
        <v>85814.501062776384</v>
      </c>
      <c r="BI123">
        <f t="shared" si="78"/>
        <v>79526.342684038478</v>
      </c>
      <c r="BJ123">
        <f t="shared" si="79"/>
        <v>73665.84939479304</v>
      </c>
      <c r="BK123">
        <f t="shared" si="80"/>
        <v>68507.283020758594</v>
      </c>
      <c r="BL123">
        <f t="shared" si="81"/>
        <v>64453.529046667551</v>
      </c>
      <c r="BM123">
        <f t="shared" si="82"/>
        <v>62076.205496163078</v>
      </c>
      <c r="BO123" s="2">
        <v>110607</v>
      </c>
      <c r="BP123" s="2">
        <v>103419</v>
      </c>
      <c r="BQ123" s="2">
        <v>96297.74</v>
      </c>
      <c r="BR123" s="2">
        <v>89261.13</v>
      </c>
      <c r="BS123" s="2">
        <v>82297.89</v>
      </c>
      <c r="BT123" s="2">
        <v>75355.759999999995</v>
      </c>
      <c r="BU123" s="2">
        <v>68313.59</v>
      </c>
      <c r="BV123" s="2">
        <v>60916.74</v>
      </c>
      <c r="BW123" s="2">
        <v>52596.71</v>
      </c>
      <c r="BY123">
        <f t="shared" si="83"/>
        <v>0.98182635319093403</v>
      </c>
    </row>
    <row r="124" spans="1:77" x14ac:dyDescent="0.3">
      <c r="A124" s="1" t="s">
        <v>347</v>
      </c>
      <c r="B124" s="2">
        <v>300</v>
      </c>
      <c r="C124" s="2">
        <v>745</v>
      </c>
      <c r="E124">
        <v>300</v>
      </c>
      <c r="F124">
        <v>349.44439999999997</v>
      </c>
      <c r="G124">
        <v>398.88889999999998</v>
      </c>
      <c r="H124">
        <v>448.33330000000001</v>
      </c>
      <c r="I124">
        <v>497.77780000000001</v>
      </c>
      <c r="J124">
        <v>547.22220000000004</v>
      </c>
      <c r="K124">
        <v>596.66669999999999</v>
      </c>
      <c r="L124">
        <v>646.11109999999996</v>
      </c>
      <c r="M124">
        <v>695.55560000000003</v>
      </c>
      <c r="N124">
        <v>745</v>
      </c>
      <c r="O124">
        <v>6.4492399999999995E-4</v>
      </c>
      <c r="P124">
        <v>0.1912364</v>
      </c>
      <c r="Q124">
        <v>10.329499999999999</v>
      </c>
      <c r="R124">
        <v>187.15170000000001</v>
      </c>
      <c r="S124">
        <v>1633.02</v>
      </c>
      <c r="T124">
        <v>8604.6080000000002</v>
      </c>
      <c r="U124">
        <v>31743.97</v>
      </c>
      <c r="V124">
        <v>90682.51</v>
      </c>
      <c r="W124">
        <v>215507</v>
      </c>
      <c r="X124">
        <v>450009</v>
      </c>
      <c r="AA124">
        <f t="shared" si="44"/>
        <v>3.3333333333333335E-3</v>
      </c>
      <c r="AB124">
        <f t="shared" si="45"/>
        <v>2.8616855785927606E-3</v>
      </c>
      <c r="AC124">
        <f t="shared" si="46"/>
        <v>2.5069637184689775E-3</v>
      </c>
      <c r="AD124">
        <f t="shared" si="47"/>
        <v>2.2304834372106645E-3</v>
      </c>
      <c r="AE124">
        <f t="shared" si="48"/>
        <v>2.0089284817442639E-3</v>
      </c>
      <c r="AF124">
        <f t="shared" si="49"/>
        <v>1.8274112417222838E-3</v>
      </c>
      <c r="AG124">
        <f t="shared" si="50"/>
        <v>1.6759775600012536E-3</v>
      </c>
      <c r="AH124">
        <f t="shared" si="51"/>
        <v>1.5477214367621917E-3</v>
      </c>
      <c r="AI124">
        <f t="shared" si="52"/>
        <v>1.4376995886453937E-3</v>
      </c>
      <c r="AJ124">
        <f t="shared" si="53"/>
        <v>1.3422818791946308E-3</v>
      </c>
      <c r="AK124">
        <f t="shared" si="54"/>
        <v>-7.3463780775683016</v>
      </c>
      <c r="AL124">
        <f t="shared" si="55"/>
        <v>-1.6542449199151179</v>
      </c>
      <c r="AM124">
        <f t="shared" si="56"/>
        <v>2.3350038792495464</v>
      </c>
      <c r="AN124">
        <f t="shared" si="57"/>
        <v>5.2319195179319449</v>
      </c>
      <c r="AO124">
        <f t="shared" si="58"/>
        <v>7.3981863402928942</v>
      </c>
      <c r="AP124">
        <f t="shared" si="59"/>
        <v>9.0600531526980479</v>
      </c>
      <c r="AQ124">
        <f t="shared" si="60"/>
        <v>10.365458065023669</v>
      </c>
      <c r="AR124">
        <f t="shared" si="61"/>
        <v>11.415119783991365</v>
      </c>
      <c r="AS124">
        <f t="shared" si="62"/>
        <v>12.280748670596999</v>
      </c>
      <c r="AT124">
        <f t="shared" si="63"/>
        <v>13.017022861546506</v>
      </c>
      <c r="AU124">
        <f t="shared" si="64"/>
        <v>0.99445027581205203</v>
      </c>
      <c r="AV124">
        <f t="shared" si="65"/>
        <v>12068.610738503587</v>
      </c>
      <c r="AW124">
        <f t="shared" si="66"/>
        <v>11246.131822190446</v>
      </c>
      <c r="AX124">
        <f t="shared" si="67"/>
        <v>10477.838149968591</v>
      </c>
      <c r="AY124">
        <f t="shared" si="68"/>
        <v>9777.5597833083448</v>
      </c>
      <c r="AZ124">
        <f t="shared" si="69"/>
        <v>9155.4213374107967</v>
      </c>
      <c r="BA124">
        <f t="shared" si="70"/>
        <v>8620.3075662548181</v>
      </c>
      <c r="BB124">
        <f t="shared" si="71"/>
        <v>8184.1060875603425</v>
      </c>
      <c r="BC124">
        <f t="shared" si="72"/>
        <v>7867.7908199350741</v>
      </c>
      <c r="BD124">
        <f t="shared" si="73"/>
        <v>7716.326405104458</v>
      </c>
      <c r="BE124">
        <f t="shared" si="74"/>
        <v>100338.42967991882</v>
      </c>
      <c r="BF124">
        <f t="shared" si="75"/>
        <v>93500.339969691369</v>
      </c>
      <c r="BG124">
        <f t="shared" si="76"/>
        <v>87112.74637883887</v>
      </c>
      <c r="BH124">
        <f t="shared" si="77"/>
        <v>81290.632038425581</v>
      </c>
      <c r="BI124">
        <f t="shared" si="78"/>
        <v>76118.172999233371</v>
      </c>
      <c r="BJ124">
        <f t="shared" si="79"/>
        <v>71669.237105842563</v>
      </c>
      <c r="BK124">
        <f t="shared" si="80"/>
        <v>68042.658011976688</v>
      </c>
      <c r="BL124">
        <f t="shared" si="81"/>
        <v>65412.812876940203</v>
      </c>
      <c r="BM124">
        <f t="shared" si="82"/>
        <v>64153.537732038465</v>
      </c>
      <c r="BO124" s="2">
        <v>103498</v>
      </c>
      <c r="BP124" s="2">
        <v>96445.26</v>
      </c>
      <c r="BQ124" s="2">
        <v>90058.16</v>
      </c>
      <c r="BR124" s="2">
        <v>84102.12</v>
      </c>
      <c r="BS124" s="2">
        <v>78336.08</v>
      </c>
      <c r="BT124" s="2">
        <v>72489.279999999999</v>
      </c>
      <c r="BU124" s="2">
        <v>66225.16</v>
      </c>
      <c r="BV124" s="2">
        <v>59071.58</v>
      </c>
      <c r="BW124" s="2">
        <v>50251.9</v>
      </c>
      <c r="BY124">
        <f t="shared" si="83"/>
        <v>0.94860823041727538</v>
      </c>
    </row>
    <row r="125" spans="1:77" x14ac:dyDescent="0.3">
      <c r="A125" s="1" t="s">
        <v>350</v>
      </c>
      <c r="B125" s="2">
        <v>300</v>
      </c>
      <c r="C125" s="2">
        <v>740</v>
      </c>
      <c r="E125">
        <v>300</v>
      </c>
      <c r="F125">
        <v>348.88889999999998</v>
      </c>
      <c r="G125">
        <v>397.77780000000001</v>
      </c>
      <c r="H125">
        <v>446.66669999999999</v>
      </c>
      <c r="I125">
        <v>495.55560000000003</v>
      </c>
      <c r="J125">
        <v>544.44439999999997</v>
      </c>
      <c r="K125">
        <v>593.33330000000001</v>
      </c>
      <c r="L125">
        <v>642.22220000000004</v>
      </c>
      <c r="M125">
        <v>691.11109999999996</v>
      </c>
      <c r="N125">
        <v>740</v>
      </c>
      <c r="O125" s="13">
        <v>3.5822799999999999E-5</v>
      </c>
      <c r="P125">
        <v>2.64595E-2</v>
      </c>
      <c r="Q125">
        <v>2.7718449999999999</v>
      </c>
      <c r="R125">
        <v>79.740020000000001</v>
      </c>
      <c r="S125">
        <v>944.50750000000005</v>
      </c>
      <c r="T125">
        <v>6001.4629999999997</v>
      </c>
      <c r="U125">
        <v>24558.78</v>
      </c>
      <c r="V125">
        <v>73965.97</v>
      </c>
      <c r="W125">
        <v>181995</v>
      </c>
      <c r="X125">
        <v>400777</v>
      </c>
      <c r="AA125">
        <f t="shared" si="44"/>
        <v>3.3333333333333335E-3</v>
      </c>
      <c r="AB125">
        <f t="shared" si="45"/>
        <v>2.8662419469349699E-3</v>
      </c>
      <c r="AC125">
        <f t="shared" si="46"/>
        <v>2.5139663400018802E-3</v>
      </c>
      <c r="AD125">
        <f t="shared" si="47"/>
        <v>2.2388058030741939E-3</v>
      </c>
      <c r="AE125">
        <f t="shared" si="48"/>
        <v>2.0179370387500414E-3</v>
      </c>
      <c r="AF125">
        <f t="shared" si="49"/>
        <v>1.8367348438150894E-3</v>
      </c>
      <c r="AG125">
        <f t="shared" si="50"/>
        <v>1.6853933531119861E-3</v>
      </c>
      <c r="AH125">
        <f t="shared" si="51"/>
        <v>1.5570934794842033E-3</v>
      </c>
      <c r="AI125">
        <f t="shared" si="52"/>
        <v>1.446945360883366E-3</v>
      </c>
      <c r="AJ125">
        <f t="shared" si="53"/>
        <v>1.3513513513513514E-3</v>
      </c>
      <c r="AK125">
        <f t="shared" si="54"/>
        <v>-10.236925995765834</v>
      </c>
      <c r="AL125">
        <f t="shared" si="55"/>
        <v>-3.6321400169213356</v>
      </c>
      <c r="AM125">
        <f t="shared" si="56"/>
        <v>1.0195131634583656</v>
      </c>
      <c r="AN125">
        <f t="shared" si="57"/>
        <v>4.3787715927683264</v>
      </c>
      <c r="AO125">
        <f t="shared" si="58"/>
        <v>6.8506636276194071</v>
      </c>
      <c r="AP125">
        <f t="shared" si="59"/>
        <v>8.6997585518210094</v>
      </c>
      <c r="AQ125">
        <f t="shared" si="60"/>
        <v>10.108824706760171</v>
      </c>
      <c r="AR125">
        <f t="shared" si="61"/>
        <v>11.211360401551167</v>
      </c>
      <c r="AS125">
        <f t="shared" si="62"/>
        <v>12.111734493154083</v>
      </c>
      <c r="AT125">
        <f t="shared" si="63"/>
        <v>12.901160441876655</v>
      </c>
      <c r="AU125">
        <f t="shared" si="64"/>
        <v>0.99136725703638062</v>
      </c>
      <c r="AV125">
        <f t="shared" si="65"/>
        <v>14140.243582251675</v>
      </c>
      <c r="AW125">
        <f t="shared" si="66"/>
        <v>13204.584958001999</v>
      </c>
      <c r="AX125">
        <f t="shared" si="67"/>
        <v>12208.358316268266</v>
      </c>
      <c r="AY125">
        <f t="shared" si="68"/>
        <v>11191.677747711172</v>
      </c>
      <c r="AZ125">
        <f t="shared" si="69"/>
        <v>10204.594513137057</v>
      </c>
      <c r="BA125">
        <f t="shared" si="70"/>
        <v>9310.5079670678042</v>
      </c>
      <c r="BB125">
        <f t="shared" si="71"/>
        <v>8593.4277534022876</v>
      </c>
      <c r="BC125">
        <f t="shared" si="72"/>
        <v>8174.2121703027669</v>
      </c>
      <c r="BD125">
        <f t="shared" si="73"/>
        <v>8258.1110739809719</v>
      </c>
      <c r="BE125">
        <f t="shared" si="74"/>
        <v>117561.98514284042</v>
      </c>
      <c r="BF125">
        <f t="shared" si="75"/>
        <v>109782.91934082862</v>
      </c>
      <c r="BG125">
        <f t="shared" si="76"/>
        <v>101500.29104145437</v>
      </c>
      <c r="BH125">
        <f t="shared" si="77"/>
        <v>93047.608794470681</v>
      </c>
      <c r="BI125">
        <f t="shared" si="78"/>
        <v>84840.99878222149</v>
      </c>
      <c r="BJ125">
        <f t="shared" si="79"/>
        <v>77407.563238201721</v>
      </c>
      <c r="BK125">
        <f t="shared" si="80"/>
        <v>71445.758341786626</v>
      </c>
      <c r="BL125">
        <f t="shared" si="81"/>
        <v>67960.399983897209</v>
      </c>
      <c r="BM125">
        <f t="shared" si="82"/>
        <v>68657.935469077798</v>
      </c>
      <c r="BO125" s="2">
        <v>121039</v>
      </c>
      <c r="BP125" s="2">
        <v>113601</v>
      </c>
      <c r="BQ125" s="2">
        <v>105526</v>
      </c>
      <c r="BR125" s="2">
        <v>97074.48</v>
      </c>
      <c r="BS125" s="2">
        <v>88461.06</v>
      </c>
      <c r="BT125" s="2">
        <v>79839.22</v>
      </c>
      <c r="BU125" s="2">
        <v>71273.69</v>
      </c>
      <c r="BV125" s="2">
        <v>62685.93</v>
      </c>
      <c r="BW125" s="2">
        <v>53702.33</v>
      </c>
      <c r="BY125">
        <f t="shared" si="83"/>
        <v>0.95626812184632937</v>
      </c>
    </row>
    <row r="126" spans="1:77" x14ac:dyDescent="0.3">
      <c r="A126" s="1" t="s">
        <v>353</v>
      </c>
      <c r="B126" s="2">
        <v>300</v>
      </c>
      <c r="C126" s="2">
        <v>764</v>
      </c>
      <c r="E126">
        <v>300</v>
      </c>
      <c r="F126">
        <v>351.55560000000003</v>
      </c>
      <c r="G126">
        <v>403.11110000000002</v>
      </c>
      <c r="H126">
        <v>454.66669999999999</v>
      </c>
      <c r="I126">
        <v>506.22219999999999</v>
      </c>
      <c r="J126">
        <v>557.77779999999996</v>
      </c>
      <c r="K126">
        <v>609.33330000000001</v>
      </c>
      <c r="L126">
        <v>660.88890000000004</v>
      </c>
      <c r="M126">
        <v>712.44439999999997</v>
      </c>
      <c r="N126">
        <v>764</v>
      </c>
      <c r="O126">
        <v>2.2545E-4</v>
      </c>
      <c r="P126">
        <v>0.1011099</v>
      </c>
      <c r="Q126">
        <v>6.9429210000000001</v>
      </c>
      <c r="R126">
        <v>145.48249999999999</v>
      </c>
      <c r="S126">
        <v>1390.2470000000001</v>
      </c>
      <c r="T126">
        <v>7764.4129999999996</v>
      </c>
      <c r="U126">
        <v>29753.61</v>
      </c>
      <c r="V126">
        <v>87174.7</v>
      </c>
      <c r="W126">
        <v>210799</v>
      </c>
      <c r="X126">
        <v>445818</v>
      </c>
      <c r="AA126">
        <f t="shared" si="44"/>
        <v>3.3333333333333335E-3</v>
      </c>
      <c r="AB126">
        <f t="shared" si="45"/>
        <v>2.8445002725031258E-3</v>
      </c>
      <c r="AC126">
        <f t="shared" si="46"/>
        <v>2.4807056913094178E-3</v>
      </c>
      <c r="AD126">
        <f t="shared" si="47"/>
        <v>2.1994133284887591E-3</v>
      </c>
      <c r="AE126">
        <f t="shared" si="48"/>
        <v>1.9754171192018053E-3</v>
      </c>
      <c r="AF126">
        <f t="shared" si="49"/>
        <v>1.7928286138315294E-3</v>
      </c>
      <c r="AG126">
        <f t="shared" si="50"/>
        <v>1.6411379453576556E-3</v>
      </c>
      <c r="AH126">
        <f t="shared" si="51"/>
        <v>1.5131136262085806E-3</v>
      </c>
      <c r="AI126">
        <f t="shared" si="52"/>
        <v>1.4036183034072554E-3</v>
      </c>
      <c r="AJ126">
        <f t="shared" si="53"/>
        <v>1.3089005235602095E-3</v>
      </c>
      <c r="AK126">
        <f t="shared" si="54"/>
        <v>-8.3974121530971804</v>
      </c>
      <c r="AL126">
        <f t="shared" si="55"/>
        <v>-2.2915472349011758</v>
      </c>
      <c r="AM126">
        <f t="shared" si="56"/>
        <v>1.9377225793397019</v>
      </c>
      <c r="AN126">
        <f t="shared" si="57"/>
        <v>4.9800558044638503</v>
      </c>
      <c r="AO126">
        <f t="shared" si="58"/>
        <v>7.237236708180073</v>
      </c>
      <c r="AP126">
        <f t="shared" si="59"/>
        <v>8.9573061371039167</v>
      </c>
      <c r="AQ126">
        <f t="shared" si="60"/>
        <v>10.300705748149937</v>
      </c>
      <c r="AR126">
        <f t="shared" si="61"/>
        <v>11.375669430184331</v>
      </c>
      <c r="AS126">
        <f t="shared" si="62"/>
        <v>12.258660351805075</v>
      </c>
      <c r="AT126">
        <f t="shared" si="63"/>
        <v>13.007666075969388</v>
      </c>
      <c r="AU126">
        <f t="shared" si="64"/>
        <v>0.99423603275827765</v>
      </c>
      <c r="AV126">
        <f t="shared" si="65"/>
        <v>12490.695510295747</v>
      </c>
      <c r="AW126">
        <f t="shared" si="66"/>
        <v>11625.433782887874</v>
      </c>
      <c r="AX126">
        <f t="shared" si="67"/>
        <v>10815.555725072505</v>
      </c>
      <c r="AY126">
        <f t="shared" si="68"/>
        <v>10076.870992154272</v>
      </c>
      <c r="AZ126">
        <f t="shared" si="69"/>
        <v>9420.469407072871</v>
      </c>
      <c r="BA126">
        <f t="shared" si="70"/>
        <v>8856.1783302932636</v>
      </c>
      <c r="BB126">
        <f t="shared" si="71"/>
        <v>8396.5584756024073</v>
      </c>
      <c r="BC126">
        <f t="shared" si="72"/>
        <v>8064.1884879676063</v>
      </c>
      <c r="BD126">
        <f t="shared" si="73"/>
        <v>7907.762675327036</v>
      </c>
      <c r="BE126">
        <f t="shared" si="74"/>
        <v>103847.64247259885</v>
      </c>
      <c r="BF126">
        <f t="shared" si="75"/>
        <v>96653.856470929793</v>
      </c>
      <c r="BG126">
        <f t="shared" si="76"/>
        <v>89920.530298252808</v>
      </c>
      <c r="BH126">
        <f t="shared" si="77"/>
        <v>83779.105428770621</v>
      </c>
      <c r="BI126">
        <f t="shared" si="78"/>
        <v>78321.782650403853</v>
      </c>
      <c r="BJ126">
        <f t="shared" si="79"/>
        <v>73630.266638058194</v>
      </c>
      <c r="BK126">
        <f t="shared" si="80"/>
        <v>69808.987166158418</v>
      </c>
      <c r="BL126">
        <f t="shared" si="81"/>
        <v>67045.663088962683</v>
      </c>
      <c r="BM126">
        <f t="shared" si="82"/>
        <v>65745.13888266898</v>
      </c>
      <c r="BO126" s="2">
        <v>107189</v>
      </c>
      <c r="BP126" s="2">
        <v>99795.48</v>
      </c>
      <c r="BQ126" s="2">
        <v>93039.25</v>
      </c>
      <c r="BR126" s="2">
        <v>86717.2</v>
      </c>
      <c r="BS126" s="2">
        <v>80616.66</v>
      </c>
      <c r="BT126" s="2">
        <v>74493.740000000005</v>
      </c>
      <c r="BU126" s="2">
        <v>68036.19</v>
      </c>
      <c r="BV126" s="2">
        <v>60787.9</v>
      </c>
      <c r="BW126" s="2">
        <v>51957.84</v>
      </c>
      <c r="BY126">
        <f t="shared" si="83"/>
        <v>0.9530572238042202</v>
      </c>
    </row>
    <row r="127" spans="1:77" x14ac:dyDescent="0.3">
      <c r="A127" s="1" t="s">
        <v>356</v>
      </c>
      <c r="B127" s="2">
        <v>254.85</v>
      </c>
      <c r="C127" s="2">
        <v>780</v>
      </c>
      <c r="E127">
        <v>254.85</v>
      </c>
      <c r="F127">
        <v>313.2</v>
      </c>
      <c r="G127">
        <v>371.55</v>
      </c>
      <c r="H127">
        <v>429.9</v>
      </c>
      <c r="I127">
        <v>488.25</v>
      </c>
      <c r="J127">
        <v>546.6</v>
      </c>
      <c r="K127">
        <v>604.95000000000005</v>
      </c>
      <c r="L127">
        <v>663.3</v>
      </c>
      <c r="M127">
        <v>721.65</v>
      </c>
      <c r="N127">
        <v>780</v>
      </c>
      <c r="O127" s="13">
        <v>2.07115E-8</v>
      </c>
      <c r="P127">
        <v>4.6291600000000001E-4</v>
      </c>
      <c r="Q127">
        <v>0.26648549999999999</v>
      </c>
      <c r="R127">
        <v>19.11994</v>
      </c>
      <c r="S127">
        <v>384.52929999999998</v>
      </c>
      <c r="T127">
        <v>3416.8910000000001</v>
      </c>
      <c r="U127">
        <v>17623.45</v>
      </c>
      <c r="V127">
        <v>62707.44</v>
      </c>
      <c r="W127">
        <v>172759</v>
      </c>
      <c r="X127">
        <v>400557</v>
      </c>
      <c r="AA127">
        <f t="shared" si="44"/>
        <v>3.9238767902687859E-3</v>
      </c>
      <c r="AB127">
        <f t="shared" si="45"/>
        <v>3.1928480204342275E-3</v>
      </c>
      <c r="AC127">
        <f t="shared" si="46"/>
        <v>2.6914278024491992E-3</v>
      </c>
      <c r="AD127">
        <f t="shared" si="47"/>
        <v>2.3261223540358223E-3</v>
      </c>
      <c r="AE127">
        <f t="shared" si="48"/>
        <v>2.0481310803891449E-3</v>
      </c>
      <c r="AF127">
        <f t="shared" si="49"/>
        <v>1.8294914013904135E-3</v>
      </c>
      <c r="AG127">
        <f t="shared" si="50"/>
        <v>1.6530291759649556E-3</v>
      </c>
      <c r="AH127">
        <f t="shared" si="51"/>
        <v>1.5076134479119555E-3</v>
      </c>
      <c r="AI127">
        <f t="shared" si="52"/>
        <v>1.3857132959190744E-3</v>
      </c>
      <c r="AJ127">
        <f t="shared" si="53"/>
        <v>1.2820512820512821E-3</v>
      </c>
      <c r="AK127">
        <f t="shared" si="54"/>
        <v>-17.692576735383387</v>
      </c>
      <c r="AL127">
        <f t="shared" si="55"/>
        <v>-7.6779649458235957</v>
      </c>
      <c r="AM127">
        <f t="shared" si="56"/>
        <v>-1.3224354458620899</v>
      </c>
      <c r="AN127">
        <f t="shared" si="57"/>
        <v>2.9507317695430175</v>
      </c>
      <c r="AO127">
        <f t="shared" si="58"/>
        <v>5.9520199889032668</v>
      </c>
      <c r="AP127">
        <f t="shared" si="59"/>
        <v>8.1364863522796025</v>
      </c>
      <c r="AQ127">
        <f t="shared" si="60"/>
        <v>9.7769856805508226</v>
      </c>
      <c r="AR127">
        <f t="shared" si="61"/>
        <v>11.046235379868518</v>
      </c>
      <c r="AS127">
        <f t="shared" si="62"/>
        <v>12.059652838680945</v>
      </c>
      <c r="AT127">
        <f t="shared" si="63"/>
        <v>12.9006113574611</v>
      </c>
      <c r="AU127">
        <f t="shared" si="64"/>
        <v>0.9930121826463848</v>
      </c>
      <c r="AV127">
        <f t="shared" si="65"/>
        <v>13699.340166634251</v>
      </c>
      <c r="AW127">
        <f t="shared" si="66"/>
        <v>12675.056314046102</v>
      </c>
      <c r="AX127">
        <f t="shared" si="67"/>
        <v>11697.518430027967</v>
      </c>
      <c r="AY127">
        <f t="shared" si="68"/>
        <v>10796.339683578846</v>
      </c>
      <c r="AZ127">
        <f t="shared" si="69"/>
        <v>9991.170739822619</v>
      </c>
      <c r="BA127">
        <f t="shared" si="70"/>
        <v>9296.6034193205214</v>
      </c>
      <c r="BB127">
        <f t="shared" si="71"/>
        <v>8728.4210333498995</v>
      </c>
      <c r="BC127">
        <f t="shared" si="72"/>
        <v>8313.5044726737506</v>
      </c>
      <c r="BD127">
        <f t="shared" si="73"/>
        <v>8112.5041604216804</v>
      </c>
      <c r="BE127">
        <f t="shared" si="74"/>
        <v>113896.31414539716</v>
      </c>
      <c r="BF127">
        <f t="shared" si="75"/>
        <v>105380.41819497928</v>
      </c>
      <c r="BG127">
        <f t="shared" si="76"/>
        <v>97253.168227252521</v>
      </c>
      <c r="BH127">
        <f t="shared" si="77"/>
        <v>89760.768129274526</v>
      </c>
      <c r="BI127">
        <f t="shared" si="78"/>
        <v>83066.593530885249</v>
      </c>
      <c r="BJ127">
        <f t="shared" si="79"/>
        <v>77291.960828230818</v>
      </c>
      <c r="BK127">
        <f t="shared" si="80"/>
        <v>72568.092471271069</v>
      </c>
      <c r="BL127">
        <f t="shared" si="81"/>
        <v>69118.476185809559</v>
      </c>
      <c r="BM127">
        <f t="shared" si="82"/>
        <v>67447.359589745858</v>
      </c>
      <c r="BO127" s="2">
        <v>118433</v>
      </c>
      <c r="BP127" s="2">
        <v>109135</v>
      </c>
      <c r="BQ127" s="2">
        <v>100849</v>
      </c>
      <c r="BR127" s="2">
        <v>93289.73</v>
      </c>
      <c r="BS127" s="2">
        <v>86176.08</v>
      </c>
      <c r="BT127" s="2">
        <v>79199.460000000006</v>
      </c>
      <c r="BU127" s="2">
        <v>71978.45</v>
      </c>
      <c r="BV127" s="2">
        <v>63964.81</v>
      </c>
      <c r="BW127" s="2">
        <v>54201.64</v>
      </c>
      <c r="BY127">
        <f t="shared" si="83"/>
        <v>0.96437672846944977</v>
      </c>
    </row>
    <row r="128" spans="1:77" x14ac:dyDescent="0.3">
      <c r="A128" s="1" t="s">
        <v>359</v>
      </c>
      <c r="B128" s="2">
        <v>240.5</v>
      </c>
      <c r="C128" s="2">
        <v>731</v>
      </c>
      <c r="E128">
        <v>240.5</v>
      </c>
      <c r="F128">
        <v>295</v>
      </c>
      <c r="G128">
        <v>349.5</v>
      </c>
      <c r="H128">
        <v>404</v>
      </c>
      <c r="I128">
        <v>458.5</v>
      </c>
      <c r="J128">
        <v>513</v>
      </c>
      <c r="K128">
        <v>567.5</v>
      </c>
      <c r="L128">
        <v>622</v>
      </c>
      <c r="M128">
        <v>676.5</v>
      </c>
      <c r="N128">
        <v>731</v>
      </c>
      <c r="O128" s="13">
        <v>3.1940599999999999E-8</v>
      </c>
      <c r="P128">
        <v>6.0310099999999998E-4</v>
      </c>
      <c r="Q128">
        <v>0.31973049999999997</v>
      </c>
      <c r="R128">
        <v>21.988389999999999</v>
      </c>
      <c r="S128">
        <v>432.50560000000002</v>
      </c>
      <c r="T128">
        <v>3799.1579999999999</v>
      </c>
      <c r="U128">
        <v>19482.189999999999</v>
      </c>
      <c r="V128">
        <v>69126.740000000005</v>
      </c>
      <c r="W128">
        <v>190138</v>
      </c>
      <c r="X128">
        <v>439998</v>
      </c>
      <c r="AA128">
        <f t="shared" si="44"/>
        <v>4.1580041580041582E-3</v>
      </c>
      <c r="AB128">
        <f t="shared" si="45"/>
        <v>3.3898305084745762E-3</v>
      </c>
      <c r="AC128">
        <f t="shared" si="46"/>
        <v>2.8612303290414878E-3</v>
      </c>
      <c r="AD128">
        <f t="shared" si="47"/>
        <v>2.4752475247524753E-3</v>
      </c>
      <c r="AE128">
        <f t="shared" si="48"/>
        <v>2.1810250817884407E-3</v>
      </c>
      <c r="AF128">
        <f t="shared" si="49"/>
        <v>1.9493177387914229E-3</v>
      </c>
      <c r="AG128">
        <f t="shared" si="50"/>
        <v>1.762114537444934E-3</v>
      </c>
      <c r="AH128">
        <f t="shared" si="51"/>
        <v>1.6077170418006431E-3</v>
      </c>
      <c r="AI128">
        <f t="shared" si="52"/>
        <v>1.4781966001478197E-3</v>
      </c>
      <c r="AJ128">
        <f t="shared" si="53"/>
        <v>1.3679890560875513E-3</v>
      </c>
      <c r="AK128">
        <f t="shared" si="54"/>
        <v>-17.259387909113695</v>
      </c>
      <c r="AL128">
        <f t="shared" si="55"/>
        <v>-7.4134258794088899</v>
      </c>
      <c r="AM128">
        <f t="shared" si="56"/>
        <v>-1.1402768255274989</v>
      </c>
      <c r="AN128">
        <f t="shared" si="57"/>
        <v>3.090514586788542</v>
      </c>
      <c r="AO128">
        <f t="shared" si="58"/>
        <v>6.0695952742649881</v>
      </c>
      <c r="AP128">
        <f t="shared" si="59"/>
        <v>8.2425347422148665</v>
      </c>
      <c r="AQ128">
        <f t="shared" si="60"/>
        <v>9.8772559938754814</v>
      </c>
      <c r="AR128">
        <f t="shared" si="61"/>
        <v>11.143696910298067</v>
      </c>
      <c r="AS128">
        <f t="shared" si="62"/>
        <v>12.155505403292434</v>
      </c>
      <c r="AT128">
        <f t="shared" si="63"/>
        <v>12.994525460429568</v>
      </c>
      <c r="AU128">
        <f t="shared" si="64"/>
        <v>0.99312345864024065</v>
      </c>
      <c r="AV128">
        <f t="shared" si="65"/>
        <v>12817.364974357457</v>
      </c>
      <c r="AW128">
        <f t="shared" si="66"/>
        <v>11867.4743179414</v>
      </c>
      <c r="AX128">
        <f t="shared" si="67"/>
        <v>10961.087813508262</v>
      </c>
      <c r="AY128">
        <f t="shared" si="68"/>
        <v>10125.266643376372</v>
      </c>
      <c r="AZ128">
        <f t="shared" si="69"/>
        <v>9377.9482335087032</v>
      </c>
      <c r="BA128">
        <f t="shared" si="70"/>
        <v>8732.3359851894693</v>
      </c>
      <c r="BB128">
        <f t="shared" si="71"/>
        <v>8202.4705850169903</v>
      </c>
      <c r="BC128">
        <f t="shared" si="72"/>
        <v>7811.9598735348436</v>
      </c>
      <c r="BD128">
        <f t="shared" si="73"/>
        <v>7613.0909575328633</v>
      </c>
      <c r="BE128">
        <f t="shared" si="74"/>
        <v>106563.5723968079</v>
      </c>
      <c r="BF128">
        <f t="shared" si="75"/>
        <v>98666.181479364794</v>
      </c>
      <c r="BG128">
        <f t="shared" si="76"/>
        <v>91130.48408150769</v>
      </c>
      <c r="BH128">
        <f t="shared" si="77"/>
        <v>84181.466873031153</v>
      </c>
      <c r="BI128">
        <f t="shared" si="78"/>
        <v>77968.261613391354</v>
      </c>
      <c r="BJ128">
        <f t="shared" si="79"/>
        <v>72600.641380865243</v>
      </c>
      <c r="BK128">
        <f t="shared" si="80"/>
        <v>68195.340443831257</v>
      </c>
      <c r="BL128">
        <f t="shared" si="81"/>
        <v>64948.634388568687</v>
      </c>
      <c r="BM128">
        <f t="shared" si="82"/>
        <v>63295.238220928222</v>
      </c>
      <c r="BO128" s="2">
        <v>110766</v>
      </c>
      <c r="BP128" s="2">
        <v>102172</v>
      </c>
      <c r="BQ128" s="2">
        <v>94477.94</v>
      </c>
      <c r="BR128" s="2">
        <v>87445.21</v>
      </c>
      <c r="BS128" s="2">
        <v>80834.600000000006</v>
      </c>
      <c r="BT128" s="2">
        <v>74382.929999999993</v>
      </c>
      <c r="BU128" s="2">
        <v>67762.39</v>
      </c>
      <c r="BV128" s="2">
        <v>60498.11</v>
      </c>
      <c r="BW128" s="2">
        <v>51756.44</v>
      </c>
      <c r="BY128">
        <f t="shared" si="83"/>
        <v>0.96786104533297623</v>
      </c>
    </row>
    <row r="129" spans="1:77" x14ac:dyDescent="0.3">
      <c r="A129" s="1" t="s">
        <v>362</v>
      </c>
      <c r="B129" s="2">
        <v>300</v>
      </c>
      <c r="C129" s="2">
        <v>761</v>
      </c>
      <c r="E129">
        <v>300</v>
      </c>
      <c r="F129">
        <v>351.22219999999999</v>
      </c>
      <c r="G129">
        <v>402.44439999999997</v>
      </c>
      <c r="H129">
        <v>453.66669999999999</v>
      </c>
      <c r="I129">
        <v>504.88889999999998</v>
      </c>
      <c r="J129">
        <v>556.11109999999996</v>
      </c>
      <c r="K129">
        <v>607.33330000000001</v>
      </c>
      <c r="L129">
        <v>658.55560000000003</v>
      </c>
      <c r="M129">
        <v>709.77779999999996</v>
      </c>
      <c r="N129">
        <v>761</v>
      </c>
      <c r="O129" s="13">
        <v>1.24381E-5</v>
      </c>
      <c r="P129">
        <v>1.53724E-2</v>
      </c>
      <c r="Q129">
        <v>2.05525</v>
      </c>
      <c r="R129">
        <v>65.993070000000003</v>
      </c>
      <c r="S129">
        <v>817.40930000000003</v>
      </c>
      <c r="T129">
        <v>5273.2849999999999</v>
      </c>
      <c r="U129">
        <v>21665.64</v>
      </c>
      <c r="V129">
        <v>65367.62</v>
      </c>
      <c r="W129">
        <v>161357</v>
      </c>
      <c r="X129">
        <v>357342</v>
      </c>
      <c r="AA129">
        <f t="shared" si="44"/>
        <v>3.3333333333333335E-3</v>
      </c>
      <c r="AB129">
        <f t="shared" si="45"/>
        <v>2.8472004332300181E-3</v>
      </c>
      <c r="AC129">
        <f t="shared" si="46"/>
        <v>2.4848152937399551E-3</v>
      </c>
      <c r="AD129">
        <f t="shared" si="47"/>
        <v>2.2042614104142975E-3</v>
      </c>
      <c r="AE129">
        <f t="shared" si="48"/>
        <v>1.9806337592290107E-3</v>
      </c>
      <c r="AF129">
        <f t="shared" si="49"/>
        <v>1.798201834129907E-3</v>
      </c>
      <c r="AG129">
        <f t="shared" si="50"/>
        <v>1.6465423516214242E-3</v>
      </c>
      <c r="AH129">
        <f t="shared" si="51"/>
        <v>1.5184746739683027E-3</v>
      </c>
      <c r="AI129">
        <f t="shared" si="52"/>
        <v>1.4088916277742133E-3</v>
      </c>
      <c r="AJ129">
        <f t="shared" si="53"/>
        <v>1.3140604467805519E-3</v>
      </c>
      <c r="AK129">
        <f t="shared" si="54"/>
        <v>-11.294746215437103</v>
      </c>
      <c r="AL129">
        <f t="shared" si="55"/>
        <v>-4.1751815852805922</v>
      </c>
      <c r="AM129">
        <f t="shared" si="56"/>
        <v>0.72039749505010575</v>
      </c>
      <c r="AN129">
        <f t="shared" si="57"/>
        <v>4.1895497365135395</v>
      </c>
      <c r="AO129">
        <f t="shared" si="58"/>
        <v>6.7061399486039903</v>
      </c>
      <c r="AP129">
        <f t="shared" si="59"/>
        <v>8.5704087869983834</v>
      </c>
      <c r="AQ129">
        <f t="shared" si="60"/>
        <v>9.9834828744715942</v>
      </c>
      <c r="AR129">
        <f t="shared" si="61"/>
        <v>11.087782307805693</v>
      </c>
      <c r="AS129">
        <f t="shared" si="62"/>
        <v>11.99137458048699</v>
      </c>
      <c r="AT129">
        <f t="shared" si="63"/>
        <v>12.786448585382001</v>
      </c>
      <c r="AU129">
        <f t="shared" si="64"/>
        <v>0.99030182874108619</v>
      </c>
      <c r="AV129">
        <f t="shared" si="65"/>
        <v>14645.30507736346</v>
      </c>
      <c r="AW129">
        <f t="shared" si="66"/>
        <v>13509.326257747776</v>
      </c>
      <c r="AX129">
        <f t="shared" si="67"/>
        <v>12365.368820921138</v>
      </c>
      <c r="AY129">
        <f t="shared" si="68"/>
        <v>11253.484078341138</v>
      </c>
      <c r="AZ129">
        <f t="shared" si="69"/>
        <v>10218.983532524004</v>
      </c>
      <c r="BA129">
        <f t="shared" si="70"/>
        <v>9317.413353261134</v>
      </c>
      <c r="BB129">
        <f t="shared" si="71"/>
        <v>8622.7801859978736</v>
      </c>
      <c r="BC129">
        <f t="shared" si="72"/>
        <v>8245.730558364734</v>
      </c>
      <c r="BD129">
        <f t="shared" si="73"/>
        <v>8384.0989489327803</v>
      </c>
      <c r="BE129">
        <f t="shared" si="74"/>
        <v>121761.06641319981</v>
      </c>
      <c r="BF129">
        <f t="shared" si="75"/>
        <v>112316.53850691501</v>
      </c>
      <c r="BG129">
        <f t="shared" si="76"/>
        <v>102805.67637713834</v>
      </c>
      <c r="BH129">
        <f t="shared" si="77"/>
        <v>93561.46662732822</v>
      </c>
      <c r="BI129">
        <f t="shared" si="78"/>
        <v>84960.629089404567</v>
      </c>
      <c r="BJ129">
        <f t="shared" si="79"/>
        <v>77464.974619013068</v>
      </c>
      <c r="BK129">
        <f t="shared" si="80"/>
        <v>71689.794466386316</v>
      </c>
      <c r="BL129">
        <f t="shared" si="81"/>
        <v>68555.003862244397</v>
      </c>
      <c r="BM129">
        <f t="shared" si="82"/>
        <v>69705.398661427142</v>
      </c>
      <c r="BO129" s="2">
        <v>126081</v>
      </c>
      <c r="BP129" s="2">
        <v>116691</v>
      </c>
      <c r="BQ129" s="2">
        <v>107258</v>
      </c>
      <c r="BR129" s="2">
        <v>97939.1</v>
      </c>
      <c r="BS129" s="2">
        <v>88841.57</v>
      </c>
      <c r="BT129" s="2">
        <v>80008.490000000005</v>
      </c>
      <c r="BU129" s="2">
        <v>71393.490000000005</v>
      </c>
      <c r="BV129" s="2">
        <v>62797.55</v>
      </c>
      <c r="BW129" s="2">
        <v>53684.61</v>
      </c>
      <c r="BY129">
        <f t="shared" si="83"/>
        <v>0.95433182926631033</v>
      </c>
    </row>
    <row r="130" spans="1:77" x14ac:dyDescent="0.3">
      <c r="A130" s="1" t="s">
        <v>365</v>
      </c>
      <c r="B130" s="2">
        <v>275.95</v>
      </c>
      <c r="C130" s="2">
        <v>818</v>
      </c>
      <c r="E130">
        <v>275.95</v>
      </c>
      <c r="F130">
        <v>336.17779999999999</v>
      </c>
      <c r="G130">
        <v>396.40559999999999</v>
      </c>
      <c r="H130">
        <v>456.63330000000002</v>
      </c>
      <c r="I130">
        <v>516.86109999999996</v>
      </c>
      <c r="J130">
        <v>577.08889999999997</v>
      </c>
      <c r="K130">
        <v>637.31669999999997</v>
      </c>
      <c r="L130">
        <v>697.5444</v>
      </c>
      <c r="M130">
        <v>757.7722</v>
      </c>
      <c r="N130">
        <v>818</v>
      </c>
      <c r="O130" s="13">
        <v>4.8851799999999999E-9</v>
      </c>
      <c r="P130">
        <v>1.3402999999999999E-4</v>
      </c>
      <c r="Q130">
        <v>0.10022399999999999</v>
      </c>
      <c r="R130">
        <v>9.0876319999999993</v>
      </c>
      <c r="S130">
        <v>220.13900000000001</v>
      </c>
      <c r="T130">
        <v>2246.1880000000001</v>
      </c>
      <c r="U130">
        <v>12777.2</v>
      </c>
      <c r="V130">
        <v>48640.12</v>
      </c>
      <c r="W130">
        <v>140603</v>
      </c>
      <c r="X130">
        <v>339594</v>
      </c>
      <c r="AA130">
        <f t="shared" si="44"/>
        <v>3.623844899438304E-3</v>
      </c>
      <c r="AB130">
        <f t="shared" si="45"/>
        <v>2.9746164083410626E-3</v>
      </c>
      <c r="AC130">
        <f t="shared" si="46"/>
        <v>2.522668700946707E-3</v>
      </c>
      <c r="AD130">
        <f t="shared" si="47"/>
        <v>2.1899410314578458E-3</v>
      </c>
      <c r="AE130">
        <f t="shared" si="48"/>
        <v>1.9347557786801911E-3</v>
      </c>
      <c r="AF130">
        <f t="shared" si="49"/>
        <v>1.732835270267718E-3</v>
      </c>
      <c r="AG130">
        <f t="shared" si="50"/>
        <v>1.5690786072293415E-3</v>
      </c>
      <c r="AH130">
        <f t="shared" si="51"/>
        <v>1.4336004991223497E-3</v>
      </c>
      <c r="AI130">
        <f t="shared" si="52"/>
        <v>1.3196578074518965E-3</v>
      </c>
      <c r="AJ130">
        <f t="shared" si="53"/>
        <v>1.2224938875305623E-3</v>
      </c>
      <c r="AK130">
        <f t="shared" si="54"/>
        <v>-19.137059704638194</v>
      </c>
      <c r="AL130">
        <f t="shared" si="55"/>
        <v>-8.9174469024738681</v>
      </c>
      <c r="AM130">
        <f t="shared" si="56"/>
        <v>-2.3003475980538539</v>
      </c>
      <c r="AN130">
        <f t="shared" si="57"/>
        <v>2.2069143682011871</v>
      </c>
      <c r="AO130">
        <f t="shared" si="58"/>
        <v>5.3942591650211051</v>
      </c>
      <c r="AP130">
        <f t="shared" si="59"/>
        <v>7.7169898361586862</v>
      </c>
      <c r="AQ130">
        <f t="shared" si="60"/>
        <v>9.4554176115955269</v>
      </c>
      <c r="AR130">
        <f t="shared" si="61"/>
        <v>10.792203983742269</v>
      </c>
      <c r="AS130">
        <f t="shared" si="62"/>
        <v>11.853695595257669</v>
      </c>
      <c r="AT130">
        <f t="shared" si="63"/>
        <v>12.735506065418727</v>
      </c>
      <c r="AU130">
        <f t="shared" si="64"/>
        <v>0.99260813170095086</v>
      </c>
      <c r="AV130">
        <f t="shared" si="65"/>
        <v>15741.165001696809</v>
      </c>
      <c r="AW130">
        <f t="shared" si="66"/>
        <v>14641.294105838086</v>
      </c>
      <c r="AX130">
        <f t="shared" si="67"/>
        <v>13546.399592132304</v>
      </c>
      <c r="AY130">
        <f t="shared" si="68"/>
        <v>12490.317375812783</v>
      </c>
      <c r="AZ130">
        <f t="shared" si="69"/>
        <v>11503.193456668716</v>
      </c>
      <c r="BA130">
        <f t="shared" si="70"/>
        <v>10615.920861977009</v>
      </c>
      <c r="BB130">
        <f t="shared" si="71"/>
        <v>9867.1762606179545</v>
      </c>
      <c r="BC130">
        <f t="shared" si="72"/>
        <v>9316.0131286477081</v>
      </c>
      <c r="BD130">
        <f t="shared" si="73"/>
        <v>9075.4929491830899</v>
      </c>
      <c r="BE130">
        <f t="shared" si="74"/>
        <v>130872.04582410726</v>
      </c>
      <c r="BF130">
        <f t="shared" si="75"/>
        <v>121727.71919593784</v>
      </c>
      <c r="BG130">
        <f t="shared" si="76"/>
        <v>112624.76620898797</v>
      </c>
      <c r="BH130">
        <f t="shared" si="77"/>
        <v>103844.49866250748</v>
      </c>
      <c r="BI130">
        <f t="shared" si="78"/>
        <v>95637.550398743711</v>
      </c>
      <c r="BJ130">
        <f t="shared" si="79"/>
        <v>88260.766046476856</v>
      </c>
      <c r="BK130">
        <f t="shared" si="80"/>
        <v>82035.703430777678</v>
      </c>
      <c r="BL130">
        <f t="shared" si="81"/>
        <v>77453.333151577041</v>
      </c>
      <c r="BM130">
        <f t="shared" si="82"/>
        <v>75453.648379508217</v>
      </c>
      <c r="BO130" s="2">
        <v>135619</v>
      </c>
      <c r="BP130" s="2">
        <v>125840</v>
      </c>
      <c r="BQ130" s="2">
        <v>116714</v>
      </c>
      <c r="BR130" s="2">
        <v>108038</v>
      </c>
      <c r="BS130" s="2">
        <v>99589.45</v>
      </c>
      <c r="BT130" s="2">
        <v>91103.13</v>
      </c>
      <c r="BU130" s="2">
        <v>82224.710000000006</v>
      </c>
      <c r="BV130" s="2">
        <v>72411.61</v>
      </c>
      <c r="BW130" s="2">
        <v>60665.51</v>
      </c>
      <c r="BY130">
        <f t="shared" si="83"/>
        <v>0.96571145457542518</v>
      </c>
    </row>
    <row r="131" spans="1:77" x14ac:dyDescent="0.3">
      <c r="A131" s="1" t="s">
        <v>368</v>
      </c>
      <c r="B131" s="2">
        <v>242.85</v>
      </c>
      <c r="C131" s="2">
        <v>767</v>
      </c>
      <c r="E131">
        <v>242.85</v>
      </c>
      <c r="F131">
        <v>301.08890000000002</v>
      </c>
      <c r="G131">
        <v>359.32780000000002</v>
      </c>
      <c r="H131">
        <v>417.56670000000003</v>
      </c>
      <c r="I131">
        <v>475.80560000000003</v>
      </c>
      <c r="J131">
        <v>534.0444</v>
      </c>
      <c r="K131">
        <v>592.28330000000005</v>
      </c>
      <c r="L131">
        <v>650.5222</v>
      </c>
      <c r="M131">
        <v>708.76110000000006</v>
      </c>
      <c r="N131">
        <v>767</v>
      </c>
      <c r="O131" s="13">
        <v>4.9697200000000001E-9</v>
      </c>
      <c r="P131">
        <v>2.2443300000000001E-4</v>
      </c>
      <c r="Q131">
        <v>0.18224570000000001</v>
      </c>
      <c r="R131">
        <v>15.687430000000001</v>
      </c>
      <c r="S131">
        <v>349.26580000000001</v>
      </c>
      <c r="T131">
        <v>3292.1759999999999</v>
      </c>
      <c r="U131">
        <v>17589.009999999998</v>
      </c>
      <c r="V131">
        <v>63942.53</v>
      </c>
      <c r="W131">
        <v>178506</v>
      </c>
      <c r="X131">
        <v>417244</v>
      </c>
      <c r="AA131">
        <f t="shared" ref="AA131:AA194" si="84">1/E131</f>
        <v>4.1177681696520484E-3</v>
      </c>
      <c r="AB131">
        <f t="shared" ref="AB131:AB194" si="85">1/F131</f>
        <v>3.3212782005580411E-3</v>
      </c>
      <c r="AC131">
        <f t="shared" ref="AC131:AC194" si="86">1/G131</f>
        <v>2.7829742090648146E-3</v>
      </c>
      <c r="AD131">
        <f t="shared" ref="AD131:AD194" si="87">1/H131</f>
        <v>2.3948269821324353E-3</v>
      </c>
      <c r="AE131">
        <f t="shared" ref="AE131:AE194" si="88">1/I131</f>
        <v>2.1016986769386487E-3</v>
      </c>
      <c r="AF131">
        <f t="shared" ref="AF131:AF194" si="89">1/J131</f>
        <v>1.872503484728985E-3</v>
      </c>
      <c r="AG131">
        <f t="shared" ref="AG131:AG194" si="90">1/K131</f>
        <v>1.6883812189200673E-3</v>
      </c>
      <c r="AH131">
        <f t="shared" ref="AH131:AH194" si="91">1/L131</f>
        <v>1.5372265542974552E-3</v>
      </c>
      <c r="AI131">
        <f t="shared" ref="AI131:AI194" si="92">1/M131</f>
        <v>1.4109126474350807E-3</v>
      </c>
      <c r="AJ131">
        <f t="shared" ref="AJ131:AJ194" si="93">1/N131</f>
        <v>1.3037809647979139E-3</v>
      </c>
      <c r="AK131">
        <f t="shared" ref="AK131:AK194" si="94">LN(O131)</f>
        <v>-19.119902336453087</v>
      </c>
      <c r="AL131">
        <f t="shared" ref="AL131:AL194" si="95">LN(P131)</f>
        <v>-8.4019333363042925</v>
      </c>
      <c r="AM131">
        <f t="shared" ref="AM131:AM194" si="96">LN(Q131)</f>
        <v>-1.7023995023360461</v>
      </c>
      <c r="AN131">
        <f t="shared" ref="AN131:AN194" si="97">LN(R131)</f>
        <v>2.752859754730653</v>
      </c>
      <c r="AO131">
        <f t="shared" ref="AO131:AO194" si="98">LN(S131)</f>
        <v>5.8558332369133526</v>
      </c>
      <c r="AP131">
        <f t="shared" ref="AP131:AP194" si="99">LN(T131)</f>
        <v>8.0993040233083295</v>
      </c>
      <c r="AQ131">
        <f t="shared" ref="AQ131:AQ194" si="100">LN(U131)</f>
        <v>9.7750295541693166</v>
      </c>
      <c r="AR131">
        <f t="shared" ref="AR131:AR194" si="101">LN(V131)</f>
        <v>11.06573999017635</v>
      </c>
      <c r="AS131">
        <f t="shared" ref="AS131:AS194" si="102">LN(W131)</f>
        <v>12.09237749308229</v>
      </c>
      <c r="AT131">
        <f t="shared" ref="AT131:AT194" si="103">LN(X131)</f>
        <v>12.941426461552506</v>
      </c>
      <c r="AU131">
        <f t="shared" ref="AU131:AU194" si="104">RSQ(AK131:AT131, AA131:AJ131)</f>
        <v>0.9929627818156469</v>
      </c>
      <c r="AV131">
        <f t="shared" ref="AV131:AV194" si="105">-SLOPE(AK131:AL131, AA131:AB131)</f>
        <v>13456.502173329674</v>
      </c>
      <c r="AW131">
        <f t="shared" ref="AW131:AW194" si="106">-SLOPE(AL131:AM131, AB131:AC131)</f>
        <v>12445.632839140015</v>
      </c>
      <c r="AX131">
        <f t="shared" ref="AX131:AX194" si="107">-SLOPE(AM131:AN131, AC131:AD131)</f>
        <v>11478.271511245057</v>
      </c>
      <c r="AY131">
        <f t="shared" ref="AY131:AY194" si="108">-SLOPE(AN131:AO131, AD131:AE131)</f>
        <v>10585.717677899882</v>
      </c>
      <c r="AZ131">
        <f t="shared" ref="AZ131:AZ194" si="109">-SLOPE(AO131:AP131, AE131:AF131)</f>
        <v>9788.4722832348471</v>
      </c>
      <c r="BA131">
        <f t="shared" ref="BA131:BA194" si="110">-SLOPE(AP131:AQ131, AF131:AG131)</f>
        <v>9101.1563620450816</v>
      </c>
      <c r="BB131">
        <f t="shared" ref="BB131:BB194" si="111">-SLOPE(AQ131:AR131, AG131:AH131)</f>
        <v>8539.004993524688</v>
      </c>
      <c r="BC131">
        <f t="shared" ref="BC131:BC194" si="112">-SLOPE(AR131:AS131, AH131:AI131)</f>
        <v>8127.6680328201228</v>
      </c>
      <c r="BD131">
        <f t="shared" ref="BD131:BD194" si="113">-SLOPE(AS131:AT131, AI131:AJ131)</f>
        <v>7925.2836095720841</v>
      </c>
      <c r="BE131">
        <f t="shared" ref="BE131:BE194" si="114">AV131*8.314</f>
        <v>111877.35906906292</v>
      </c>
      <c r="BF131">
        <f t="shared" ref="BF131:BF194" si="115">AW131*8.314</f>
        <v>103472.99142461008</v>
      </c>
      <c r="BG131">
        <f t="shared" ref="BG131:BG194" si="116">AX131*8.314</f>
        <v>95430.349344491406</v>
      </c>
      <c r="BH131">
        <f t="shared" ref="BH131:BH194" si="117">AY131*8.314</f>
        <v>88009.656774059622</v>
      </c>
      <c r="BI131">
        <f t="shared" ref="BI131:BI194" si="118">AZ131*8.314</f>
        <v>81381.358562814523</v>
      </c>
      <c r="BJ131">
        <f t="shared" ref="BJ131:BJ194" si="119">BA131*8.314</f>
        <v>75667.013994042805</v>
      </c>
      <c r="BK131">
        <f t="shared" ref="BK131:BK194" si="120">BB131*8.314</f>
        <v>70993.287516164259</v>
      </c>
      <c r="BL131">
        <f t="shared" ref="BL131:BL194" si="121">BC131*8.314</f>
        <v>67573.432024866503</v>
      </c>
      <c r="BM131">
        <f t="shared" ref="BM131:BM194" si="122">BD131*8.314</f>
        <v>65890.8079299823</v>
      </c>
      <c r="BO131">
        <v>116495</v>
      </c>
      <c r="BP131">
        <v>107125</v>
      </c>
      <c r="BQ131">
        <v>98914.53</v>
      </c>
      <c r="BR131">
        <v>91507.99</v>
      </c>
      <c r="BS131">
        <v>84561.04</v>
      </c>
      <c r="BT131">
        <v>77708</v>
      </c>
      <c r="BU131">
        <v>70512.59</v>
      </c>
      <c r="BV131">
        <v>62376.33</v>
      </c>
      <c r="BW131">
        <v>52313.33</v>
      </c>
      <c r="BY131">
        <f t="shared" ref="BY131:BY194" si="123">RSQ(BE131:BM131, BO131:BW131)</f>
        <v>0.96187280858506063</v>
      </c>
    </row>
    <row r="132" spans="1:77" x14ac:dyDescent="0.3">
      <c r="A132" s="1" t="s">
        <v>371</v>
      </c>
      <c r="B132" s="2">
        <v>492.1</v>
      </c>
      <c r="C132" s="2">
        <v>806</v>
      </c>
      <c r="E132">
        <v>492.1</v>
      </c>
      <c r="F132">
        <v>526.9778</v>
      </c>
      <c r="G132">
        <v>561.85559999999998</v>
      </c>
      <c r="H132">
        <v>596.73329999999999</v>
      </c>
      <c r="I132">
        <v>631.61109999999996</v>
      </c>
      <c r="J132">
        <v>666.48889999999994</v>
      </c>
      <c r="K132">
        <v>701.36670000000004</v>
      </c>
      <c r="L132">
        <v>736.24440000000004</v>
      </c>
      <c r="M132">
        <v>771.12220000000002</v>
      </c>
      <c r="N132">
        <v>806</v>
      </c>
      <c r="O132">
        <v>927.81290000000001</v>
      </c>
      <c r="P132">
        <v>3071.616</v>
      </c>
      <c r="Q132">
        <v>8433.1299999999992</v>
      </c>
      <c r="R132">
        <v>19955.189999999999</v>
      </c>
      <c r="S132">
        <v>41916.39</v>
      </c>
      <c r="T132">
        <v>79974.27</v>
      </c>
      <c r="U132">
        <v>141144</v>
      </c>
      <c r="V132">
        <v>233839</v>
      </c>
      <c r="W132">
        <v>368182</v>
      </c>
      <c r="X132">
        <v>556933</v>
      </c>
      <c r="AA132">
        <f t="shared" si="84"/>
        <v>2.0321072952651899E-3</v>
      </c>
      <c r="AB132">
        <f t="shared" si="85"/>
        <v>1.8976131442349185E-3</v>
      </c>
      <c r="AC132">
        <f t="shared" si="86"/>
        <v>1.779816735830345E-3</v>
      </c>
      <c r="AD132">
        <f t="shared" si="87"/>
        <v>1.6757905080879516E-3</v>
      </c>
      <c r="AE132">
        <f t="shared" si="88"/>
        <v>1.5832527325754726E-3</v>
      </c>
      <c r="AF132">
        <f t="shared" si="89"/>
        <v>1.5004000816817805E-3</v>
      </c>
      <c r="AG132">
        <f t="shared" si="90"/>
        <v>1.4257876799682676E-3</v>
      </c>
      <c r="AH132">
        <f t="shared" si="91"/>
        <v>1.3582446263767846E-3</v>
      </c>
      <c r="AI132">
        <f t="shared" si="92"/>
        <v>1.2968113225115293E-3</v>
      </c>
      <c r="AJ132">
        <f t="shared" si="93"/>
        <v>1.2406947890818859E-3</v>
      </c>
      <c r="AK132">
        <f t="shared" si="94"/>
        <v>6.8328300960795758</v>
      </c>
      <c r="AL132">
        <f t="shared" si="95"/>
        <v>8.0299590864544115</v>
      </c>
      <c r="AM132">
        <f t="shared" si="96"/>
        <v>9.0399232750848988</v>
      </c>
      <c r="AN132">
        <f t="shared" si="97"/>
        <v>9.9012445388607073</v>
      </c>
      <c r="AO132">
        <f t="shared" si="98"/>
        <v>10.643432198874478</v>
      </c>
      <c r="AP132">
        <f t="shared" si="99"/>
        <v>11.289460236923606</v>
      </c>
      <c r="AQ132">
        <f t="shared" si="100"/>
        <v>11.857535924807902</v>
      </c>
      <c r="AR132">
        <f t="shared" si="101"/>
        <v>12.362388123347657</v>
      </c>
      <c r="AS132">
        <f t="shared" si="102"/>
        <v>12.81633266011139</v>
      </c>
      <c r="AT132">
        <f t="shared" si="103"/>
        <v>13.230200224421187</v>
      </c>
      <c r="AU132">
        <f t="shared" si="104"/>
        <v>0.9988768074133435</v>
      </c>
      <c r="AV132">
        <f t="shared" si="105"/>
        <v>8900.9743636018102</v>
      </c>
      <c r="AW132">
        <f t="shared" si="106"/>
        <v>8573.8113946713092</v>
      </c>
      <c r="AX132">
        <f t="shared" si="107"/>
        <v>8279.8471353662044</v>
      </c>
      <c r="AY132">
        <f t="shared" si="108"/>
        <v>8020.374986360941</v>
      </c>
      <c r="AZ132">
        <f t="shared" si="109"/>
        <v>7797.3128328512275</v>
      </c>
      <c r="BA132">
        <f t="shared" si="110"/>
        <v>7613.6898804775074</v>
      </c>
      <c r="BB132">
        <f t="shared" si="111"/>
        <v>7474.524346992439</v>
      </c>
      <c r="BC132">
        <f t="shared" si="112"/>
        <v>7389.2255210527646</v>
      </c>
      <c r="BD132">
        <f t="shared" si="113"/>
        <v>7375.1448818321305</v>
      </c>
      <c r="BE132">
        <f t="shared" si="114"/>
        <v>74002.700858985452</v>
      </c>
      <c r="BF132">
        <f t="shared" si="115"/>
        <v>71282.667935297271</v>
      </c>
      <c r="BG132">
        <f t="shared" si="116"/>
        <v>68838.649083434619</v>
      </c>
      <c r="BH132">
        <f t="shared" si="117"/>
        <v>66681.397636604859</v>
      </c>
      <c r="BI132">
        <f t="shared" si="118"/>
        <v>64826.858892325108</v>
      </c>
      <c r="BJ132">
        <f t="shared" si="119"/>
        <v>63300.217666289995</v>
      </c>
      <c r="BK132">
        <f t="shared" si="120"/>
        <v>62143.195420895136</v>
      </c>
      <c r="BL132">
        <f t="shared" si="121"/>
        <v>61434.020982032685</v>
      </c>
      <c r="BM132">
        <f t="shared" si="122"/>
        <v>61316.954547552334</v>
      </c>
      <c r="BO132" s="2">
        <v>74892.3</v>
      </c>
      <c r="BP132" s="2">
        <v>71983.56</v>
      </c>
      <c r="BQ132" s="2">
        <v>68865.649999999994</v>
      </c>
      <c r="BR132" s="2">
        <v>65500.13</v>
      </c>
      <c r="BS132" s="2">
        <v>61836.53</v>
      </c>
      <c r="BT132" s="2">
        <v>57805.69</v>
      </c>
      <c r="BU132" s="2">
        <v>53307.29</v>
      </c>
      <c r="BV132" s="2">
        <v>48184.31</v>
      </c>
      <c r="BW132" s="2">
        <v>42161.85</v>
      </c>
      <c r="BY132">
        <f t="shared" si="123"/>
        <v>0.87428696060293853</v>
      </c>
    </row>
    <row r="133" spans="1:77" x14ac:dyDescent="0.3">
      <c r="A133" s="1" t="s">
        <v>374</v>
      </c>
      <c r="B133" s="2">
        <v>232.55</v>
      </c>
      <c r="C133" s="2">
        <v>558</v>
      </c>
      <c r="E133">
        <v>232.55</v>
      </c>
      <c r="F133">
        <v>268.71109999999999</v>
      </c>
      <c r="G133">
        <v>304.87220000000002</v>
      </c>
      <c r="H133">
        <v>341.0333</v>
      </c>
      <c r="I133">
        <v>377.19439999999997</v>
      </c>
      <c r="J133">
        <v>413.35559999999998</v>
      </c>
      <c r="K133">
        <v>449.51670000000001</v>
      </c>
      <c r="L133">
        <v>485.67779999999999</v>
      </c>
      <c r="M133">
        <v>521.83889999999997</v>
      </c>
      <c r="N133">
        <v>558</v>
      </c>
      <c r="O133">
        <v>3.6024399999999998E-2</v>
      </c>
      <c r="P133">
        <v>3.8708589999999998</v>
      </c>
      <c r="Q133">
        <v>101.4315</v>
      </c>
      <c r="R133">
        <v>1084.471</v>
      </c>
      <c r="S133">
        <v>6437.7389999999996</v>
      </c>
      <c r="T133">
        <v>25768.34</v>
      </c>
      <c r="U133">
        <v>79019.61</v>
      </c>
      <c r="V133">
        <v>202481</v>
      </c>
      <c r="W133">
        <v>460676</v>
      </c>
      <c r="X133">
        <v>971935</v>
      </c>
      <c r="AA133">
        <f t="shared" si="84"/>
        <v>4.3001505052676844E-3</v>
      </c>
      <c r="AB133">
        <f t="shared" si="85"/>
        <v>3.7214688935440329E-3</v>
      </c>
      <c r="AC133">
        <f t="shared" si="86"/>
        <v>3.2800629247271475E-3</v>
      </c>
      <c r="AD133">
        <f t="shared" si="87"/>
        <v>2.9322649723648687E-3</v>
      </c>
      <c r="AE133">
        <f t="shared" si="88"/>
        <v>2.6511528272954213E-3</v>
      </c>
      <c r="AF133">
        <f t="shared" si="89"/>
        <v>2.4192245127439911E-3</v>
      </c>
      <c r="AG133">
        <f t="shared" si="90"/>
        <v>2.2246114549248114E-3</v>
      </c>
      <c r="AH133">
        <f t="shared" si="91"/>
        <v>2.0589781950091195E-3</v>
      </c>
      <c r="AI133">
        <f t="shared" si="92"/>
        <v>1.9163002221566849E-3</v>
      </c>
      <c r="AJ133">
        <f t="shared" si="93"/>
        <v>1.7921146953405018E-3</v>
      </c>
      <c r="AK133">
        <f t="shared" si="94"/>
        <v>-3.3235587923358736</v>
      </c>
      <c r="AL133">
        <f t="shared" si="95"/>
        <v>1.3534764462356548</v>
      </c>
      <c r="AM133">
        <f t="shared" si="96"/>
        <v>4.6193836938026607</v>
      </c>
      <c r="AN133">
        <f t="shared" si="97"/>
        <v>6.988847589476018</v>
      </c>
      <c r="AO133">
        <f t="shared" si="98"/>
        <v>8.7699326704964236</v>
      </c>
      <c r="AP133">
        <f t="shared" si="99"/>
        <v>10.156901885584029</v>
      </c>
      <c r="AQ133">
        <f t="shared" si="100"/>
        <v>11.277451328493825</v>
      </c>
      <c r="AR133">
        <f t="shared" si="101"/>
        <v>12.218401333966193</v>
      </c>
      <c r="AS133">
        <f t="shared" si="102"/>
        <v>13.040450254928443</v>
      </c>
      <c r="AT133">
        <f t="shared" si="103"/>
        <v>13.787044208778532</v>
      </c>
      <c r="AU133">
        <f t="shared" si="104"/>
        <v>0.99532640896975844</v>
      </c>
      <c r="AV133">
        <f t="shared" si="105"/>
        <v>8082.225430734853</v>
      </c>
      <c r="AW133">
        <f t="shared" si="106"/>
        <v>7398.8742298177849</v>
      </c>
      <c r="AX133">
        <f t="shared" si="107"/>
        <v>6812.759763476809</v>
      </c>
      <c r="AY133">
        <f t="shared" si="108"/>
        <v>6335.8524783068242</v>
      </c>
      <c r="AZ133">
        <f t="shared" si="109"/>
        <v>5980.1633869936304</v>
      </c>
      <c r="BA133">
        <f t="shared" si="110"/>
        <v>5757.8327757992956</v>
      </c>
      <c r="BB133">
        <f t="shared" si="111"/>
        <v>5680.924265762299</v>
      </c>
      <c r="BC133">
        <f t="shared" si="112"/>
        <v>5761.568548583582</v>
      </c>
      <c r="BD133">
        <f t="shared" si="113"/>
        <v>6011.9240380981164</v>
      </c>
      <c r="BE133">
        <f t="shared" si="114"/>
        <v>67195.622231129571</v>
      </c>
      <c r="BF133">
        <f t="shared" si="115"/>
        <v>61514.240346705061</v>
      </c>
      <c r="BG133">
        <f t="shared" si="116"/>
        <v>56641.284673546194</v>
      </c>
      <c r="BH133">
        <f t="shared" si="117"/>
        <v>52676.277504642938</v>
      </c>
      <c r="BI133">
        <f t="shared" si="118"/>
        <v>49719.078399465041</v>
      </c>
      <c r="BJ133">
        <f t="shared" si="119"/>
        <v>47870.621697995346</v>
      </c>
      <c r="BK133">
        <f t="shared" si="120"/>
        <v>47231.204345547754</v>
      </c>
      <c r="BL133">
        <f t="shared" si="121"/>
        <v>47901.680912923905</v>
      </c>
      <c r="BM133">
        <f t="shared" si="122"/>
        <v>49983.136452747742</v>
      </c>
      <c r="BO133" s="2">
        <v>65347.7</v>
      </c>
      <c r="BP133" s="2">
        <v>61879.5</v>
      </c>
      <c r="BQ133" s="2">
        <v>58456.47</v>
      </c>
      <c r="BR133" s="2">
        <v>55049.19</v>
      </c>
      <c r="BS133" s="2">
        <v>51617.36</v>
      </c>
      <c r="BT133" s="2">
        <v>48103</v>
      </c>
      <c r="BU133" s="2">
        <v>44417.72</v>
      </c>
      <c r="BV133" s="2">
        <v>40415.629999999997</v>
      </c>
      <c r="BW133" s="2">
        <v>35827.370000000003</v>
      </c>
      <c r="BY133">
        <f t="shared" si="123"/>
        <v>0.72011195620047108</v>
      </c>
    </row>
    <row r="134" spans="1:77" x14ac:dyDescent="0.3">
      <c r="A134" s="1" t="s">
        <v>377</v>
      </c>
      <c r="B134" s="2">
        <v>211.15</v>
      </c>
      <c r="C134" s="2">
        <v>562.4</v>
      </c>
      <c r="E134">
        <v>211.15</v>
      </c>
      <c r="F134">
        <v>250.17779999999999</v>
      </c>
      <c r="G134">
        <v>289.2056</v>
      </c>
      <c r="H134">
        <v>328.23329999999999</v>
      </c>
      <c r="I134">
        <v>367.2611</v>
      </c>
      <c r="J134">
        <v>406.28890000000001</v>
      </c>
      <c r="K134">
        <v>445.31670000000003</v>
      </c>
      <c r="L134">
        <v>484.34440000000001</v>
      </c>
      <c r="M134">
        <v>523.37220000000002</v>
      </c>
      <c r="N134">
        <v>562.4</v>
      </c>
      <c r="O134">
        <v>2.0723500000000001E-3</v>
      </c>
      <c r="P134">
        <v>0.56367979999999995</v>
      </c>
      <c r="Q134">
        <v>28.22174</v>
      </c>
      <c r="R134">
        <v>487.56189999999998</v>
      </c>
      <c r="S134">
        <v>4159.3140000000003</v>
      </c>
      <c r="T134">
        <v>21836.51</v>
      </c>
      <c r="U134">
        <v>81491.92</v>
      </c>
      <c r="V134">
        <v>238955</v>
      </c>
      <c r="W134">
        <v>592799</v>
      </c>
      <c r="X134">
        <v>1318790</v>
      </c>
      <c r="AA134">
        <f t="shared" si="84"/>
        <v>4.7359696897939854E-3</v>
      </c>
      <c r="AB134">
        <f t="shared" si="85"/>
        <v>3.9971572217838676E-3</v>
      </c>
      <c r="AC134">
        <f t="shared" si="86"/>
        <v>3.4577477061301719E-3</v>
      </c>
      <c r="AD134">
        <f t="shared" si="87"/>
        <v>3.0466134910747938E-3</v>
      </c>
      <c r="AE134">
        <f t="shared" si="88"/>
        <v>2.7228584786137167E-3</v>
      </c>
      <c r="AF134">
        <f t="shared" si="89"/>
        <v>2.461302782330504E-3</v>
      </c>
      <c r="AG134">
        <f t="shared" si="90"/>
        <v>2.2455928556014181E-3</v>
      </c>
      <c r="AH134">
        <f t="shared" si="91"/>
        <v>2.0646465614137378E-3</v>
      </c>
      <c r="AI134">
        <f t="shared" si="92"/>
        <v>1.9106861235656E-3</v>
      </c>
      <c r="AJ134">
        <f t="shared" si="93"/>
        <v>1.7780938833570413E-3</v>
      </c>
      <c r="AK134">
        <f t="shared" si="94"/>
        <v>-6.1790720499311753</v>
      </c>
      <c r="AL134">
        <f t="shared" si="95"/>
        <v>-0.57326891920051304</v>
      </c>
      <c r="AM134">
        <f t="shared" si="96"/>
        <v>3.3400926029221663</v>
      </c>
      <c r="AN134">
        <f t="shared" si="97"/>
        <v>6.1894172567363146</v>
      </c>
      <c r="AO134">
        <f t="shared" si="98"/>
        <v>8.3331054358110208</v>
      </c>
      <c r="AP134">
        <f t="shared" si="99"/>
        <v>9.9913386185548969</v>
      </c>
      <c r="AQ134">
        <f t="shared" si="100"/>
        <v>11.308259153209855</v>
      </c>
      <c r="AR134">
        <f t="shared" si="101"/>
        <v>12.384030528667063</v>
      </c>
      <c r="AS134">
        <f t="shared" si="102"/>
        <v>13.29261066605301</v>
      </c>
      <c r="AT134">
        <f t="shared" si="103"/>
        <v>14.09222520750007</v>
      </c>
      <c r="AU134">
        <f t="shared" si="104"/>
        <v>0.99786505613863119</v>
      </c>
      <c r="AV134">
        <f t="shared" si="105"/>
        <v>7587.5859889439389</v>
      </c>
      <c r="AW134">
        <f t="shared" si="106"/>
        <v>7254.898937739692</v>
      </c>
      <c r="AX134">
        <f t="shared" si="107"/>
        <v>6930.4002184064311</v>
      </c>
      <c r="AY134">
        <f t="shared" si="108"/>
        <v>6621.3281542086625</v>
      </c>
      <c r="AZ134">
        <f t="shared" si="109"/>
        <v>6339.8855628376004</v>
      </c>
      <c r="BA134">
        <f t="shared" si="110"/>
        <v>6105.0529969763647</v>
      </c>
      <c r="BB134">
        <f t="shared" si="111"/>
        <v>5945.2523207875238</v>
      </c>
      <c r="BC134">
        <f t="shared" si="112"/>
        <v>5901.3870711522941</v>
      </c>
      <c r="BD134">
        <f t="shared" si="113"/>
        <v>6030.6284906968867</v>
      </c>
      <c r="BE134">
        <f t="shared" si="114"/>
        <v>63083.189912079906</v>
      </c>
      <c r="BF134">
        <f t="shared" si="115"/>
        <v>60317.229768367797</v>
      </c>
      <c r="BG134">
        <f t="shared" si="116"/>
        <v>57619.347415831071</v>
      </c>
      <c r="BH134">
        <f t="shared" si="117"/>
        <v>55049.722274090818</v>
      </c>
      <c r="BI134">
        <f t="shared" si="118"/>
        <v>52709.808569431807</v>
      </c>
      <c r="BJ134">
        <f t="shared" si="119"/>
        <v>50757.410616861496</v>
      </c>
      <c r="BK134">
        <f t="shared" si="120"/>
        <v>49428.827795027471</v>
      </c>
      <c r="BL134">
        <f t="shared" si="121"/>
        <v>49064.132109560174</v>
      </c>
      <c r="BM134">
        <f t="shared" si="122"/>
        <v>50138.645271653913</v>
      </c>
      <c r="BO134" s="2">
        <v>64441.760000000002</v>
      </c>
      <c r="BP134" s="2">
        <v>61597.4</v>
      </c>
      <c r="BQ134" s="2">
        <v>58866.63</v>
      </c>
      <c r="BR134" s="2">
        <v>56234.37</v>
      </c>
      <c r="BS134" s="2">
        <v>53677.58</v>
      </c>
      <c r="BT134" s="2">
        <v>51159.61</v>
      </c>
      <c r="BU134" s="2">
        <v>48618.38</v>
      </c>
      <c r="BV134" s="2">
        <v>45939.26</v>
      </c>
      <c r="BW134" s="2">
        <v>42881.97</v>
      </c>
      <c r="BY134">
        <f t="shared" si="123"/>
        <v>0.89701663282381983</v>
      </c>
    </row>
    <row r="135" spans="1:77" x14ac:dyDescent="0.3">
      <c r="A135" s="1" t="s">
        <v>380</v>
      </c>
      <c r="B135" s="2">
        <v>227.69</v>
      </c>
      <c r="C135" s="2">
        <v>624</v>
      </c>
      <c r="E135">
        <v>227.69</v>
      </c>
      <c r="F135">
        <v>271.7244</v>
      </c>
      <c r="G135">
        <v>315.75889999999998</v>
      </c>
      <c r="H135">
        <v>359.79329999999999</v>
      </c>
      <c r="I135">
        <v>403.82780000000002</v>
      </c>
      <c r="J135">
        <v>447.86219999999997</v>
      </c>
      <c r="K135">
        <v>491.89670000000001</v>
      </c>
      <c r="L135">
        <v>535.93110000000001</v>
      </c>
      <c r="M135">
        <v>579.96559999999999</v>
      </c>
      <c r="N135">
        <v>624</v>
      </c>
      <c r="O135" s="13">
        <v>1.7351699999999999E-5</v>
      </c>
      <c r="P135">
        <v>2.3838600000000001E-2</v>
      </c>
      <c r="Q135">
        <v>3.0401180000000001</v>
      </c>
      <c r="R135">
        <v>91.500600000000006</v>
      </c>
      <c r="S135">
        <v>1090.672</v>
      </c>
      <c r="T135">
        <v>7003.3109999999997</v>
      </c>
      <c r="U135">
        <v>29375.58</v>
      </c>
      <c r="V135">
        <v>91337.2</v>
      </c>
      <c r="W135">
        <v>229595</v>
      </c>
      <c r="X135">
        <v>497092</v>
      </c>
      <c r="AA135">
        <f t="shared" si="84"/>
        <v>4.3919364047608593E-3</v>
      </c>
      <c r="AB135">
        <f t="shared" si="85"/>
        <v>3.6801994962542928E-3</v>
      </c>
      <c r="AC135">
        <f t="shared" si="86"/>
        <v>3.1669732824632971E-3</v>
      </c>
      <c r="AD135">
        <f t="shared" si="87"/>
        <v>2.779373601453946E-3</v>
      </c>
      <c r="AE135">
        <f t="shared" si="88"/>
        <v>2.4763030182666968E-3</v>
      </c>
      <c r="AF135">
        <f t="shared" si="89"/>
        <v>2.232829651620521E-3</v>
      </c>
      <c r="AG135">
        <f t="shared" si="90"/>
        <v>2.0329471614670314E-3</v>
      </c>
      <c r="AH135">
        <f t="shared" si="91"/>
        <v>1.8659114949664238E-3</v>
      </c>
      <c r="AI135">
        <f t="shared" si="92"/>
        <v>1.7242401963150917E-3</v>
      </c>
      <c r="AJ135">
        <f t="shared" si="93"/>
        <v>1.6025641025641025E-3</v>
      </c>
      <c r="AK135">
        <f t="shared" si="94"/>
        <v>-10.961820073662464</v>
      </c>
      <c r="AL135">
        <f t="shared" si="95"/>
        <v>-3.7364491633415731</v>
      </c>
      <c r="AM135">
        <f t="shared" si="96"/>
        <v>1.1118963304542908</v>
      </c>
      <c r="AN135">
        <f t="shared" si="97"/>
        <v>4.5163455296370252</v>
      </c>
      <c r="AO135">
        <f t="shared" si="98"/>
        <v>6.9945492990181224</v>
      </c>
      <c r="AP135">
        <f t="shared" si="99"/>
        <v>8.8541383162082123</v>
      </c>
      <c r="AQ135">
        <f t="shared" si="100"/>
        <v>10.287918995932387</v>
      </c>
      <c r="AR135">
        <f t="shared" si="101"/>
        <v>11.422313431572388</v>
      </c>
      <c r="AS135">
        <f t="shared" si="102"/>
        <v>12.344072166186942</v>
      </c>
      <c r="AT135">
        <f t="shared" si="103"/>
        <v>13.116530398611884</v>
      </c>
      <c r="AU135">
        <f t="shared" si="104"/>
        <v>0.99418244681037604</v>
      </c>
      <c r="AV135">
        <f t="shared" si="105"/>
        <v>10151.744027834447</v>
      </c>
      <c r="AW135">
        <f t="shared" si="106"/>
        <v>9446.8001896923488</v>
      </c>
      <c r="AX135">
        <f t="shared" si="107"/>
        <v>8783.415895279335</v>
      </c>
      <c r="AY135">
        <f t="shared" si="108"/>
        <v>8176.9855170997016</v>
      </c>
      <c r="AZ135">
        <f t="shared" si="109"/>
        <v>7637.7512777096117</v>
      </c>
      <c r="BA135">
        <f t="shared" si="110"/>
        <v>7173.1179585724358</v>
      </c>
      <c r="BB135">
        <f t="shared" si="111"/>
        <v>6791.3306146257964</v>
      </c>
      <c r="BC135">
        <f t="shared" si="112"/>
        <v>6506.3195113577622</v>
      </c>
      <c r="BD135">
        <f t="shared" si="113"/>
        <v>6348.4798748206185</v>
      </c>
      <c r="BE135">
        <f t="shared" si="114"/>
        <v>84401.599847415593</v>
      </c>
      <c r="BF135">
        <f t="shared" si="115"/>
        <v>78540.696777102188</v>
      </c>
      <c r="BG135">
        <f t="shared" si="116"/>
        <v>73025.319753352393</v>
      </c>
      <c r="BH135">
        <f t="shared" si="117"/>
        <v>67983.457589166923</v>
      </c>
      <c r="BI135">
        <f t="shared" si="118"/>
        <v>63500.264122877714</v>
      </c>
      <c r="BJ135">
        <f t="shared" si="119"/>
        <v>59637.302707571231</v>
      </c>
      <c r="BK135">
        <f t="shared" si="120"/>
        <v>56463.122729998875</v>
      </c>
      <c r="BL135">
        <f t="shared" si="121"/>
        <v>54093.540417428434</v>
      </c>
      <c r="BM135">
        <f t="shared" si="122"/>
        <v>52781.26167925862</v>
      </c>
      <c r="BO135" s="2">
        <v>87620.4</v>
      </c>
      <c r="BP135" s="2">
        <v>82372.45</v>
      </c>
      <c r="BQ135" s="2">
        <v>76997.2</v>
      </c>
      <c r="BR135" s="2">
        <v>71527.38</v>
      </c>
      <c r="BS135" s="2">
        <v>65975.11</v>
      </c>
      <c r="BT135" s="2">
        <v>60322.15</v>
      </c>
      <c r="BU135" s="2">
        <v>54501.23</v>
      </c>
      <c r="BV135" s="2">
        <v>48354.92</v>
      </c>
      <c r="BW135" s="2">
        <v>41528.51</v>
      </c>
      <c r="BY135">
        <f t="shared" si="123"/>
        <v>0.95467077391859001</v>
      </c>
    </row>
    <row r="136" spans="1:77" x14ac:dyDescent="0.3">
      <c r="A136" s="1" t="s">
        <v>383</v>
      </c>
      <c r="B136" s="2">
        <v>253</v>
      </c>
      <c r="C136" s="2">
        <v>637</v>
      </c>
      <c r="E136">
        <v>253</v>
      </c>
      <c r="F136">
        <v>295.66669999999999</v>
      </c>
      <c r="G136">
        <v>338.33330000000001</v>
      </c>
      <c r="H136">
        <v>381</v>
      </c>
      <c r="I136">
        <v>423.66669999999999</v>
      </c>
      <c r="J136">
        <v>466.33330000000001</v>
      </c>
      <c r="K136">
        <v>509</v>
      </c>
      <c r="L136">
        <v>551.66669999999999</v>
      </c>
      <c r="M136">
        <v>594.33330000000001</v>
      </c>
      <c r="N136">
        <v>637</v>
      </c>
      <c r="O136">
        <v>6.2677599999999998E-3</v>
      </c>
      <c r="P136">
        <v>1.0189649999999999</v>
      </c>
      <c r="Q136">
        <v>39.764539999999997</v>
      </c>
      <c r="R136">
        <v>600.25540000000001</v>
      </c>
      <c r="S136">
        <v>4679.2079999999996</v>
      </c>
      <c r="T136">
        <v>22705.22</v>
      </c>
      <c r="U136">
        <v>77903.86</v>
      </c>
      <c r="V136">
        <v>207081</v>
      </c>
      <c r="W136">
        <v>456828</v>
      </c>
      <c r="X136">
        <v>884003</v>
      </c>
      <c r="AA136">
        <f t="shared" si="84"/>
        <v>3.952569169960474E-3</v>
      </c>
      <c r="AB136">
        <f t="shared" si="85"/>
        <v>3.3821867663825517E-3</v>
      </c>
      <c r="AC136">
        <f t="shared" si="86"/>
        <v>2.9556653158290952E-3</v>
      </c>
      <c r="AD136">
        <f t="shared" si="87"/>
        <v>2.6246719160104987E-3</v>
      </c>
      <c r="AE136">
        <f t="shared" si="88"/>
        <v>2.3603459983992134E-3</v>
      </c>
      <c r="AF136">
        <f t="shared" si="89"/>
        <v>2.1443890024581132E-3</v>
      </c>
      <c r="AG136">
        <f t="shared" si="90"/>
        <v>1.9646365422396855E-3</v>
      </c>
      <c r="AH136">
        <f t="shared" si="91"/>
        <v>1.812688712224247E-3</v>
      </c>
      <c r="AI136">
        <f t="shared" si="92"/>
        <v>1.6825575817474808E-3</v>
      </c>
      <c r="AJ136">
        <f t="shared" si="93"/>
        <v>1.5698587127158557E-3</v>
      </c>
      <c r="AK136">
        <f t="shared" si="94"/>
        <v>-5.0723362449470235</v>
      </c>
      <c r="AL136">
        <f t="shared" si="95"/>
        <v>1.8787406251291043E-2</v>
      </c>
      <c r="AM136">
        <f t="shared" si="96"/>
        <v>3.6829755603804135</v>
      </c>
      <c r="AN136">
        <f t="shared" si="97"/>
        <v>6.3973552313124582</v>
      </c>
      <c r="AO136">
        <f t="shared" si="98"/>
        <v>8.4508841438213196</v>
      </c>
      <c r="AP136">
        <f t="shared" si="99"/>
        <v>10.030350132980814</v>
      </c>
      <c r="AQ136">
        <f t="shared" si="100"/>
        <v>11.263230781337278</v>
      </c>
      <c r="AR136">
        <f t="shared" si="101"/>
        <v>12.240865300055752</v>
      </c>
      <c r="AS136">
        <f t="shared" si="102"/>
        <v>13.032062231417395</v>
      </c>
      <c r="AT136">
        <f t="shared" si="103"/>
        <v>13.692215735279181</v>
      </c>
      <c r="AU136">
        <f t="shared" si="104"/>
        <v>0.99604331395481682</v>
      </c>
      <c r="AV136">
        <f t="shared" si="105"/>
        <v>8925.8077024509657</v>
      </c>
      <c r="AW136">
        <f t="shared" si="106"/>
        <v>8590.8648893847003</v>
      </c>
      <c r="AX136">
        <f t="shared" si="107"/>
        <v>8200.7063355936425</v>
      </c>
      <c r="AY136">
        <f t="shared" si="108"/>
        <v>7768.9275840470482</v>
      </c>
      <c r="AZ136">
        <f t="shared" si="109"/>
        <v>7313.7986675378461</v>
      </c>
      <c r="BA136">
        <f t="shared" si="110"/>
        <v>6858.769258892582</v>
      </c>
      <c r="BB136">
        <f t="shared" si="111"/>
        <v>6434.0143496563478</v>
      </c>
      <c r="BC136">
        <f t="shared" si="112"/>
        <v>6079.9973723651347</v>
      </c>
      <c r="BD136">
        <f t="shared" si="113"/>
        <v>5857.6763860561505</v>
      </c>
      <c r="BE136">
        <f t="shared" si="114"/>
        <v>74209.165238177331</v>
      </c>
      <c r="BF136">
        <f t="shared" si="115"/>
        <v>71424.450690344398</v>
      </c>
      <c r="BG136">
        <f t="shared" si="116"/>
        <v>68180.672474125546</v>
      </c>
      <c r="BH136">
        <f t="shared" si="117"/>
        <v>64590.863933767156</v>
      </c>
      <c r="BI136">
        <f t="shared" si="118"/>
        <v>60806.922121909651</v>
      </c>
      <c r="BJ136">
        <f t="shared" si="119"/>
        <v>57023.807618432926</v>
      </c>
      <c r="BK136">
        <f t="shared" si="120"/>
        <v>53492.395303042875</v>
      </c>
      <c r="BL136">
        <f t="shared" si="121"/>
        <v>50549.098153843726</v>
      </c>
      <c r="BM136">
        <f t="shared" si="122"/>
        <v>48700.721473670834</v>
      </c>
      <c r="BO136" s="2">
        <v>75042.350000000006</v>
      </c>
      <c r="BP136" s="2">
        <v>72869.09</v>
      </c>
      <c r="BQ136" s="2">
        <v>69963.08</v>
      </c>
      <c r="BR136" s="2">
        <v>66372.039999999994</v>
      </c>
      <c r="BS136" s="2">
        <v>62143.64</v>
      </c>
      <c r="BT136" s="2">
        <v>57314.86</v>
      </c>
      <c r="BU136" s="2">
        <v>51895.25</v>
      </c>
      <c r="BV136" s="2">
        <v>45834.99</v>
      </c>
      <c r="BW136" s="2">
        <v>38949.040000000001</v>
      </c>
      <c r="BY136">
        <f t="shared" si="123"/>
        <v>0.96150258983289871</v>
      </c>
    </row>
    <row r="137" spans="1:77" x14ac:dyDescent="0.3">
      <c r="A137" s="1" t="s">
        <v>386</v>
      </c>
      <c r="B137" s="2">
        <v>253</v>
      </c>
      <c r="C137" s="2">
        <v>651</v>
      </c>
      <c r="E137">
        <v>253</v>
      </c>
      <c r="F137">
        <v>297.22219999999999</v>
      </c>
      <c r="G137">
        <v>341.44439999999997</v>
      </c>
      <c r="H137">
        <v>385.66669999999999</v>
      </c>
      <c r="I137">
        <v>429.88889999999998</v>
      </c>
      <c r="J137">
        <v>474.11110000000002</v>
      </c>
      <c r="K137">
        <v>518.33330000000001</v>
      </c>
      <c r="L137">
        <v>562.55560000000003</v>
      </c>
      <c r="M137">
        <v>606.77779999999996</v>
      </c>
      <c r="N137">
        <v>651</v>
      </c>
      <c r="O137">
        <v>1.10338E-2</v>
      </c>
      <c r="P137">
        <v>2.4269810000000001</v>
      </c>
      <c r="Q137">
        <v>99.111549999999994</v>
      </c>
      <c r="R137">
        <v>1366.7049999999999</v>
      </c>
      <c r="S137">
        <v>9097.8770000000004</v>
      </c>
      <c r="T137">
        <v>36775.68</v>
      </c>
      <c r="U137">
        <v>105603</v>
      </c>
      <c r="V137">
        <v>241515</v>
      </c>
      <c r="W137">
        <v>481425</v>
      </c>
      <c r="X137">
        <v>906716</v>
      </c>
      <c r="AA137">
        <f t="shared" si="84"/>
        <v>3.952569169960474E-3</v>
      </c>
      <c r="AB137">
        <f t="shared" si="85"/>
        <v>3.3644862328587838E-3</v>
      </c>
      <c r="AC137">
        <f t="shared" si="86"/>
        <v>2.9287345172449748E-3</v>
      </c>
      <c r="AD137">
        <f t="shared" si="87"/>
        <v>2.592912481165732E-3</v>
      </c>
      <c r="AE137">
        <f t="shared" si="88"/>
        <v>2.3261824159684051E-3</v>
      </c>
      <c r="AF137">
        <f t="shared" si="89"/>
        <v>2.1092102673824762E-3</v>
      </c>
      <c r="AG137">
        <f t="shared" si="90"/>
        <v>1.9292605742289757E-3</v>
      </c>
      <c r="AH137">
        <f t="shared" si="91"/>
        <v>1.7776020716885584E-3</v>
      </c>
      <c r="AI137">
        <f t="shared" si="92"/>
        <v>1.6480497473704543E-3</v>
      </c>
      <c r="AJ137">
        <f t="shared" si="93"/>
        <v>1.5360983102918587E-3</v>
      </c>
      <c r="AK137">
        <f t="shared" si="94"/>
        <v>-4.5067919900891757</v>
      </c>
      <c r="AL137">
        <f t="shared" si="95"/>
        <v>0.88664809811884748</v>
      </c>
      <c r="AM137">
        <f t="shared" si="96"/>
        <v>4.5962459834851064</v>
      </c>
      <c r="AN137">
        <f t="shared" si="97"/>
        <v>7.2201580124114173</v>
      </c>
      <c r="AO137">
        <f t="shared" si="98"/>
        <v>9.1157963685837355</v>
      </c>
      <c r="AP137">
        <f t="shared" si="99"/>
        <v>10.512592036121255</v>
      </c>
      <c r="AQ137">
        <f t="shared" si="100"/>
        <v>11.567442058941676</v>
      </c>
      <c r="AR137">
        <f t="shared" si="101"/>
        <v>12.394686861947148</v>
      </c>
      <c r="AS137">
        <f t="shared" si="102"/>
        <v>13.084505734848088</v>
      </c>
      <c r="AT137">
        <f t="shared" si="103"/>
        <v>13.717584559888509</v>
      </c>
      <c r="AU137">
        <f t="shared" si="104"/>
        <v>0.9908850347137047</v>
      </c>
      <c r="AV137">
        <f t="shared" si="105"/>
        <v>9171.2235603860045</v>
      </c>
      <c r="AW137">
        <f t="shared" si="106"/>
        <v>8513.0998971302779</v>
      </c>
      <c r="AX137">
        <f t="shared" si="107"/>
        <v>7813.4003937345988</v>
      </c>
      <c r="AY137">
        <f t="shared" si="108"/>
        <v>7106.9541964454784</v>
      </c>
      <c r="AZ137">
        <f t="shared" si="109"/>
        <v>6437.6726535679645</v>
      </c>
      <c r="BA137">
        <f t="shared" si="110"/>
        <v>5861.916207440343</v>
      </c>
      <c r="BB137">
        <f t="shared" si="111"/>
        <v>5454.6549593222426</v>
      </c>
      <c r="BC137">
        <f t="shared" si="112"/>
        <v>5324.6352509056633</v>
      </c>
      <c r="BD137">
        <f t="shared" si="113"/>
        <v>5654.9414778478222</v>
      </c>
      <c r="BE137">
        <f t="shared" si="114"/>
        <v>76249.552681049245</v>
      </c>
      <c r="BF137">
        <f t="shared" si="115"/>
        <v>70777.912544741135</v>
      </c>
      <c r="BG137">
        <f t="shared" si="116"/>
        <v>64960.610873509453</v>
      </c>
      <c r="BH137">
        <f t="shared" si="117"/>
        <v>59087.217189247705</v>
      </c>
      <c r="BI137">
        <f t="shared" si="118"/>
        <v>53522.810441764057</v>
      </c>
      <c r="BJ137">
        <f t="shared" si="119"/>
        <v>48735.971348659012</v>
      </c>
      <c r="BK137">
        <f t="shared" si="120"/>
        <v>45350.001331805128</v>
      </c>
      <c r="BL137">
        <f t="shared" si="121"/>
        <v>44269.017476029687</v>
      </c>
      <c r="BM137">
        <f t="shared" si="122"/>
        <v>47015.183446826792</v>
      </c>
      <c r="BO137" s="2">
        <v>78783.289999999994</v>
      </c>
      <c r="BP137" s="2">
        <v>73661.94</v>
      </c>
      <c r="BQ137" s="2">
        <v>67738.62</v>
      </c>
      <c r="BR137" s="2">
        <v>61467.839999999997</v>
      </c>
      <c r="BS137" s="2">
        <v>55243.22</v>
      </c>
      <c r="BT137" s="2">
        <v>49376.56</v>
      </c>
      <c r="BU137" s="2">
        <v>44092.18</v>
      </c>
      <c r="BV137" s="2">
        <v>39528.19</v>
      </c>
      <c r="BW137" s="2">
        <v>35720.239999999998</v>
      </c>
      <c r="BY137">
        <f t="shared" si="123"/>
        <v>0.94399703661083711</v>
      </c>
    </row>
    <row r="138" spans="1:77" x14ac:dyDescent="0.3">
      <c r="A138" s="1" t="s">
        <v>388</v>
      </c>
      <c r="B138" s="2">
        <v>253</v>
      </c>
      <c r="C138" s="2">
        <v>651</v>
      </c>
      <c r="E138">
        <v>253</v>
      </c>
      <c r="F138">
        <v>297.22219999999999</v>
      </c>
      <c r="G138">
        <v>341.44439999999997</v>
      </c>
      <c r="H138">
        <v>385.66669999999999</v>
      </c>
      <c r="I138">
        <v>429.88889999999998</v>
      </c>
      <c r="J138">
        <v>474.11110000000002</v>
      </c>
      <c r="K138">
        <v>518.33330000000001</v>
      </c>
      <c r="L138">
        <v>562.55560000000003</v>
      </c>
      <c r="M138">
        <v>606.77779999999996</v>
      </c>
      <c r="N138">
        <v>651</v>
      </c>
      <c r="O138">
        <v>2.7627400000000002E-4</v>
      </c>
      <c r="P138">
        <v>0.1425158</v>
      </c>
      <c r="Q138">
        <v>10.631930000000001</v>
      </c>
      <c r="R138">
        <v>234.85239999999999</v>
      </c>
      <c r="S138">
        <v>2325.6</v>
      </c>
      <c r="T138">
        <v>13318.54</v>
      </c>
      <c r="U138">
        <v>51974.03</v>
      </c>
      <c r="V138">
        <v>154287</v>
      </c>
      <c r="W138">
        <v>376364</v>
      </c>
      <c r="X138">
        <v>799175</v>
      </c>
      <c r="AA138">
        <f t="shared" si="84"/>
        <v>3.952569169960474E-3</v>
      </c>
      <c r="AB138">
        <f t="shared" si="85"/>
        <v>3.3644862328587838E-3</v>
      </c>
      <c r="AC138">
        <f t="shared" si="86"/>
        <v>2.9287345172449748E-3</v>
      </c>
      <c r="AD138">
        <f t="shared" si="87"/>
        <v>2.592912481165732E-3</v>
      </c>
      <c r="AE138">
        <f t="shared" si="88"/>
        <v>2.3261824159684051E-3</v>
      </c>
      <c r="AF138">
        <f t="shared" si="89"/>
        <v>2.1092102673824762E-3</v>
      </c>
      <c r="AG138">
        <f t="shared" si="90"/>
        <v>1.9292605742289757E-3</v>
      </c>
      <c r="AH138">
        <f t="shared" si="91"/>
        <v>1.7776020716885584E-3</v>
      </c>
      <c r="AI138">
        <f t="shared" si="92"/>
        <v>1.6480497473704543E-3</v>
      </c>
      <c r="AJ138">
        <f t="shared" si="93"/>
        <v>1.5360983102918587E-3</v>
      </c>
      <c r="AK138">
        <f t="shared" si="94"/>
        <v>-8.1941174310779168</v>
      </c>
      <c r="AL138">
        <f t="shared" si="95"/>
        <v>-1.948302408226871</v>
      </c>
      <c r="AM138">
        <f t="shared" si="96"/>
        <v>2.3638617374916029</v>
      </c>
      <c r="AN138">
        <f t="shared" si="97"/>
        <v>5.4589572317096957</v>
      </c>
      <c r="AO138">
        <f t="shared" si="98"/>
        <v>7.7517333492446658</v>
      </c>
      <c r="AP138">
        <f t="shared" si="99"/>
        <v>9.4969123284771975</v>
      </c>
      <c r="AQ138">
        <f t="shared" si="100"/>
        <v>10.858499449733399</v>
      </c>
      <c r="AR138">
        <f t="shared" si="101"/>
        <v>11.946569783343701</v>
      </c>
      <c r="AS138">
        <f t="shared" si="102"/>
        <v>12.838312039186235</v>
      </c>
      <c r="AT138">
        <f t="shared" si="103"/>
        <v>13.591335224545929</v>
      </c>
      <c r="AU138">
        <f t="shared" si="104"/>
        <v>0.99437507295902405</v>
      </c>
      <c r="AV138">
        <f t="shared" si="105"/>
        <v>10620.636357233792</v>
      </c>
      <c r="AW138">
        <f t="shared" si="106"/>
        <v>9895.9200645814326</v>
      </c>
      <c r="AX138">
        <f t="shared" si="107"/>
        <v>9216.4752806386823</v>
      </c>
      <c r="AY138">
        <f t="shared" si="108"/>
        <v>8595.8668207829305</v>
      </c>
      <c r="AZ138">
        <f t="shared" si="109"/>
        <v>8043.3317852377586</v>
      </c>
      <c r="BA138">
        <f t="shared" si="110"/>
        <v>7566.4875965903539</v>
      </c>
      <c r="BB138">
        <f t="shared" si="111"/>
        <v>7174.4763094988966</v>
      </c>
      <c r="BC138">
        <f t="shared" si="112"/>
        <v>6883.2594130302195</v>
      </c>
      <c r="BD138">
        <f t="shared" si="113"/>
        <v>6726.3378212021844</v>
      </c>
      <c r="BE138">
        <f t="shared" si="114"/>
        <v>88299.970674041746</v>
      </c>
      <c r="BF138">
        <f t="shared" si="115"/>
        <v>82274.679416930026</v>
      </c>
      <c r="BG138">
        <f t="shared" si="116"/>
        <v>76625.775483230012</v>
      </c>
      <c r="BH138">
        <f t="shared" si="117"/>
        <v>71466.036747989288</v>
      </c>
      <c r="BI138">
        <f t="shared" si="118"/>
        <v>66872.260462466729</v>
      </c>
      <c r="BJ138">
        <f t="shared" si="119"/>
        <v>62907.777878052206</v>
      </c>
      <c r="BK138">
        <f t="shared" si="120"/>
        <v>59648.596037173826</v>
      </c>
      <c r="BL138">
        <f t="shared" si="121"/>
        <v>57227.418759933244</v>
      </c>
      <c r="BM138">
        <f t="shared" si="122"/>
        <v>55922.772645474965</v>
      </c>
      <c r="BO138" s="2">
        <v>91095.32</v>
      </c>
      <c r="BP138" s="2">
        <v>85092.07</v>
      </c>
      <c r="BQ138" s="2">
        <v>79427.97</v>
      </c>
      <c r="BR138" s="2">
        <v>74012.77</v>
      </c>
      <c r="BS138" s="2">
        <v>68743.02</v>
      </c>
      <c r="BT138" s="2">
        <v>63489.56</v>
      </c>
      <c r="BU138" s="2">
        <v>58073.66</v>
      </c>
      <c r="BV138" s="2">
        <v>52216.28</v>
      </c>
      <c r="BW138" s="2">
        <v>45408.78</v>
      </c>
      <c r="BY138">
        <f t="shared" si="123"/>
        <v>0.9617317447228878</v>
      </c>
    </row>
    <row r="139" spans="1:77" x14ac:dyDescent="0.3">
      <c r="A139" s="1" t="s">
        <v>391</v>
      </c>
      <c r="B139" s="2">
        <v>253</v>
      </c>
      <c r="C139" s="2">
        <v>685</v>
      </c>
      <c r="E139">
        <v>253</v>
      </c>
      <c r="F139">
        <v>301</v>
      </c>
      <c r="G139">
        <v>349</v>
      </c>
      <c r="H139">
        <v>397</v>
      </c>
      <c r="I139">
        <v>445</v>
      </c>
      <c r="J139">
        <v>493</v>
      </c>
      <c r="K139">
        <v>541</v>
      </c>
      <c r="L139">
        <v>589</v>
      </c>
      <c r="M139">
        <v>637</v>
      </c>
      <c r="N139">
        <v>685</v>
      </c>
      <c r="O139" s="13">
        <v>4.5842899999999996E-6</v>
      </c>
      <c r="P139">
        <v>1.0042499999999999E-2</v>
      </c>
      <c r="Q139">
        <v>1.7802690000000001</v>
      </c>
      <c r="R139">
        <v>67.753529999999998</v>
      </c>
      <c r="S139">
        <v>955.82</v>
      </c>
      <c r="T139">
        <v>6931.8230000000003</v>
      </c>
      <c r="U139">
        <v>31768.639999999999</v>
      </c>
      <c r="V139">
        <v>105455</v>
      </c>
      <c r="W139">
        <v>278677</v>
      </c>
      <c r="X139">
        <v>628874</v>
      </c>
      <c r="AA139">
        <f t="shared" si="84"/>
        <v>3.952569169960474E-3</v>
      </c>
      <c r="AB139">
        <f t="shared" si="85"/>
        <v>3.3222591362126247E-3</v>
      </c>
      <c r="AC139">
        <f t="shared" si="86"/>
        <v>2.8653295128939827E-3</v>
      </c>
      <c r="AD139">
        <f t="shared" si="87"/>
        <v>2.5188916876574307E-3</v>
      </c>
      <c r="AE139">
        <f t="shared" si="88"/>
        <v>2.2471910112359553E-3</v>
      </c>
      <c r="AF139">
        <f t="shared" si="89"/>
        <v>2.0283975659229209E-3</v>
      </c>
      <c r="AG139">
        <f t="shared" si="90"/>
        <v>1.8484288354898336E-3</v>
      </c>
      <c r="AH139">
        <f t="shared" si="91"/>
        <v>1.697792869269949E-3</v>
      </c>
      <c r="AI139">
        <f t="shared" si="92"/>
        <v>1.5698587127158557E-3</v>
      </c>
      <c r="AJ139">
        <f t="shared" si="93"/>
        <v>1.4598540145985401E-3</v>
      </c>
      <c r="AK139">
        <f t="shared" si="94"/>
        <v>-12.292875317027583</v>
      </c>
      <c r="AL139">
        <f t="shared" si="95"/>
        <v>-4.6009291917308373</v>
      </c>
      <c r="AM139">
        <f t="shared" si="96"/>
        <v>0.57676447648147922</v>
      </c>
      <c r="AN139">
        <f t="shared" si="97"/>
        <v>4.2158765617235128</v>
      </c>
      <c r="AO139">
        <f t="shared" si="98"/>
        <v>6.862569610804818</v>
      </c>
      <c r="AP139">
        <f t="shared" si="99"/>
        <v>8.8438781167530127</v>
      </c>
      <c r="AQ139">
        <f t="shared" si="100"/>
        <v>10.366234918667086</v>
      </c>
      <c r="AR139">
        <f t="shared" si="101"/>
        <v>11.566039600619716</v>
      </c>
      <c r="AS139">
        <f t="shared" si="102"/>
        <v>12.537808684050946</v>
      </c>
      <c r="AT139">
        <f t="shared" si="103"/>
        <v>13.35168619765123</v>
      </c>
      <c r="AU139">
        <f t="shared" si="104"/>
        <v>0.99348422903167033</v>
      </c>
      <c r="AV139">
        <f t="shared" si="105"/>
        <v>12203.432776660904</v>
      </c>
      <c r="AW139">
        <f t="shared" si="106"/>
        <v>11331.490461500738</v>
      </c>
      <c r="AX139">
        <f t="shared" si="107"/>
        <v>10504.37284888624</v>
      </c>
      <c r="AY139">
        <f t="shared" si="108"/>
        <v>9741.2089065822765</v>
      </c>
      <c r="AZ139">
        <f t="shared" si="109"/>
        <v>9055.6118036967546</v>
      </c>
      <c r="BA139">
        <f t="shared" si="110"/>
        <v>8459.0072856022543</v>
      </c>
      <c r="BB139">
        <f t="shared" si="111"/>
        <v>7964.9283770734064</v>
      </c>
      <c r="BC139">
        <f t="shared" si="112"/>
        <v>7595.8532858294548</v>
      </c>
      <c r="BD139">
        <f t="shared" si="113"/>
        <v>7398.5704931649007</v>
      </c>
      <c r="BE139">
        <f t="shared" si="114"/>
        <v>101459.34010515876</v>
      </c>
      <c r="BF139">
        <f t="shared" si="115"/>
        <v>94210.011696917136</v>
      </c>
      <c r="BG139">
        <f t="shared" si="116"/>
        <v>87333.355865640202</v>
      </c>
      <c r="BH139">
        <f t="shared" si="117"/>
        <v>80988.410849325053</v>
      </c>
      <c r="BI139">
        <f t="shared" si="118"/>
        <v>75288.356535934814</v>
      </c>
      <c r="BJ139">
        <f t="shared" si="119"/>
        <v>70328.186572497143</v>
      </c>
      <c r="BK139">
        <f t="shared" si="120"/>
        <v>66220.414526988301</v>
      </c>
      <c r="BL139">
        <f t="shared" si="121"/>
        <v>63151.924218386084</v>
      </c>
      <c r="BM139">
        <f t="shared" si="122"/>
        <v>61511.715080172988</v>
      </c>
      <c r="BO139" s="2">
        <v>104944</v>
      </c>
      <c r="BP139" s="2">
        <v>97502.3</v>
      </c>
      <c r="BQ139" s="2">
        <v>90585.56</v>
      </c>
      <c r="BR139" s="2">
        <v>84072.42</v>
      </c>
      <c r="BS139" s="2">
        <v>77828.52</v>
      </c>
      <c r="BT139" s="2">
        <v>71690.7</v>
      </c>
      <c r="BU139" s="2">
        <v>65436.87</v>
      </c>
      <c r="BV139" s="2">
        <v>58720.92</v>
      </c>
      <c r="BW139" s="2">
        <v>50903.11</v>
      </c>
      <c r="BY139">
        <f t="shared" si="123"/>
        <v>0.96904855071354479</v>
      </c>
    </row>
    <row r="140" spans="1:77" x14ac:dyDescent="0.3">
      <c r="A140" s="1" t="s">
        <v>394</v>
      </c>
      <c r="B140" s="2">
        <v>238.08</v>
      </c>
      <c r="C140" s="2">
        <v>682</v>
      </c>
      <c r="E140">
        <v>238.08</v>
      </c>
      <c r="F140">
        <v>287.40440000000001</v>
      </c>
      <c r="G140">
        <v>336.72890000000001</v>
      </c>
      <c r="H140">
        <v>386.05329999999998</v>
      </c>
      <c r="I140">
        <v>435.37779999999998</v>
      </c>
      <c r="J140">
        <v>484.7022</v>
      </c>
      <c r="K140">
        <v>534.02670000000001</v>
      </c>
      <c r="L140">
        <v>583.35109999999997</v>
      </c>
      <c r="M140">
        <v>632.67560000000003</v>
      </c>
      <c r="N140">
        <v>682</v>
      </c>
      <c r="O140" s="13">
        <v>1.77602E-7</v>
      </c>
      <c r="P140">
        <v>1.46042E-3</v>
      </c>
      <c r="Q140">
        <v>0.53760850000000004</v>
      </c>
      <c r="R140">
        <v>31.410039999999999</v>
      </c>
      <c r="S140">
        <v>575.97850000000005</v>
      </c>
      <c r="T140">
        <v>4928.6710000000003</v>
      </c>
      <c r="U140">
        <v>25135.52</v>
      </c>
      <c r="V140">
        <v>89524.75</v>
      </c>
      <c r="W140">
        <v>248097</v>
      </c>
      <c r="X140">
        <v>578931</v>
      </c>
      <c r="AA140">
        <f t="shared" si="84"/>
        <v>4.2002688172043008E-3</v>
      </c>
      <c r="AB140">
        <f t="shared" si="85"/>
        <v>3.479417851640406E-3</v>
      </c>
      <c r="AC140">
        <f t="shared" si="86"/>
        <v>2.9697480673622012E-3</v>
      </c>
      <c r="AD140">
        <f t="shared" si="87"/>
        <v>2.5903158967945619E-3</v>
      </c>
      <c r="AE140">
        <f t="shared" si="88"/>
        <v>2.2968557423001358E-3</v>
      </c>
      <c r="AF140">
        <f t="shared" si="89"/>
        <v>2.0631224698381811E-3</v>
      </c>
      <c r="AG140">
        <f t="shared" si="90"/>
        <v>1.8725655477525749E-3</v>
      </c>
      <c r="AH140">
        <f t="shared" si="91"/>
        <v>1.7142335036310038E-3</v>
      </c>
      <c r="AI140">
        <f t="shared" si="92"/>
        <v>1.5805888515378181E-3</v>
      </c>
      <c r="AJ140">
        <f t="shared" si="93"/>
        <v>1.4662756598240469E-3</v>
      </c>
      <c r="AK140">
        <f t="shared" si="94"/>
        <v>-15.543720745190488</v>
      </c>
      <c r="AL140">
        <f t="shared" si="95"/>
        <v>-6.5290312133984507</v>
      </c>
      <c r="AM140">
        <f t="shared" si="96"/>
        <v>-0.62062467888628514</v>
      </c>
      <c r="AN140">
        <f t="shared" si="97"/>
        <v>3.4471275870295277</v>
      </c>
      <c r="AO140">
        <f t="shared" si="98"/>
        <v>6.3560703336103552</v>
      </c>
      <c r="AP140">
        <f t="shared" si="99"/>
        <v>8.5028246566586123</v>
      </c>
      <c r="AQ140">
        <f t="shared" si="100"/>
        <v>10.132037264195946</v>
      </c>
      <c r="AR140">
        <f t="shared" si="101"/>
        <v>11.402270402346677</v>
      </c>
      <c r="AS140">
        <f t="shared" si="102"/>
        <v>12.421575077708356</v>
      </c>
      <c r="AT140">
        <f t="shared" si="103"/>
        <v>13.26893857846925</v>
      </c>
      <c r="AU140">
        <f t="shared" si="104"/>
        <v>0.99308823232624666</v>
      </c>
      <c r="AV140">
        <f t="shared" si="105"/>
        <v>12505.621775425079</v>
      </c>
      <c r="AW140">
        <f t="shared" si="106"/>
        <v>11592.616860502454</v>
      </c>
      <c r="AX140">
        <f t="shared" si="107"/>
        <v>10720.630936038873</v>
      </c>
      <c r="AY140">
        <f t="shared" si="108"/>
        <v>9912.5646259961995</v>
      </c>
      <c r="AZ140">
        <f t="shared" si="109"/>
        <v>9184.6329811588494</v>
      </c>
      <c r="BA140">
        <f t="shared" si="110"/>
        <v>8549.7424586099423</v>
      </c>
      <c r="BB140">
        <f t="shared" si="111"/>
        <v>8022.5904061177635</v>
      </c>
      <c r="BC140">
        <f t="shared" si="112"/>
        <v>7626.9769077699748</v>
      </c>
      <c r="BD140">
        <f t="shared" si="113"/>
        <v>7412.6484271614736</v>
      </c>
      <c r="BE140">
        <f t="shared" si="114"/>
        <v>103971.73944088411</v>
      </c>
      <c r="BF140">
        <f t="shared" si="115"/>
        <v>96381.016578217401</v>
      </c>
      <c r="BG140">
        <f t="shared" si="116"/>
        <v>89131.325602227196</v>
      </c>
      <c r="BH140">
        <f t="shared" si="117"/>
        <v>82413.062300532401</v>
      </c>
      <c r="BI140">
        <f t="shared" si="118"/>
        <v>76361.038605354668</v>
      </c>
      <c r="BJ140">
        <f t="shared" si="119"/>
        <v>71082.558800883067</v>
      </c>
      <c r="BK140">
        <f t="shared" si="120"/>
        <v>66699.816636463089</v>
      </c>
      <c r="BL140">
        <f t="shared" si="121"/>
        <v>63410.68601119957</v>
      </c>
      <c r="BM140">
        <f t="shared" si="122"/>
        <v>61628.759023420491</v>
      </c>
      <c r="BO140" s="2">
        <v>107591</v>
      </c>
      <c r="BP140" s="2">
        <v>99810.41</v>
      </c>
      <c r="BQ140" s="2">
        <v>92563.99</v>
      </c>
      <c r="BR140" s="2">
        <v>85729.34</v>
      </c>
      <c r="BS140" s="2">
        <v>79170.59</v>
      </c>
      <c r="BT140" s="2">
        <v>72722.070000000007</v>
      </c>
      <c r="BU140" s="2">
        <v>66157.58</v>
      </c>
      <c r="BV140" s="2">
        <v>59123.55</v>
      </c>
      <c r="BW140" s="2">
        <v>50963.51</v>
      </c>
      <c r="BY140">
        <f t="shared" si="123"/>
        <v>0.97022677245860378</v>
      </c>
    </row>
    <row r="141" spans="1:77" x14ac:dyDescent="0.3">
      <c r="A141" s="1" t="s">
        <v>397</v>
      </c>
      <c r="B141" s="2">
        <v>252.35</v>
      </c>
      <c r="C141" s="2">
        <v>603</v>
      </c>
      <c r="E141">
        <v>252.35</v>
      </c>
      <c r="F141">
        <v>291.31110000000001</v>
      </c>
      <c r="G141">
        <v>330.2722</v>
      </c>
      <c r="H141">
        <v>369.23329999999999</v>
      </c>
      <c r="I141">
        <v>408.19439999999997</v>
      </c>
      <c r="J141">
        <v>447.15559999999999</v>
      </c>
      <c r="K141">
        <v>486.11669999999998</v>
      </c>
      <c r="L141">
        <v>525.07780000000002</v>
      </c>
      <c r="M141">
        <v>564.03890000000001</v>
      </c>
      <c r="N141">
        <v>603</v>
      </c>
      <c r="O141">
        <v>2.70157E-2</v>
      </c>
      <c r="P141">
        <v>3.590757</v>
      </c>
      <c r="Q141">
        <v>107.1944</v>
      </c>
      <c r="R141">
        <v>1233.71</v>
      </c>
      <c r="S141">
        <v>7570.5050000000001</v>
      </c>
      <c r="T141">
        <v>30401.119999999999</v>
      </c>
      <c r="U141">
        <v>91431.45</v>
      </c>
      <c r="V141">
        <v>225752</v>
      </c>
      <c r="W141">
        <v>487993</v>
      </c>
      <c r="X141">
        <v>967044</v>
      </c>
      <c r="AA141">
        <f t="shared" si="84"/>
        <v>3.9627501486031308E-3</v>
      </c>
      <c r="AB141">
        <f t="shared" si="85"/>
        <v>3.4327562526796952E-3</v>
      </c>
      <c r="AC141">
        <f t="shared" si="86"/>
        <v>3.0278055494831232E-3</v>
      </c>
      <c r="AD141">
        <f t="shared" si="87"/>
        <v>2.7083147700925135E-3</v>
      </c>
      <c r="AE141">
        <f t="shared" si="88"/>
        <v>2.449813128254577E-3</v>
      </c>
      <c r="AF141">
        <f t="shared" si="89"/>
        <v>2.2363579926092843E-3</v>
      </c>
      <c r="AG141">
        <f t="shared" si="90"/>
        <v>2.0571192061494699E-3</v>
      </c>
      <c r="AH141">
        <f t="shared" si="91"/>
        <v>1.9044796790113768E-3</v>
      </c>
      <c r="AI141">
        <f t="shared" si="92"/>
        <v>1.7729273636977875E-3</v>
      </c>
      <c r="AJ141">
        <f t="shared" si="93"/>
        <v>1.658374792703151E-3</v>
      </c>
      <c r="AK141">
        <f t="shared" si="94"/>
        <v>-3.6113371004911747</v>
      </c>
      <c r="AL141">
        <f t="shared" si="95"/>
        <v>1.2783630437813516</v>
      </c>
      <c r="AM141">
        <f t="shared" si="96"/>
        <v>4.6746440084662373</v>
      </c>
      <c r="AN141">
        <f t="shared" si="97"/>
        <v>7.1177811687428738</v>
      </c>
      <c r="AO141">
        <f t="shared" si="98"/>
        <v>8.9320150549065662</v>
      </c>
      <c r="AP141">
        <f t="shared" si="99"/>
        <v>10.322234728820922</v>
      </c>
      <c r="AQ141">
        <f t="shared" si="100"/>
        <v>11.423344790159918</v>
      </c>
      <c r="AR141">
        <f t="shared" si="101"/>
        <v>12.327192330597684</v>
      </c>
      <c r="AS141">
        <f t="shared" si="102"/>
        <v>13.098056340470109</v>
      </c>
      <c r="AT141">
        <f t="shared" si="103"/>
        <v>13.781999274951456</v>
      </c>
      <c r="AU141">
        <f t="shared" si="104"/>
        <v>0.99271471484931928</v>
      </c>
      <c r="AV141">
        <f t="shared" si="105"/>
        <v>9225.9555853052789</v>
      </c>
      <c r="AW141">
        <f t="shared" si="106"/>
        <v>8386.8997828020965</v>
      </c>
      <c r="AX141">
        <f t="shared" si="107"/>
        <v>7646.9723631355719</v>
      </c>
      <c r="AY141">
        <f t="shared" si="108"/>
        <v>7018.2683299980654</v>
      </c>
      <c r="AZ141">
        <f t="shared" si="109"/>
        <v>6512.9361713954795</v>
      </c>
      <c r="BA141">
        <f t="shared" si="110"/>
        <v>6143.2577350431193</v>
      </c>
      <c r="BB141">
        <f t="shared" si="111"/>
        <v>5921.4513919455121</v>
      </c>
      <c r="BC141">
        <f t="shared" si="112"/>
        <v>5859.7525101315659</v>
      </c>
      <c r="BD141">
        <f t="shared" si="113"/>
        <v>5970.559443081992</v>
      </c>
      <c r="BE141">
        <f t="shared" si="114"/>
        <v>76704.594736228086</v>
      </c>
      <c r="BF141">
        <f t="shared" si="115"/>
        <v>69728.684794216635</v>
      </c>
      <c r="BG141">
        <f t="shared" si="116"/>
        <v>63576.928227109143</v>
      </c>
      <c r="BH141">
        <f t="shared" si="117"/>
        <v>58349.882895603914</v>
      </c>
      <c r="BI141">
        <f t="shared" si="118"/>
        <v>54148.551328982016</v>
      </c>
      <c r="BJ141">
        <f t="shared" si="119"/>
        <v>51075.044809148494</v>
      </c>
      <c r="BK141">
        <f t="shared" si="120"/>
        <v>49230.946872634988</v>
      </c>
      <c r="BL141">
        <f t="shared" si="121"/>
        <v>48717.98236923384</v>
      </c>
      <c r="BM141">
        <f t="shared" si="122"/>
        <v>49639.231209783684</v>
      </c>
      <c r="BO141" s="2">
        <v>70510.55</v>
      </c>
      <c r="BP141" s="2">
        <v>66430.13</v>
      </c>
      <c r="BQ141" s="2">
        <v>62498.8</v>
      </c>
      <c r="BR141" s="2">
        <v>58664.24</v>
      </c>
      <c r="BS141" s="2">
        <v>54862.84</v>
      </c>
      <c r="BT141" s="2">
        <v>51011.29</v>
      </c>
      <c r="BU141" s="2">
        <v>46990.71</v>
      </c>
      <c r="BV141" s="2">
        <v>42613.1</v>
      </c>
      <c r="BW141" s="2">
        <v>37538.47</v>
      </c>
      <c r="BY141">
        <f t="shared" si="123"/>
        <v>0.85759620142045123</v>
      </c>
    </row>
    <row r="142" spans="1:77" x14ac:dyDescent="0.3">
      <c r="A142" s="1" t="s">
        <v>400</v>
      </c>
      <c r="B142" s="2">
        <v>224.25</v>
      </c>
      <c r="C142" s="2">
        <v>593</v>
      </c>
      <c r="E142">
        <v>224.25</v>
      </c>
      <c r="F142">
        <v>265.22219999999999</v>
      </c>
      <c r="G142">
        <v>306.19439999999997</v>
      </c>
      <c r="H142">
        <v>347.16669999999999</v>
      </c>
      <c r="I142">
        <v>388.13889999999998</v>
      </c>
      <c r="J142">
        <v>429.11110000000002</v>
      </c>
      <c r="K142">
        <v>470.08330000000001</v>
      </c>
      <c r="L142">
        <v>511.05560000000003</v>
      </c>
      <c r="M142">
        <v>552.02779999999996</v>
      </c>
      <c r="N142">
        <v>593</v>
      </c>
      <c r="O142">
        <v>1.4465E-2</v>
      </c>
      <c r="P142">
        <v>1.9671609999999999</v>
      </c>
      <c r="Q142">
        <v>64.255709999999993</v>
      </c>
      <c r="R142">
        <v>846.88459999999998</v>
      </c>
      <c r="S142">
        <v>6062.1189999999997</v>
      </c>
      <c r="T142">
        <v>28279.31</v>
      </c>
      <c r="U142">
        <v>96742.84</v>
      </c>
      <c r="V142">
        <v>262908</v>
      </c>
      <c r="W142">
        <v>600487</v>
      </c>
      <c r="X142">
        <v>1201190</v>
      </c>
      <c r="AA142">
        <f t="shared" si="84"/>
        <v>4.459308807134894E-3</v>
      </c>
      <c r="AB142">
        <f t="shared" si="85"/>
        <v>3.7704234411749847E-3</v>
      </c>
      <c r="AC142">
        <f t="shared" si="86"/>
        <v>3.2658990497540126E-3</v>
      </c>
      <c r="AD142">
        <f t="shared" si="87"/>
        <v>2.8804605971713302E-3</v>
      </c>
      <c r="AE142">
        <f t="shared" si="88"/>
        <v>2.5763972639691619E-3</v>
      </c>
      <c r="AF142">
        <f t="shared" si="89"/>
        <v>2.3303988174624242E-3</v>
      </c>
      <c r="AG142">
        <f t="shared" si="90"/>
        <v>2.1272825475825243E-3</v>
      </c>
      <c r="AH142">
        <f t="shared" si="91"/>
        <v>1.956734257485878E-3</v>
      </c>
      <c r="AI142">
        <f t="shared" si="92"/>
        <v>1.8115029714083242E-3</v>
      </c>
      <c r="AJ142">
        <f t="shared" si="93"/>
        <v>1.6863406408094434E-3</v>
      </c>
      <c r="AK142">
        <f t="shared" si="94"/>
        <v>-4.2360233405540386</v>
      </c>
      <c r="AL142">
        <f t="shared" si="95"/>
        <v>0.6765913865911577</v>
      </c>
      <c r="AM142">
        <f t="shared" si="96"/>
        <v>4.1628705914218136</v>
      </c>
      <c r="AN142">
        <f t="shared" si="97"/>
        <v>6.7415644397971741</v>
      </c>
      <c r="AO142">
        <f t="shared" si="98"/>
        <v>8.7098146879100611</v>
      </c>
      <c r="AP142">
        <f t="shared" si="99"/>
        <v>10.249885720844393</v>
      </c>
      <c r="AQ142">
        <f t="shared" si="100"/>
        <v>11.479811602985553</v>
      </c>
      <c r="AR142">
        <f t="shared" si="101"/>
        <v>12.479559440076219</v>
      </c>
      <c r="AS142">
        <f t="shared" si="102"/>
        <v>13.305496271641696</v>
      </c>
      <c r="AT142">
        <f t="shared" si="103"/>
        <v>13.998823290048334</v>
      </c>
      <c r="AU142">
        <f t="shared" si="104"/>
        <v>0.99855073002227013</v>
      </c>
      <c r="AV142">
        <f t="shared" si="105"/>
        <v>7131.2513952155778</v>
      </c>
      <c r="AW142">
        <f t="shared" si="106"/>
        <v>6910.0310393550935</v>
      </c>
      <c r="AX142">
        <f t="shared" si="107"/>
        <v>6690.2869474918098</v>
      </c>
      <c r="AY142">
        <f t="shared" si="108"/>
        <v>6473.158823146292</v>
      </c>
      <c r="AZ142">
        <f t="shared" si="109"/>
        <v>6260.4908884745764</v>
      </c>
      <c r="BA142">
        <f t="shared" si="110"/>
        <v>6055.2799776620568</v>
      </c>
      <c r="BB142">
        <f t="shared" si="111"/>
        <v>5861.9634153126317</v>
      </c>
      <c r="BC142">
        <f t="shared" si="112"/>
        <v>5687.044808819117</v>
      </c>
      <c r="BD142">
        <f t="shared" si="113"/>
        <v>5539.422405201185</v>
      </c>
      <c r="BE142">
        <f t="shared" si="114"/>
        <v>59289.224099822313</v>
      </c>
      <c r="BF142">
        <f t="shared" si="115"/>
        <v>57449.998061198246</v>
      </c>
      <c r="BG142">
        <f t="shared" si="116"/>
        <v>55623.045681446907</v>
      </c>
      <c r="BH142">
        <f t="shared" si="117"/>
        <v>53817.842455638274</v>
      </c>
      <c r="BI142">
        <f t="shared" si="118"/>
        <v>52049.721246777626</v>
      </c>
      <c r="BJ142">
        <f t="shared" si="119"/>
        <v>50343.597734282339</v>
      </c>
      <c r="BK142">
        <f t="shared" si="120"/>
        <v>48736.363834909222</v>
      </c>
      <c r="BL142">
        <f t="shared" si="121"/>
        <v>47282.090540522142</v>
      </c>
      <c r="BM142">
        <f t="shared" si="122"/>
        <v>46054.757876842654</v>
      </c>
      <c r="BO142" s="2">
        <v>60338.84</v>
      </c>
      <c r="BP142" s="2">
        <v>58239.13</v>
      </c>
      <c r="BQ142" s="2">
        <v>56346.26</v>
      </c>
      <c r="BR142" s="2">
        <v>54492.6</v>
      </c>
      <c r="BS142" s="2">
        <v>52490.07</v>
      </c>
      <c r="BT142" s="2">
        <v>50116.68</v>
      </c>
      <c r="BU142" s="2">
        <v>47099.11</v>
      </c>
      <c r="BV142" s="2">
        <v>43084.66</v>
      </c>
      <c r="BW142" s="2">
        <v>37579.879999999997</v>
      </c>
      <c r="BY142">
        <f t="shared" si="123"/>
        <v>0.93472054486473355</v>
      </c>
    </row>
    <row r="143" spans="1:77" x14ac:dyDescent="0.3">
      <c r="A143" s="1" t="s">
        <v>403</v>
      </c>
      <c r="B143" s="2">
        <v>249.37</v>
      </c>
      <c r="C143" s="2">
        <v>619</v>
      </c>
      <c r="E143">
        <v>249.37</v>
      </c>
      <c r="F143">
        <v>290.44</v>
      </c>
      <c r="G143">
        <v>331.51</v>
      </c>
      <c r="H143">
        <v>372.58</v>
      </c>
      <c r="I143">
        <v>413.65</v>
      </c>
      <c r="J143">
        <v>454.72</v>
      </c>
      <c r="K143">
        <v>495.79</v>
      </c>
      <c r="L143">
        <v>536.86</v>
      </c>
      <c r="M143">
        <v>577.92999999999995</v>
      </c>
      <c r="N143">
        <v>619</v>
      </c>
      <c r="O143">
        <v>1.3844499999999999E-2</v>
      </c>
      <c r="P143">
        <v>1.6421539999999999</v>
      </c>
      <c r="Q143">
        <v>53.306719999999999</v>
      </c>
      <c r="R143">
        <v>713.57259999999997</v>
      </c>
      <c r="S143">
        <v>5091.7299999999996</v>
      </c>
      <c r="T143">
        <v>23008.17</v>
      </c>
      <c r="U143">
        <v>74436.28</v>
      </c>
      <c r="V143">
        <v>189112</v>
      </c>
      <c r="W143">
        <v>406300</v>
      </c>
      <c r="X143">
        <v>787687</v>
      </c>
      <c r="AA143">
        <f t="shared" si="84"/>
        <v>4.0101054657737494E-3</v>
      </c>
      <c r="AB143">
        <f t="shared" si="85"/>
        <v>3.443051921222972E-3</v>
      </c>
      <c r="AC143">
        <f t="shared" si="86"/>
        <v>3.0165002564025217E-3</v>
      </c>
      <c r="AD143">
        <f t="shared" si="87"/>
        <v>2.683987331579795E-3</v>
      </c>
      <c r="AE143">
        <f t="shared" si="88"/>
        <v>2.4175027196905599E-3</v>
      </c>
      <c r="AF143">
        <f t="shared" si="89"/>
        <v>2.1991555242786768E-3</v>
      </c>
      <c r="AG143">
        <f t="shared" si="90"/>
        <v>2.0169829968333364E-3</v>
      </c>
      <c r="AH143">
        <f t="shared" si="91"/>
        <v>1.8626830086055954E-3</v>
      </c>
      <c r="AI143">
        <f t="shared" si="92"/>
        <v>1.7303133597494507E-3</v>
      </c>
      <c r="AJ143">
        <f t="shared" si="93"/>
        <v>1.6155088852988692E-3</v>
      </c>
      <c r="AK143">
        <f t="shared" si="94"/>
        <v>-4.2798672371319633</v>
      </c>
      <c r="AL143">
        <f t="shared" si="95"/>
        <v>0.49600879469574838</v>
      </c>
      <c r="AM143">
        <f t="shared" si="96"/>
        <v>3.9760624020237847</v>
      </c>
      <c r="AN143">
        <f t="shared" si="97"/>
        <v>6.5702841836676349</v>
      </c>
      <c r="AO143">
        <f t="shared" si="98"/>
        <v>8.5353729339195326</v>
      </c>
      <c r="AP143">
        <f t="shared" si="99"/>
        <v>10.043604649227829</v>
      </c>
      <c r="AQ143">
        <f t="shared" si="100"/>
        <v>11.217698736374764</v>
      </c>
      <c r="AR143">
        <f t="shared" si="101"/>
        <v>12.150094711120717</v>
      </c>
      <c r="AS143">
        <f t="shared" si="102"/>
        <v>12.914847081975818</v>
      </c>
      <c r="AT143">
        <f t="shared" si="103"/>
        <v>13.576856081810147</v>
      </c>
      <c r="AU143">
        <f t="shared" si="104"/>
        <v>0.9960234788495016</v>
      </c>
      <c r="AV143">
        <f t="shared" si="105"/>
        <v>8422.2664291979418</v>
      </c>
      <c r="AW143">
        <f t="shared" si="106"/>
        <v>8158.5746683063735</v>
      </c>
      <c r="AX143">
        <f t="shared" si="107"/>
        <v>7801.8675004194574</v>
      </c>
      <c r="AY143">
        <f t="shared" si="108"/>
        <v>7374.1171631654724</v>
      </c>
      <c r="AZ143">
        <f t="shared" si="109"/>
        <v>6907.4929607555378</v>
      </c>
      <c r="BA143">
        <f t="shared" si="110"/>
        <v>6444.956896693514</v>
      </c>
      <c r="BB143">
        <f t="shared" si="111"/>
        <v>6042.7481910742017</v>
      </c>
      <c r="BC143">
        <f t="shared" si="112"/>
        <v>5777.3997095528375</v>
      </c>
      <c r="BD143">
        <f t="shared" si="113"/>
        <v>5766.4041667582942</v>
      </c>
      <c r="BE143">
        <f t="shared" si="114"/>
        <v>70022.723092351691</v>
      </c>
      <c r="BF143">
        <f t="shared" si="115"/>
        <v>67830.389792299189</v>
      </c>
      <c r="BG143">
        <f t="shared" si="116"/>
        <v>64864.726398487372</v>
      </c>
      <c r="BH143">
        <f t="shared" si="117"/>
        <v>61308.410094557737</v>
      </c>
      <c r="BI143">
        <f t="shared" si="118"/>
        <v>57428.896475721544</v>
      </c>
      <c r="BJ143">
        <f t="shared" si="119"/>
        <v>53583.371639109879</v>
      </c>
      <c r="BK143">
        <f t="shared" si="120"/>
        <v>50239.408460590916</v>
      </c>
      <c r="BL143">
        <f t="shared" si="121"/>
        <v>48033.301185222292</v>
      </c>
      <c r="BM143">
        <f t="shared" si="122"/>
        <v>47941.884242428459</v>
      </c>
      <c r="BO143" s="2">
        <v>70652.22</v>
      </c>
      <c r="BP143" s="2">
        <v>69075.53</v>
      </c>
      <c r="BQ143" s="2">
        <v>66458.23</v>
      </c>
      <c r="BR143" s="2">
        <v>62961.62</v>
      </c>
      <c r="BS143" s="2">
        <v>58764.32</v>
      </c>
      <c r="BT143" s="2">
        <v>54041.51</v>
      </c>
      <c r="BU143" s="2">
        <v>48941.55</v>
      </c>
      <c r="BV143" s="2">
        <v>43554.26</v>
      </c>
      <c r="BW143" s="2">
        <v>37847.83</v>
      </c>
      <c r="BY143">
        <f t="shared" si="123"/>
        <v>0.94233375611865011</v>
      </c>
    </row>
    <row r="144" spans="1:77" x14ac:dyDescent="0.3">
      <c r="A144" s="1" t="s">
        <v>406</v>
      </c>
      <c r="B144" s="2">
        <v>249.37</v>
      </c>
      <c r="C144" s="2">
        <v>647</v>
      </c>
      <c r="E144">
        <v>249.37</v>
      </c>
      <c r="F144">
        <v>293.55110000000002</v>
      </c>
      <c r="G144">
        <v>337.73219999999998</v>
      </c>
      <c r="H144">
        <v>381.91329999999999</v>
      </c>
      <c r="I144">
        <v>426.09440000000001</v>
      </c>
      <c r="J144">
        <v>470.2756</v>
      </c>
      <c r="K144">
        <v>514.45669999999996</v>
      </c>
      <c r="L144">
        <v>558.63779999999997</v>
      </c>
      <c r="M144">
        <v>602.81889999999999</v>
      </c>
      <c r="N144">
        <v>647</v>
      </c>
      <c r="O144">
        <v>2.1582099999999999E-4</v>
      </c>
      <c r="P144">
        <v>0.115259</v>
      </c>
      <c r="Q144">
        <v>8.6776479999999996</v>
      </c>
      <c r="R144">
        <v>191.48179999999999</v>
      </c>
      <c r="S144">
        <v>1887.0219999999999</v>
      </c>
      <c r="T144">
        <v>10744.51</v>
      </c>
      <c r="U144">
        <v>41695</v>
      </c>
      <c r="V144">
        <v>123152</v>
      </c>
      <c r="W144">
        <v>299075</v>
      </c>
      <c r="X144">
        <v>632445</v>
      </c>
      <c r="AA144">
        <f t="shared" si="84"/>
        <v>4.0101054657737494E-3</v>
      </c>
      <c r="AB144">
        <f t="shared" si="85"/>
        <v>3.4065619239716694E-3</v>
      </c>
      <c r="AC144">
        <f t="shared" si="86"/>
        <v>2.9609258459809282E-3</v>
      </c>
      <c r="AD144">
        <f t="shared" si="87"/>
        <v>2.6183953268974921E-3</v>
      </c>
      <c r="AE144">
        <f t="shared" si="88"/>
        <v>2.3468977766429224E-3</v>
      </c>
      <c r="AF144">
        <f t="shared" si="89"/>
        <v>2.1264126822654631E-3</v>
      </c>
      <c r="AG144">
        <f t="shared" si="90"/>
        <v>1.9437981855421459E-3</v>
      </c>
      <c r="AH144">
        <f t="shared" si="91"/>
        <v>1.7900686276510469E-3</v>
      </c>
      <c r="AI144">
        <f t="shared" si="92"/>
        <v>1.6588730048112295E-3</v>
      </c>
      <c r="AJ144">
        <f t="shared" si="93"/>
        <v>1.5455950540958269E-3</v>
      </c>
      <c r="AK144">
        <f t="shared" si="94"/>
        <v>-8.4410611975485494</v>
      </c>
      <c r="AL144">
        <f t="shared" si="95"/>
        <v>-2.16057350904804</v>
      </c>
      <c r="AM144">
        <f t="shared" si="96"/>
        <v>2.1607505242119314</v>
      </c>
      <c r="AN144">
        <f t="shared" si="97"/>
        <v>5.2547927649397019</v>
      </c>
      <c r="AO144">
        <f t="shared" si="98"/>
        <v>7.5427552040181292</v>
      </c>
      <c r="AP144">
        <f t="shared" si="99"/>
        <v>9.2821502054309164</v>
      </c>
      <c r="AQ144">
        <f t="shared" si="100"/>
        <v>10.638136496521085</v>
      </c>
      <c r="AR144">
        <f t="shared" si="101"/>
        <v>11.721174643774098</v>
      </c>
      <c r="AS144">
        <f t="shared" si="102"/>
        <v>12.608449657039104</v>
      </c>
      <c r="AT144">
        <f t="shared" si="103"/>
        <v>13.357348539281135</v>
      </c>
      <c r="AU144">
        <f t="shared" si="104"/>
        <v>0.99444372597820541</v>
      </c>
      <c r="AV144">
        <f t="shared" si="105"/>
        <v>10406.02252117225</v>
      </c>
      <c r="AW144">
        <f t="shared" si="106"/>
        <v>9696.9797704524135</v>
      </c>
      <c r="AX144">
        <f t="shared" si="107"/>
        <v>9032.8950804354481</v>
      </c>
      <c r="AY144">
        <f t="shared" si="108"/>
        <v>8427.1936779286571</v>
      </c>
      <c r="AZ144">
        <f t="shared" si="109"/>
        <v>7888.945991219849</v>
      </c>
      <c r="BA144">
        <f t="shared" si="110"/>
        <v>7425.4033246037961</v>
      </c>
      <c r="BB144">
        <f t="shared" si="111"/>
        <v>7045.0872435360179</v>
      </c>
      <c r="BC144">
        <f t="shared" si="112"/>
        <v>6762.9924997445924</v>
      </c>
      <c r="BD144">
        <f t="shared" si="113"/>
        <v>6611.1619914766152</v>
      </c>
      <c r="BE144">
        <f t="shared" si="114"/>
        <v>86515.671241026081</v>
      </c>
      <c r="BF144">
        <f t="shared" si="115"/>
        <v>80620.689811541364</v>
      </c>
      <c r="BG144">
        <f t="shared" si="116"/>
        <v>75099.489698740319</v>
      </c>
      <c r="BH144">
        <f t="shared" si="117"/>
        <v>70063.688238298855</v>
      </c>
      <c r="BI144">
        <f t="shared" si="118"/>
        <v>65588.696971001831</v>
      </c>
      <c r="BJ144">
        <f t="shared" si="119"/>
        <v>61734.803240755959</v>
      </c>
      <c r="BK144">
        <f t="shared" si="120"/>
        <v>58572.855342758456</v>
      </c>
      <c r="BL144">
        <f t="shared" si="121"/>
        <v>56227.519642876541</v>
      </c>
      <c r="BM144">
        <f t="shared" si="122"/>
        <v>54965.200797136582</v>
      </c>
      <c r="BO144" s="2">
        <v>89647.94</v>
      </c>
      <c r="BP144" s="2">
        <v>84161.23</v>
      </c>
      <c r="BQ144" s="2">
        <v>78664.69</v>
      </c>
      <c r="BR144" s="2">
        <v>73171.48</v>
      </c>
      <c r="BS144" s="2">
        <v>67674.320000000007</v>
      </c>
      <c r="BT144" s="2">
        <v>62135.55</v>
      </c>
      <c r="BU144" s="2">
        <v>56467.55</v>
      </c>
      <c r="BV144" s="2">
        <v>50488.66</v>
      </c>
      <c r="BW144" s="2">
        <v>43806.93</v>
      </c>
      <c r="BY144">
        <f t="shared" si="123"/>
        <v>0.95792019712847642</v>
      </c>
    </row>
    <row r="145" spans="1:77" x14ac:dyDescent="0.3">
      <c r="A145" s="1" t="s">
        <v>408</v>
      </c>
      <c r="B145" s="2">
        <v>249.37</v>
      </c>
      <c r="C145" s="2">
        <v>634</v>
      </c>
      <c r="E145">
        <v>249.37</v>
      </c>
      <c r="F145">
        <v>292.10669999999999</v>
      </c>
      <c r="G145">
        <v>334.8433</v>
      </c>
      <c r="H145">
        <v>377.58</v>
      </c>
      <c r="I145">
        <v>420.31670000000003</v>
      </c>
      <c r="J145">
        <v>463.05329999999998</v>
      </c>
      <c r="K145">
        <v>505.79</v>
      </c>
      <c r="L145">
        <v>548.52670000000001</v>
      </c>
      <c r="M145">
        <v>591.26329999999996</v>
      </c>
      <c r="N145">
        <v>634</v>
      </c>
      <c r="O145">
        <v>2.99878E-4</v>
      </c>
      <c r="P145">
        <v>0.1422051</v>
      </c>
      <c r="Q145">
        <v>10.24188</v>
      </c>
      <c r="R145">
        <v>223.3689</v>
      </c>
      <c r="S145">
        <v>2206.6680000000001</v>
      </c>
      <c r="T145">
        <v>12666.25</v>
      </c>
      <c r="U145">
        <v>49631.65</v>
      </c>
      <c r="V145">
        <v>148006</v>
      </c>
      <c r="W145">
        <v>362618</v>
      </c>
      <c r="X145">
        <v>772943</v>
      </c>
      <c r="AA145">
        <f t="shared" si="84"/>
        <v>4.0101054657737494E-3</v>
      </c>
      <c r="AB145">
        <f t="shared" si="85"/>
        <v>3.4234065839640103E-3</v>
      </c>
      <c r="AC145">
        <f t="shared" si="86"/>
        <v>2.9864715823789815E-3</v>
      </c>
      <c r="AD145">
        <f t="shared" si="87"/>
        <v>2.6484453625721703E-3</v>
      </c>
      <c r="AE145">
        <f t="shared" si="88"/>
        <v>2.3791583822389164E-3</v>
      </c>
      <c r="AF145">
        <f t="shared" si="89"/>
        <v>2.1595786057458182E-3</v>
      </c>
      <c r="AG145">
        <f t="shared" si="90"/>
        <v>1.9771051226793726E-3</v>
      </c>
      <c r="AH145">
        <f t="shared" si="91"/>
        <v>1.8230653129555955E-3</v>
      </c>
      <c r="AI145">
        <f t="shared" si="92"/>
        <v>1.6912938787169778E-3</v>
      </c>
      <c r="AJ145">
        <f t="shared" si="93"/>
        <v>1.5772870662460567E-3</v>
      </c>
      <c r="AK145">
        <f t="shared" si="94"/>
        <v>-8.1121348326860527</v>
      </c>
      <c r="AL145">
        <f t="shared" si="95"/>
        <v>-1.9504848972772266</v>
      </c>
      <c r="AM145">
        <f t="shared" si="96"/>
        <v>2.3264851965100917</v>
      </c>
      <c r="AN145">
        <f t="shared" si="97"/>
        <v>5.4088246647687157</v>
      </c>
      <c r="AO145">
        <f t="shared" si="98"/>
        <v>7.6992389644923689</v>
      </c>
      <c r="AP145">
        <f t="shared" si="99"/>
        <v>9.4466962547625268</v>
      </c>
      <c r="AQ145">
        <f t="shared" si="100"/>
        <v>10.812384014049401</v>
      </c>
      <c r="AR145">
        <f t="shared" si="101"/>
        <v>11.905008092465048</v>
      </c>
      <c r="AS145">
        <f t="shared" si="102"/>
        <v>12.801105217549003</v>
      </c>
      <c r="AT145">
        <f t="shared" si="103"/>
        <v>13.557960586170264</v>
      </c>
      <c r="AU145">
        <f t="shared" si="104"/>
        <v>0.9943558484247178</v>
      </c>
      <c r="AV145">
        <f t="shared" si="105"/>
        <v>10502.235689290084</v>
      </c>
      <c r="AW145">
        <f t="shared" si="106"/>
        <v>9788.5728501313661</v>
      </c>
      <c r="AX145">
        <f t="shared" si="107"/>
        <v>9118.6401753693644</v>
      </c>
      <c r="AY145">
        <f t="shared" si="108"/>
        <v>8505.4773048781262</v>
      </c>
      <c r="AZ145">
        <f t="shared" si="109"/>
        <v>7958.1886737419254</v>
      </c>
      <c r="BA145">
        <f t="shared" si="110"/>
        <v>7484.3080558152942</v>
      </c>
      <c r="BB145">
        <f t="shared" si="111"/>
        <v>7093.1279412440899</v>
      </c>
      <c r="BC145">
        <f t="shared" si="112"/>
        <v>6800.3898588616858</v>
      </c>
      <c r="BD145">
        <f t="shared" si="113"/>
        <v>6638.6854628911497</v>
      </c>
      <c r="BE145">
        <f t="shared" si="114"/>
        <v>87315.587520757763</v>
      </c>
      <c r="BF145">
        <f t="shared" si="115"/>
        <v>81382.194675992185</v>
      </c>
      <c r="BG145">
        <f t="shared" si="116"/>
        <v>75812.374418020903</v>
      </c>
      <c r="BH145">
        <f t="shared" si="117"/>
        <v>70714.538312756747</v>
      </c>
      <c r="BI145">
        <f t="shared" si="118"/>
        <v>66164.380633490364</v>
      </c>
      <c r="BJ145">
        <f t="shared" si="119"/>
        <v>62224.537176048354</v>
      </c>
      <c r="BK145">
        <f t="shared" si="120"/>
        <v>58972.265703503363</v>
      </c>
      <c r="BL145">
        <f t="shared" si="121"/>
        <v>56538.441286576053</v>
      </c>
      <c r="BM145">
        <f t="shared" si="122"/>
        <v>55194.030938477015</v>
      </c>
      <c r="BO145" s="2">
        <v>90112.29</v>
      </c>
      <c r="BP145" s="2">
        <v>84127.01</v>
      </c>
      <c r="BQ145" s="2">
        <v>78508.63</v>
      </c>
      <c r="BR145" s="2">
        <v>73174.880000000005</v>
      </c>
      <c r="BS145" s="2">
        <v>68031.13</v>
      </c>
      <c r="BT145" s="2">
        <v>62958.41</v>
      </c>
      <c r="BU145" s="2">
        <v>57790.63</v>
      </c>
      <c r="BV145" s="2">
        <v>52265.440000000002</v>
      </c>
      <c r="BW145" s="2">
        <v>45898.81</v>
      </c>
      <c r="BY145">
        <f t="shared" si="123"/>
        <v>0.9673360704604328</v>
      </c>
    </row>
    <row r="146" spans="1:77" x14ac:dyDescent="0.3">
      <c r="A146" s="1" t="s">
        <v>410</v>
      </c>
      <c r="B146" s="2">
        <v>249.37</v>
      </c>
      <c r="C146" s="2">
        <v>671</v>
      </c>
      <c r="E146">
        <v>249.37</v>
      </c>
      <c r="F146">
        <v>296.21780000000001</v>
      </c>
      <c r="G146">
        <v>343.06560000000002</v>
      </c>
      <c r="H146">
        <v>389.91329999999999</v>
      </c>
      <c r="I146">
        <v>436.7611</v>
      </c>
      <c r="J146">
        <v>483.60890000000001</v>
      </c>
      <c r="K146">
        <v>530.45669999999996</v>
      </c>
      <c r="L146">
        <v>577.30439999999999</v>
      </c>
      <c r="M146">
        <v>624.15219999999999</v>
      </c>
      <c r="N146">
        <v>671</v>
      </c>
      <c r="O146" s="13">
        <v>6.7544199999999998E-6</v>
      </c>
      <c r="P146">
        <v>1.25991E-2</v>
      </c>
      <c r="Q146">
        <v>2.036721</v>
      </c>
      <c r="R146">
        <v>73.318920000000006</v>
      </c>
      <c r="S146">
        <v>999.03189999999995</v>
      </c>
      <c r="T146">
        <v>7086.1610000000001</v>
      </c>
      <c r="U146">
        <v>32009.81</v>
      </c>
      <c r="V146">
        <v>105237</v>
      </c>
      <c r="W146">
        <v>276240</v>
      </c>
      <c r="X146">
        <v>620127</v>
      </c>
      <c r="Z146" s="13"/>
      <c r="AA146">
        <f t="shared" si="84"/>
        <v>4.0101054657737494E-3</v>
      </c>
      <c r="AB146">
        <f t="shared" si="85"/>
        <v>3.3758943588130083E-3</v>
      </c>
      <c r="AC146">
        <f t="shared" si="86"/>
        <v>2.9148944108648607E-3</v>
      </c>
      <c r="AD146">
        <f t="shared" si="87"/>
        <v>2.5646727105743763E-3</v>
      </c>
      <c r="AE146">
        <f t="shared" si="88"/>
        <v>2.2895811920979228E-3</v>
      </c>
      <c r="AF146">
        <f t="shared" si="89"/>
        <v>2.0677865936710427E-3</v>
      </c>
      <c r="AG146">
        <f t="shared" si="90"/>
        <v>1.8851680071153784E-3</v>
      </c>
      <c r="AH146">
        <f t="shared" si="91"/>
        <v>1.7321884260712373E-3</v>
      </c>
      <c r="AI146">
        <f t="shared" si="92"/>
        <v>1.6021733160597688E-3</v>
      </c>
      <c r="AJ146">
        <f t="shared" si="93"/>
        <v>1.4903129657228018E-3</v>
      </c>
      <c r="AK146">
        <f t="shared" si="94"/>
        <v>-11.905313452562696</v>
      </c>
      <c r="AL146">
        <f t="shared" si="95"/>
        <v>-4.3741298961472754</v>
      </c>
      <c r="AM146">
        <f t="shared" si="96"/>
        <v>0.71134116173729545</v>
      </c>
      <c r="AN146">
        <f t="shared" si="97"/>
        <v>4.2948186929121173</v>
      </c>
      <c r="AO146">
        <f t="shared" si="98"/>
        <v>6.9067867100706719</v>
      </c>
      <c r="AP146">
        <f t="shared" si="99"/>
        <v>8.865899006025332</v>
      </c>
      <c r="AQ146">
        <f t="shared" si="100"/>
        <v>10.373797697301182</v>
      </c>
      <c r="AR146">
        <f t="shared" si="101"/>
        <v>11.563970228476538</v>
      </c>
      <c r="AS146">
        <f t="shared" si="102"/>
        <v>12.529025332063874</v>
      </c>
      <c r="AT146">
        <f t="shared" si="103"/>
        <v>13.337679574754368</v>
      </c>
      <c r="AU146">
        <f t="shared" si="104"/>
        <v>0.99358195408948069</v>
      </c>
      <c r="AV146">
        <f t="shared" si="105"/>
        <v>11874.88436225324</v>
      </c>
      <c r="AW146">
        <f t="shared" si="106"/>
        <v>11031.391826657158</v>
      </c>
      <c r="AX146">
        <f t="shared" si="107"/>
        <v>10232.025965845573</v>
      </c>
      <c r="AY146">
        <f t="shared" si="108"/>
        <v>9494.905664938291</v>
      </c>
      <c r="AZ146">
        <f t="shared" si="109"/>
        <v>8833.002741500617</v>
      </c>
      <c r="BA146">
        <f t="shared" si="110"/>
        <v>8257.0932111350248</v>
      </c>
      <c r="BB146">
        <f t="shared" si="111"/>
        <v>7779.9437222405595</v>
      </c>
      <c r="BC146">
        <f t="shared" si="112"/>
        <v>7422.6380572397238</v>
      </c>
      <c r="BD146">
        <f t="shared" si="113"/>
        <v>7229.1409802893722</v>
      </c>
      <c r="BE146">
        <f t="shared" si="114"/>
        <v>98727.788587773437</v>
      </c>
      <c r="BF146">
        <f t="shared" si="115"/>
        <v>91714.991646827621</v>
      </c>
      <c r="BG146">
        <f t="shared" si="116"/>
        <v>85069.063880040092</v>
      </c>
      <c r="BH146">
        <f t="shared" si="117"/>
        <v>78940.645698296954</v>
      </c>
      <c r="BI146">
        <f t="shared" si="118"/>
        <v>73437.584792836133</v>
      </c>
      <c r="BJ146">
        <f t="shared" si="119"/>
        <v>68649.472957376594</v>
      </c>
      <c r="BK146">
        <f t="shared" si="120"/>
        <v>64682.452106708013</v>
      </c>
      <c r="BL146">
        <f t="shared" si="121"/>
        <v>61711.812807891067</v>
      </c>
      <c r="BM146">
        <f t="shared" si="122"/>
        <v>60103.07811012584</v>
      </c>
      <c r="BO146" s="2">
        <v>102019</v>
      </c>
      <c r="BP146" s="2">
        <v>94895.53</v>
      </c>
      <c r="BQ146" s="2">
        <v>88235.61</v>
      </c>
      <c r="BR146" s="2">
        <v>81936.460000000006</v>
      </c>
      <c r="BS146" s="2">
        <v>75881.58</v>
      </c>
      <c r="BT146" s="2">
        <v>69926.03</v>
      </c>
      <c r="BU146" s="2">
        <v>63868.45</v>
      </c>
      <c r="BV146" s="2">
        <v>57390.13</v>
      </c>
      <c r="BW146" s="2">
        <v>49896.08</v>
      </c>
      <c r="BY146">
        <f t="shared" si="123"/>
        <v>0.96927458336122496</v>
      </c>
    </row>
    <row r="147" spans="1:77" x14ac:dyDescent="0.3">
      <c r="A147" s="1" t="s">
        <v>413</v>
      </c>
      <c r="B147" s="2">
        <v>249.37</v>
      </c>
      <c r="C147" s="2">
        <v>659</v>
      </c>
      <c r="E147">
        <v>249.37</v>
      </c>
      <c r="F147">
        <v>294.88440000000003</v>
      </c>
      <c r="G147">
        <v>340.39890000000003</v>
      </c>
      <c r="H147">
        <v>385.91329999999999</v>
      </c>
      <c r="I147">
        <v>431.42779999999999</v>
      </c>
      <c r="J147">
        <v>476.94220000000001</v>
      </c>
      <c r="K147">
        <v>522.45669999999996</v>
      </c>
      <c r="L147">
        <v>567.97109999999998</v>
      </c>
      <c r="M147">
        <v>613.48559999999998</v>
      </c>
      <c r="N147">
        <v>659</v>
      </c>
      <c r="O147" s="13">
        <v>2.2093999999999999E-5</v>
      </c>
      <c r="P147">
        <v>2.6568100000000001E-2</v>
      </c>
      <c r="Q147">
        <v>3.3300890000000001</v>
      </c>
      <c r="R147">
        <v>102.64230000000001</v>
      </c>
      <c r="S147">
        <v>1267.7860000000001</v>
      </c>
      <c r="T147">
        <v>8436.9030000000002</v>
      </c>
      <c r="U147">
        <v>36533.31</v>
      </c>
      <c r="V147">
        <v>116718</v>
      </c>
      <c r="W147">
        <v>300313</v>
      </c>
      <c r="X147">
        <v>664207</v>
      </c>
      <c r="AA147">
        <f t="shared" si="84"/>
        <v>4.0101054657737494E-3</v>
      </c>
      <c r="AB147">
        <f t="shared" si="85"/>
        <v>3.3911593831345431E-3</v>
      </c>
      <c r="AC147">
        <f t="shared" si="86"/>
        <v>2.9377298222761587E-3</v>
      </c>
      <c r="AD147">
        <f t="shared" si="87"/>
        <v>2.5912556006750741E-3</v>
      </c>
      <c r="AE147">
        <f t="shared" si="88"/>
        <v>2.317884939264461E-3</v>
      </c>
      <c r="AF147">
        <f t="shared" si="89"/>
        <v>2.0966901230379696E-3</v>
      </c>
      <c r="AG147">
        <f t="shared" si="90"/>
        <v>1.9140342156584462E-3</v>
      </c>
      <c r="AH147">
        <f t="shared" si="91"/>
        <v>1.760652962800396E-3</v>
      </c>
      <c r="AI147">
        <f t="shared" si="92"/>
        <v>1.6300301099161905E-3</v>
      </c>
      <c r="AJ147">
        <f t="shared" si="93"/>
        <v>1.5174506828528073E-3</v>
      </c>
      <c r="AK147">
        <f t="shared" si="94"/>
        <v>-10.720204479514191</v>
      </c>
      <c r="AL147">
        <f t="shared" si="95"/>
        <v>-3.6280440309882471</v>
      </c>
      <c r="AM147">
        <f t="shared" si="96"/>
        <v>1.2029990303619267</v>
      </c>
      <c r="AN147">
        <f t="shared" si="97"/>
        <v>4.631250128474087</v>
      </c>
      <c r="AO147">
        <f t="shared" si="98"/>
        <v>7.1450273510378715</v>
      </c>
      <c r="AP147">
        <f t="shared" si="99"/>
        <v>9.0403705771219371</v>
      </c>
      <c r="AQ147">
        <f t="shared" si="100"/>
        <v>10.505979726141607</v>
      </c>
      <c r="AR147">
        <f t="shared" si="101"/>
        <v>11.667516048025872</v>
      </c>
      <c r="AS147">
        <f t="shared" si="102"/>
        <v>12.612580543077724</v>
      </c>
      <c r="AT147">
        <f t="shared" si="103"/>
        <v>13.406349126863526</v>
      </c>
      <c r="AU147">
        <f t="shared" si="104"/>
        <v>0.99380200303545518</v>
      </c>
      <c r="AV147">
        <f t="shared" si="105"/>
        <v>11458.446296783624</v>
      </c>
      <c r="AW147">
        <f t="shared" si="106"/>
        <v>10654.451051238386</v>
      </c>
      <c r="AX147">
        <f t="shared" si="107"/>
        <v>9894.6786928907532</v>
      </c>
      <c r="AY147">
        <f t="shared" si="108"/>
        <v>9195.4901436478431</v>
      </c>
      <c r="AZ147">
        <f t="shared" si="109"/>
        <v>8568.6602354339884</v>
      </c>
      <c r="BA147">
        <f t="shared" si="110"/>
        <v>8023.8803663459948</v>
      </c>
      <c r="BB147">
        <f t="shared" si="111"/>
        <v>7572.8702187563449</v>
      </c>
      <c r="BC147">
        <f t="shared" si="112"/>
        <v>7235.0624273199182</v>
      </c>
      <c r="BD147">
        <f t="shared" si="113"/>
        <v>7050.7427910332462</v>
      </c>
      <c r="BE147">
        <f t="shared" si="114"/>
        <v>95265.522511459058</v>
      </c>
      <c r="BF147">
        <f t="shared" si="115"/>
        <v>88581.106039995939</v>
      </c>
      <c r="BG147">
        <f t="shared" si="116"/>
        <v>82264.358652693729</v>
      </c>
      <c r="BH147">
        <f t="shared" si="117"/>
        <v>76451.305054288168</v>
      </c>
      <c r="BI147">
        <f t="shared" si="118"/>
        <v>71239.841197398186</v>
      </c>
      <c r="BJ147">
        <f t="shared" si="119"/>
        <v>66710.5413658006</v>
      </c>
      <c r="BK147">
        <f t="shared" si="120"/>
        <v>62960.842998740249</v>
      </c>
      <c r="BL147">
        <f t="shared" si="121"/>
        <v>60152.309020737797</v>
      </c>
      <c r="BM147">
        <f t="shared" si="122"/>
        <v>58619.875564650407</v>
      </c>
      <c r="BO147" s="2">
        <v>98357.86</v>
      </c>
      <c r="BP147" s="2">
        <v>91679</v>
      </c>
      <c r="BQ147" s="2">
        <v>85373.88</v>
      </c>
      <c r="BR147" s="2">
        <v>79354.59</v>
      </c>
      <c r="BS147" s="2">
        <v>73518.39</v>
      </c>
      <c r="BT147" s="2">
        <v>67734.350000000006</v>
      </c>
      <c r="BU147" s="2">
        <v>61817.599999999999</v>
      </c>
      <c r="BV147" s="2">
        <v>55473.56</v>
      </c>
      <c r="BW147" s="2">
        <v>48153.53</v>
      </c>
      <c r="BY147">
        <f t="shared" si="123"/>
        <v>0.96650794841742738</v>
      </c>
    </row>
    <row r="148" spans="1:77" x14ac:dyDescent="0.3">
      <c r="A148" s="1" t="s">
        <v>416</v>
      </c>
      <c r="B148" s="2">
        <v>249.37</v>
      </c>
      <c r="C148" s="2">
        <v>694</v>
      </c>
      <c r="E148">
        <v>249.37</v>
      </c>
      <c r="F148">
        <v>298.77330000000001</v>
      </c>
      <c r="G148">
        <v>348.17669999999998</v>
      </c>
      <c r="H148">
        <v>397.58</v>
      </c>
      <c r="I148">
        <v>446.98329999999999</v>
      </c>
      <c r="J148">
        <v>496.38670000000002</v>
      </c>
      <c r="K148">
        <v>545.79</v>
      </c>
      <c r="L148">
        <v>595.19330000000002</v>
      </c>
      <c r="M148">
        <v>644.59670000000006</v>
      </c>
      <c r="N148">
        <v>694</v>
      </c>
      <c r="O148" s="13">
        <v>3.5457100000000001E-7</v>
      </c>
      <c r="P148">
        <v>1.94743E-3</v>
      </c>
      <c r="Q148">
        <v>0.59282860000000004</v>
      </c>
      <c r="R148">
        <v>31.564959999999999</v>
      </c>
      <c r="S148">
        <v>552.89480000000003</v>
      </c>
      <c r="T148">
        <v>4627.1660000000002</v>
      </c>
      <c r="U148">
        <v>23359.84</v>
      </c>
      <c r="V148">
        <v>82882.490000000005</v>
      </c>
      <c r="W148">
        <v>229611</v>
      </c>
      <c r="X148">
        <v>536844</v>
      </c>
      <c r="AA148">
        <f t="shared" si="84"/>
        <v>4.0101054657737494E-3</v>
      </c>
      <c r="AB148">
        <f t="shared" si="85"/>
        <v>3.3470192952315351E-3</v>
      </c>
      <c r="AC148">
        <f t="shared" si="86"/>
        <v>2.8721048823772528E-3</v>
      </c>
      <c r="AD148">
        <f t="shared" si="87"/>
        <v>2.5152170632325569E-3</v>
      </c>
      <c r="AE148">
        <f t="shared" si="88"/>
        <v>2.2372200482657853E-3</v>
      </c>
      <c r="AF148">
        <f t="shared" si="89"/>
        <v>2.014558407789733E-3</v>
      </c>
      <c r="AG148">
        <f t="shared" si="90"/>
        <v>1.8322065263196468E-3</v>
      </c>
      <c r="AH148">
        <f t="shared" si="91"/>
        <v>1.6801264395953381E-3</v>
      </c>
      <c r="AI148">
        <f t="shared" si="92"/>
        <v>1.5513576163204061E-3</v>
      </c>
      <c r="AJ148">
        <f t="shared" si="93"/>
        <v>1.440922190201729E-3</v>
      </c>
      <c r="AK148">
        <f t="shared" si="94"/>
        <v>-14.852357228940562</v>
      </c>
      <c r="AL148">
        <f t="shared" si="95"/>
        <v>-6.2412447243826845</v>
      </c>
      <c r="AM148">
        <f t="shared" si="96"/>
        <v>-0.52284996055000699</v>
      </c>
      <c r="AN148">
        <f t="shared" si="97"/>
        <v>3.4520476445924277</v>
      </c>
      <c r="AO148">
        <f t="shared" si="98"/>
        <v>6.3151677483439723</v>
      </c>
      <c r="AP148">
        <f t="shared" si="99"/>
        <v>8.4396998646412396</v>
      </c>
      <c r="AQ148">
        <f t="shared" si="100"/>
        <v>10.058773587603639</v>
      </c>
      <c r="AR148">
        <f t="shared" si="101"/>
        <v>11.325179100478309</v>
      </c>
      <c r="AS148">
        <f t="shared" si="102"/>
        <v>12.344141851687596</v>
      </c>
      <c r="AT148">
        <f t="shared" si="103"/>
        <v>13.193462828493596</v>
      </c>
      <c r="AU148">
        <f t="shared" si="104"/>
        <v>0.99302475544630897</v>
      </c>
      <c r="AV148">
        <f t="shared" si="105"/>
        <v>12986.415472240145</v>
      </c>
      <c r="AW148">
        <f t="shared" si="106"/>
        <v>12040.895388843986</v>
      </c>
      <c r="AX148">
        <f t="shared" si="107"/>
        <v>11137.666773465477</v>
      </c>
      <c r="AY148">
        <f t="shared" si="108"/>
        <v>10299.103765893913</v>
      </c>
      <c r="AZ148">
        <f t="shared" si="109"/>
        <v>9541.5272776891488</v>
      </c>
      <c r="BA148">
        <f t="shared" si="110"/>
        <v>8878.8429815460877</v>
      </c>
      <c r="BB148">
        <f t="shared" si="111"/>
        <v>8327.2277137138535</v>
      </c>
      <c r="BC148">
        <f t="shared" si="112"/>
        <v>7913.1168965776606</v>
      </c>
      <c r="BD148">
        <f t="shared" si="113"/>
        <v>7690.6569445686318</v>
      </c>
      <c r="BE148">
        <f t="shared" si="114"/>
        <v>107969.05823620457</v>
      </c>
      <c r="BF148">
        <f t="shared" si="115"/>
        <v>100108.0042628489</v>
      </c>
      <c r="BG148">
        <f t="shared" si="116"/>
        <v>92598.561554591972</v>
      </c>
      <c r="BH148">
        <f t="shared" si="117"/>
        <v>85626.748709641994</v>
      </c>
      <c r="BI148">
        <f t="shared" si="118"/>
        <v>79328.257786707589</v>
      </c>
      <c r="BJ148">
        <f t="shared" si="119"/>
        <v>73818.700548574168</v>
      </c>
      <c r="BK148">
        <f t="shared" si="120"/>
        <v>69232.571211816976</v>
      </c>
      <c r="BL148">
        <f t="shared" si="121"/>
        <v>65789.653878146666</v>
      </c>
      <c r="BM148">
        <f t="shared" si="122"/>
        <v>63940.121837143604</v>
      </c>
      <c r="BO148" s="2">
        <v>111814</v>
      </c>
      <c r="BP148" s="2">
        <v>103639</v>
      </c>
      <c r="BQ148" s="2">
        <v>96079.1</v>
      </c>
      <c r="BR148" s="2">
        <v>88996.22</v>
      </c>
      <c r="BS148" s="2">
        <v>82239.61</v>
      </c>
      <c r="BT148" s="2">
        <v>75628.53</v>
      </c>
      <c r="BU148" s="2">
        <v>68919.31</v>
      </c>
      <c r="BV148" s="2">
        <v>61733.84</v>
      </c>
      <c r="BW148" s="2">
        <v>53372.26</v>
      </c>
      <c r="BY148">
        <f t="shared" si="123"/>
        <v>0.97210077607098722</v>
      </c>
    </row>
    <row r="149" spans="1:77" x14ac:dyDescent="0.3">
      <c r="A149" s="1" t="s">
        <v>419</v>
      </c>
      <c r="B149" s="2">
        <v>244.27</v>
      </c>
      <c r="C149" s="2">
        <v>705</v>
      </c>
      <c r="E149">
        <v>244.27</v>
      </c>
      <c r="F149">
        <v>295.4622</v>
      </c>
      <c r="G149">
        <v>346.65440000000001</v>
      </c>
      <c r="H149">
        <v>397.8467</v>
      </c>
      <c r="I149">
        <v>449.03890000000001</v>
      </c>
      <c r="J149">
        <v>500.23110000000003</v>
      </c>
      <c r="K149">
        <v>551.42330000000004</v>
      </c>
      <c r="L149">
        <v>602.61559999999997</v>
      </c>
      <c r="M149">
        <v>653.80780000000004</v>
      </c>
      <c r="N149">
        <v>705</v>
      </c>
      <c r="O149" s="13">
        <v>5.9014500000000002E-8</v>
      </c>
      <c r="P149">
        <v>7.05344E-4</v>
      </c>
      <c r="Q149">
        <v>0.3234573</v>
      </c>
      <c r="R149">
        <v>21.661339999999999</v>
      </c>
      <c r="S149">
        <v>433.6934</v>
      </c>
      <c r="T149">
        <v>3932.596</v>
      </c>
      <c r="U149">
        <v>20852.240000000002</v>
      </c>
      <c r="V149">
        <v>76280.850000000006</v>
      </c>
      <c r="W149">
        <v>215468</v>
      </c>
      <c r="X149">
        <v>510374</v>
      </c>
      <c r="AA149">
        <f t="shared" si="84"/>
        <v>4.0938305972898839E-3</v>
      </c>
      <c r="AB149">
        <f t="shared" si="85"/>
        <v>3.3845276993131439E-3</v>
      </c>
      <c r="AC149">
        <f t="shared" si="86"/>
        <v>2.8847174592331729E-3</v>
      </c>
      <c r="AD149">
        <f t="shared" si="87"/>
        <v>2.513530965570407E-3</v>
      </c>
      <c r="AE149">
        <f t="shared" si="88"/>
        <v>2.2269785535284359E-3</v>
      </c>
      <c r="AF149">
        <f t="shared" si="89"/>
        <v>1.9990760270602926E-3</v>
      </c>
      <c r="AG149">
        <f t="shared" si="90"/>
        <v>1.813488838792267E-3</v>
      </c>
      <c r="AH149">
        <f t="shared" si="91"/>
        <v>1.6594326466158526E-3</v>
      </c>
      <c r="AI149">
        <f t="shared" si="92"/>
        <v>1.5295014834634888E-3</v>
      </c>
      <c r="AJ149">
        <f t="shared" si="93"/>
        <v>1.4184397163120568E-3</v>
      </c>
      <c r="AK149">
        <f t="shared" si="94"/>
        <v>-16.645482660523534</v>
      </c>
      <c r="AL149">
        <f t="shared" si="95"/>
        <v>-7.2568249308951973</v>
      </c>
      <c r="AM149">
        <f t="shared" si="96"/>
        <v>-1.1286881675707521</v>
      </c>
      <c r="AN149">
        <f t="shared" si="97"/>
        <v>3.0755291048485618</v>
      </c>
      <c r="AO149">
        <f t="shared" si="98"/>
        <v>6.0723378328329751</v>
      </c>
      <c r="AP149">
        <f t="shared" si="99"/>
        <v>8.2770550465861508</v>
      </c>
      <c r="AQ149">
        <f t="shared" si="100"/>
        <v>9.9452166555090802</v>
      </c>
      <c r="AR149">
        <f t="shared" si="101"/>
        <v>11.242177202809062</v>
      </c>
      <c r="AS149">
        <f t="shared" si="102"/>
        <v>12.280567685620579</v>
      </c>
      <c r="AT149">
        <f t="shared" si="103"/>
        <v>13.142899069276337</v>
      </c>
      <c r="AU149">
        <f t="shared" si="104"/>
        <v>0.99285813164682057</v>
      </c>
      <c r="AV149">
        <f t="shared" si="105"/>
        <v>13236.457592953775</v>
      </c>
      <c r="AW149">
        <f t="shared" si="106"/>
        <v>12260.926791623811</v>
      </c>
      <c r="AX149">
        <f t="shared" si="107"/>
        <v>11326.428477860971</v>
      </c>
      <c r="AY149">
        <f t="shared" si="108"/>
        <v>10458.152163610031</v>
      </c>
      <c r="AZ149">
        <f t="shared" si="109"/>
        <v>9673.9481036922862</v>
      </c>
      <c r="BA149">
        <f t="shared" si="110"/>
        <v>8988.5601721265648</v>
      </c>
      <c r="BB149">
        <f t="shared" si="111"/>
        <v>8418.7498663785827</v>
      </c>
      <c r="BC149">
        <f t="shared" si="112"/>
        <v>7991.8508971850551</v>
      </c>
      <c r="BD149">
        <f t="shared" si="113"/>
        <v>7764.4306026571294</v>
      </c>
      <c r="BE149">
        <f t="shared" si="114"/>
        <v>110047.90842781769</v>
      </c>
      <c r="BF149">
        <f t="shared" si="115"/>
        <v>101937.34534556037</v>
      </c>
      <c r="BG149">
        <f t="shared" si="116"/>
        <v>94167.926364936109</v>
      </c>
      <c r="BH149">
        <f t="shared" si="117"/>
        <v>86949.077088253805</v>
      </c>
      <c r="BI149">
        <f t="shared" si="118"/>
        <v>80429.204534097662</v>
      </c>
      <c r="BJ149">
        <f t="shared" si="119"/>
        <v>74730.889271060267</v>
      </c>
      <c r="BK149">
        <f t="shared" si="120"/>
        <v>69993.486389071535</v>
      </c>
      <c r="BL149">
        <f t="shared" si="121"/>
        <v>66444.248359196543</v>
      </c>
      <c r="BM149">
        <f t="shared" si="122"/>
        <v>64553.476030491373</v>
      </c>
      <c r="BO149" s="2">
        <v>113997</v>
      </c>
      <c r="BP149" s="2">
        <v>105584</v>
      </c>
      <c r="BQ149" s="2">
        <v>97797.3</v>
      </c>
      <c r="BR149" s="2">
        <v>90486.83</v>
      </c>
      <c r="BS149" s="2">
        <v>83490.259999999995</v>
      </c>
      <c r="BT149" s="2">
        <v>76614.23</v>
      </c>
      <c r="BU149" s="2">
        <v>69599.98</v>
      </c>
      <c r="BV149" s="2">
        <v>62049</v>
      </c>
      <c r="BW149" s="2">
        <v>53228.12</v>
      </c>
      <c r="BY149">
        <f t="shared" si="123"/>
        <v>0.97034487770265709</v>
      </c>
    </row>
    <row r="150" spans="1:77" x14ac:dyDescent="0.3">
      <c r="A150" s="1" t="s">
        <v>422</v>
      </c>
      <c r="B150" s="2">
        <v>247.571</v>
      </c>
      <c r="C150" s="2">
        <v>579</v>
      </c>
      <c r="E150">
        <v>247.571</v>
      </c>
      <c r="F150">
        <v>284.39640000000003</v>
      </c>
      <c r="G150">
        <v>321.22190000000001</v>
      </c>
      <c r="H150">
        <v>358.04730000000001</v>
      </c>
      <c r="I150">
        <v>394.87279999999998</v>
      </c>
      <c r="J150">
        <v>431.69819999999999</v>
      </c>
      <c r="K150">
        <v>468.52370000000002</v>
      </c>
      <c r="L150">
        <v>505.34910000000002</v>
      </c>
      <c r="M150">
        <v>542.17460000000005</v>
      </c>
      <c r="N150">
        <v>579</v>
      </c>
      <c r="O150">
        <v>0.4084139</v>
      </c>
      <c r="P150">
        <v>18.071909999999999</v>
      </c>
      <c r="Q150">
        <v>280.95710000000003</v>
      </c>
      <c r="R150">
        <v>2186.4580000000001</v>
      </c>
      <c r="S150">
        <v>10585.36</v>
      </c>
      <c r="T150">
        <v>36678.81</v>
      </c>
      <c r="U150">
        <v>99934.86</v>
      </c>
      <c r="V150">
        <v>228518</v>
      </c>
      <c r="W150">
        <v>459390</v>
      </c>
      <c r="X150">
        <v>839826</v>
      </c>
      <c r="AA150">
        <f t="shared" si="84"/>
        <v>4.0392453074067644E-3</v>
      </c>
      <c r="AB150">
        <f t="shared" si="85"/>
        <v>3.5162189113504948E-3</v>
      </c>
      <c r="AC150">
        <f t="shared" si="86"/>
        <v>3.113112773444152E-3</v>
      </c>
      <c r="AD150">
        <f t="shared" si="87"/>
        <v>2.7929270797461677E-3</v>
      </c>
      <c r="AE150">
        <f t="shared" si="88"/>
        <v>2.5324610862029495E-3</v>
      </c>
      <c r="AF150">
        <f t="shared" si="89"/>
        <v>2.3164331007171214E-3</v>
      </c>
      <c r="AG150">
        <f t="shared" si="90"/>
        <v>2.1343637472341311E-3</v>
      </c>
      <c r="AH150">
        <f t="shared" si="91"/>
        <v>1.9788300800377403E-3</v>
      </c>
      <c r="AI150">
        <f t="shared" si="92"/>
        <v>1.8444242869363483E-3</v>
      </c>
      <c r="AJ150">
        <f t="shared" si="93"/>
        <v>1.7271157167530224E-3</v>
      </c>
      <c r="AK150">
        <f t="shared" si="94"/>
        <v>-0.8954741580112634</v>
      </c>
      <c r="AL150">
        <f t="shared" si="95"/>
        <v>2.8943587990736201</v>
      </c>
      <c r="AM150">
        <f t="shared" si="96"/>
        <v>5.6382019886394961</v>
      </c>
      <c r="AN150">
        <f t="shared" si="97"/>
        <v>7.690038161887327</v>
      </c>
      <c r="AO150">
        <f t="shared" si="98"/>
        <v>9.2672271933826895</v>
      </c>
      <c r="AP150">
        <f t="shared" si="99"/>
        <v>10.509954483096033</v>
      </c>
      <c r="AQ150">
        <f t="shared" si="100"/>
        <v>11.512273852717069</v>
      </c>
      <c r="AR150">
        <f t="shared" si="101"/>
        <v>12.339370260830908</v>
      </c>
      <c r="AS150">
        <f t="shared" si="102"/>
        <v>13.037654801477363</v>
      </c>
      <c r="AT150">
        <f t="shared" si="103"/>
        <v>13.640950006505308</v>
      </c>
      <c r="AU150">
        <f t="shared" si="104"/>
        <v>0.99640443522405886</v>
      </c>
      <c r="AV150">
        <f t="shared" si="105"/>
        <v>7245.968818516676</v>
      </c>
      <c r="AW150">
        <f t="shared" si="106"/>
        <v>6806.7512040795973</v>
      </c>
      <c r="AX150">
        <f t="shared" si="107"/>
        <v>6408.2693687845704</v>
      </c>
      <c r="AY150">
        <f t="shared" si="108"/>
        <v>6055.258922826195</v>
      </c>
      <c r="AZ150">
        <f t="shared" si="109"/>
        <v>5752.62175832709</v>
      </c>
      <c r="BA150">
        <f t="shared" si="110"/>
        <v>5505.1514735821656</v>
      </c>
      <c r="BB150">
        <f t="shared" si="111"/>
        <v>5317.7966097171247</v>
      </c>
      <c r="BC150">
        <f t="shared" si="112"/>
        <v>5195.3455616283454</v>
      </c>
      <c r="BD150">
        <f t="shared" si="113"/>
        <v>5142.8058843879553</v>
      </c>
      <c r="BE150">
        <f t="shared" si="114"/>
        <v>60242.984757147642</v>
      </c>
      <c r="BF150">
        <f t="shared" si="115"/>
        <v>56591.329510717769</v>
      </c>
      <c r="BG150">
        <f t="shared" si="116"/>
        <v>53278.351532074921</v>
      </c>
      <c r="BH150">
        <f t="shared" si="117"/>
        <v>50343.422684376987</v>
      </c>
      <c r="BI150">
        <f t="shared" si="118"/>
        <v>47827.297298731428</v>
      </c>
      <c r="BJ150">
        <f t="shared" si="119"/>
        <v>45769.829351362125</v>
      </c>
      <c r="BK150">
        <f t="shared" si="120"/>
        <v>44212.161013188175</v>
      </c>
      <c r="BL150">
        <f t="shared" si="121"/>
        <v>43194.102999378061</v>
      </c>
      <c r="BM150">
        <f t="shared" si="122"/>
        <v>42757.288122801459</v>
      </c>
      <c r="BO150" s="2">
        <v>61951.68</v>
      </c>
      <c r="BP150" s="2">
        <v>58236.67</v>
      </c>
      <c r="BQ150" s="2">
        <v>54797.74</v>
      </c>
      <c r="BR150" s="2">
        <v>51549.93</v>
      </c>
      <c r="BS150" s="2">
        <v>48401.9</v>
      </c>
      <c r="BT150" s="2">
        <v>45246.87</v>
      </c>
      <c r="BU150" s="2">
        <v>41947.22</v>
      </c>
      <c r="BV150" s="2">
        <v>38303.870000000003</v>
      </c>
      <c r="BW150" s="2">
        <v>33984.480000000003</v>
      </c>
      <c r="BY150">
        <f t="shared" si="123"/>
        <v>0.93691539418438385</v>
      </c>
    </row>
    <row r="151" spans="1:77" x14ac:dyDescent="0.3">
      <c r="A151" s="1" t="s">
        <v>425</v>
      </c>
      <c r="B151" s="2">
        <v>263.56799999999998</v>
      </c>
      <c r="C151" s="2">
        <v>598</v>
      </c>
      <c r="E151">
        <v>263.56799999999998</v>
      </c>
      <c r="F151">
        <v>300.72710000000001</v>
      </c>
      <c r="G151">
        <v>337.88619999999997</v>
      </c>
      <c r="H151">
        <v>375.0453</v>
      </c>
      <c r="I151">
        <v>412.20440000000002</v>
      </c>
      <c r="J151">
        <v>449.36360000000002</v>
      </c>
      <c r="K151">
        <v>486.52269999999999</v>
      </c>
      <c r="L151">
        <v>523.68179999999995</v>
      </c>
      <c r="M151">
        <v>560.84090000000003</v>
      </c>
      <c r="N151">
        <v>598</v>
      </c>
      <c r="O151">
        <v>0.61520319999999995</v>
      </c>
      <c r="P151">
        <v>22.109919999999999</v>
      </c>
      <c r="Q151">
        <v>305.57580000000002</v>
      </c>
      <c r="R151">
        <v>2221.741</v>
      </c>
      <c r="S151">
        <v>10340.44</v>
      </c>
      <c r="T151">
        <v>35035.1</v>
      </c>
      <c r="U151">
        <v>94307.63</v>
      </c>
      <c r="V151">
        <v>214420</v>
      </c>
      <c r="W151">
        <v>430303</v>
      </c>
      <c r="X151">
        <v>787247</v>
      </c>
      <c r="AA151">
        <f t="shared" si="84"/>
        <v>3.794087294360469E-3</v>
      </c>
      <c r="AB151">
        <f t="shared" si="85"/>
        <v>3.3252739776362021E-3</v>
      </c>
      <c r="AC151">
        <f t="shared" si="86"/>
        <v>2.9595763307291036E-3</v>
      </c>
      <c r="AD151">
        <f t="shared" si="87"/>
        <v>2.6663445722423396E-3</v>
      </c>
      <c r="AE151">
        <f t="shared" si="88"/>
        <v>2.4259808968560255E-3</v>
      </c>
      <c r="AF151">
        <f t="shared" si="89"/>
        <v>2.2253693890648906E-3</v>
      </c>
      <c r="AG151">
        <f t="shared" si="90"/>
        <v>2.0554025536732409E-3</v>
      </c>
      <c r="AH151">
        <f t="shared" si="91"/>
        <v>1.9095565284109552E-3</v>
      </c>
      <c r="AI151">
        <f t="shared" si="92"/>
        <v>1.7830368648220911E-3</v>
      </c>
      <c r="AJ151">
        <f t="shared" si="93"/>
        <v>1.6722408026755853E-3</v>
      </c>
      <c r="AK151">
        <f t="shared" si="94"/>
        <v>-0.48580265924376287</v>
      </c>
      <c r="AL151">
        <f t="shared" si="95"/>
        <v>3.096026376590534</v>
      </c>
      <c r="AM151">
        <f t="shared" si="96"/>
        <v>5.7221978656751169</v>
      </c>
      <c r="AN151">
        <f t="shared" si="97"/>
        <v>7.706046401749572</v>
      </c>
      <c r="AO151">
        <f t="shared" si="98"/>
        <v>9.2438177003485489</v>
      </c>
      <c r="AP151">
        <f t="shared" si="99"/>
        <v>10.464105695089129</v>
      </c>
      <c r="AQ151">
        <f t="shared" si="100"/>
        <v>11.454317377331384</v>
      </c>
      <c r="AR151">
        <f t="shared" si="101"/>
        <v>12.27569198741023</v>
      </c>
      <c r="AS151">
        <f t="shared" si="102"/>
        <v>12.972244890682472</v>
      </c>
      <c r="AT151">
        <f t="shared" si="103"/>
        <v>13.576297328222443</v>
      </c>
      <c r="AU151">
        <f t="shared" si="104"/>
        <v>0.99649697876312071</v>
      </c>
      <c r="AV151">
        <f t="shared" si="105"/>
        <v>7640.203270806308</v>
      </c>
      <c r="AW151">
        <f t="shared" si="106"/>
        <v>7181.2643895729871</v>
      </c>
      <c r="AX151">
        <f t="shared" si="107"/>
        <v>6765.4627394801873</v>
      </c>
      <c r="AY151">
        <f t="shared" si="108"/>
        <v>6397.6859071049757</v>
      </c>
      <c r="AZ151">
        <f t="shared" si="109"/>
        <v>6082.8414490113573</v>
      </c>
      <c r="BA151">
        <f t="shared" si="110"/>
        <v>5825.9111547293223</v>
      </c>
      <c r="BB151">
        <f t="shared" si="111"/>
        <v>5631.7929035207335</v>
      </c>
      <c r="BC151">
        <f t="shared" si="112"/>
        <v>5505.4912692128783</v>
      </c>
      <c r="BD151">
        <f t="shared" si="113"/>
        <v>5451.930563572123</v>
      </c>
      <c r="BE151">
        <f t="shared" si="114"/>
        <v>63520.649993483647</v>
      </c>
      <c r="BF151">
        <f t="shared" si="115"/>
        <v>59705.032134909816</v>
      </c>
      <c r="BG151">
        <f t="shared" si="116"/>
        <v>56248.05721603828</v>
      </c>
      <c r="BH151">
        <f t="shared" si="117"/>
        <v>53190.360631670766</v>
      </c>
      <c r="BI151">
        <f t="shared" si="118"/>
        <v>50572.743807080427</v>
      </c>
      <c r="BJ151">
        <f t="shared" si="119"/>
        <v>48436.625340419589</v>
      </c>
      <c r="BK151">
        <f t="shared" si="120"/>
        <v>46822.72619987138</v>
      </c>
      <c r="BL151">
        <f t="shared" si="121"/>
        <v>45772.654412235868</v>
      </c>
      <c r="BM151">
        <f t="shared" si="122"/>
        <v>45327.350705538629</v>
      </c>
      <c r="BO151" s="2">
        <v>65258.75</v>
      </c>
      <c r="BP151" s="2">
        <v>61396.69</v>
      </c>
      <c r="BQ151" s="2">
        <v>57819.6</v>
      </c>
      <c r="BR151" s="2">
        <v>54438.65</v>
      </c>
      <c r="BS151" s="2">
        <v>51157.81</v>
      </c>
      <c r="BT151" s="2">
        <v>47864.25</v>
      </c>
      <c r="BU151" s="2">
        <v>44411.62</v>
      </c>
      <c r="BV151" s="2">
        <v>40587.040000000001</v>
      </c>
      <c r="BW151" s="2">
        <v>36033.040000000001</v>
      </c>
      <c r="BY151">
        <f t="shared" si="123"/>
        <v>0.93488928280615546</v>
      </c>
    </row>
    <row r="152" spans="1:77" x14ac:dyDescent="0.3">
      <c r="A152" s="1" t="s">
        <v>428</v>
      </c>
      <c r="B152" s="2">
        <v>267.76</v>
      </c>
      <c r="C152" s="2">
        <v>615</v>
      </c>
      <c r="E152">
        <v>267.76</v>
      </c>
      <c r="F152">
        <v>306.34219999999999</v>
      </c>
      <c r="G152">
        <v>344.92439999999999</v>
      </c>
      <c r="H152">
        <v>383.50670000000002</v>
      </c>
      <c r="I152">
        <v>422.08890000000002</v>
      </c>
      <c r="J152">
        <v>460.67110000000002</v>
      </c>
      <c r="K152">
        <v>499.25330000000002</v>
      </c>
      <c r="L152">
        <v>537.8356</v>
      </c>
      <c r="M152">
        <v>576.41780000000006</v>
      </c>
      <c r="N152">
        <v>615</v>
      </c>
      <c r="O152">
        <v>0.2509594</v>
      </c>
      <c r="P152">
        <v>11.6015</v>
      </c>
      <c r="Q152">
        <v>190.5599</v>
      </c>
      <c r="R152">
        <v>1566.117</v>
      </c>
      <c r="S152">
        <v>7967.4250000000002</v>
      </c>
      <c r="T152">
        <v>28821.96</v>
      </c>
      <c r="U152">
        <v>81428.63</v>
      </c>
      <c r="V152">
        <v>191828</v>
      </c>
      <c r="W152">
        <v>394910</v>
      </c>
      <c r="X152">
        <v>735292</v>
      </c>
      <c r="AA152">
        <f t="shared" si="84"/>
        <v>3.7346877801015836E-3</v>
      </c>
      <c r="AB152">
        <f t="shared" si="85"/>
        <v>3.2643233612607079E-3</v>
      </c>
      <c r="AC152">
        <f t="shared" si="86"/>
        <v>2.8991860245317527E-3</v>
      </c>
      <c r="AD152">
        <f t="shared" si="87"/>
        <v>2.607516374550953E-3</v>
      </c>
      <c r="AE152">
        <f t="shared" si="88"/>
        <v>2.3691691489636422E-3</v>
      </c>
      <c r="AF152">
        <f t="shared" si="89"/>
        <v>2.1707461136589641E-3</v>
      </c>
      <c r="AG152">
        <f t="shared" si="90"/>
        <v>2.0029912671583744E-3</v>
      </c>
      <c r="AH152">
        <f t="shared" si="91"/>
        <v>1.8593042186125276E-3</v>
      </c>
      <c r="AI152">
        <f t="shared" si="92"/>
        <v>1.7348527404948285E-3</v>
      </c>
      <c r="AJ152">
        <f t="shared" si="93"/>
        <v>1.6260162601626016E-3</v>
      </c>
      <c r="AK152">
        <f t="shared" si="94"/>
        <v>-1.3824641059218263</v>
      </c>
      <c r="AL152">
        <f t="shared" si="95"/>
        <v>2.4511344000972843</v>
      </c>
      <c r="AM152">
        <f t="shared" si="96"/>
        <v>5.2499665808377509</v>
      </c>
      <c r="AN152">
        <f t="shared" si="97"/>
        <v>7.356354586403576</v>
      </c>
      <c r="AO152">
        <f t="shared" si="98"/>
        <v>8.9831166330058938</v>
      </c>
      <c r="AP152">
        <f t="shared" si="99"/>
        <v>10.268892875568602</v>
      </c>
      <c r="AQ152">
        <f t="shared" si="100"/>
        <v>11.307482210053406</v>
      </c>
      <c r="AR152">
        <f t="shared" si="101"/>
        <v>12.164354416178103</v>
      </c>
      <c r="AS152">
        <f t="shared" si="102"/>
        <v>12.886413169820671</v>
      </c>
      <c r="AT152">
        <f t="shared" si="103"/>
        <v>13.508022978212166</v>
      </c>
      <c r="AU152">
        <f t="shared" si="104"/>
        <v>0.99631881158503011</v>
      </c>
      <c r="AV152">
        <f t="shared" si="105"/>
        <v>8150.2731764156206</v>
      </c>
      <c r="AW152">
        <f t="shared" si="106"/>
        <v>7665.1492444281748</v>
      </c>
      <c r="AX152">
        <f t="shared" si="107"/>
        <v>7221.8278648617934</v>
      </c>
      <c r="AY152">
        <f t="shared" si="108"/>
        <v>6825.1771867443276</v>
      </c>
      <c r="AZ152">
        <f t="shared" si="109"/>
        <v>6479.9746692131866</v>
      </c>
      <c r="BA152">
        <f t="shared" si="110"/>
        <v>6191.1137362052532</v>
      </c>
      <c r="BB152">
        <f t="shared" si="111"/>
        <v>5963.4616675370789</v>
      </c>
      <c r="BC152">
        <f t="shared" si="112"/>
        <v>5801.9299132766064</v>
      </c>
      <c r="BD152">
        <f t="shared" si="113"/>
        <v>5711.4104250156879</v>
      </c>
      <c r="BE152">
        <f t="shared" si="114"/>
        <v>67761.371188719466</v>
      </c>
      <c r="BF152">
        <f t="shared" si="115"/>
        <v>63728.050818175849</v>
      </c>
      <c r="BG152">
        <f t="shared" si="116"/>
        <v>60042.276868460947</v>
      </c>
      <c r="BH152">
        <f t="shared" si="117"/>
        <v>56744.523130592337</v>
      </c>
      <c r="BI152">
        <f t="shared" si="118"/>
        <v>53874.509399838433</v>
      </c>
      <c r="BJ152">
        <f t="shared" si="119"/>
        <v>51472.919602810478</v>
      </c>
      <c r="BK152">
        <f t="shared" si="120"/>
        <v>49580.220303903276</v>
      </c>
      <c r="BL152">
        <f t="shared" si="121"/>
        <v>48237.245298981703</v>
      </c>
      <c r="BM152">
        <f t="shared" si="122"/>
        <v>47484.666273580428</v>
      </c>
      <c r="BO152" s="2">
        <v>69746.509999999995</v>
      </c>
      <c r="BP152" s="2">
        <v>65611.350000000006</v>
      </c>
      <c r="BQ152" s="2">
        <v>61788.1</v>
      </c>
      <c r="BR152" s="2">
        <v>58169.8</v>
      </c>
      <c r="BS152" s="2">
        <v>54641.72</v>
      </c>
      <c r="BT152" s="2">
        <v>51070.19</v>
      </c>
      <c r="BU152" s="2">
        <v>47283.89</v>
      </c>
      <c r="BV152" s="2">
        <v>43037.11</v>
      </c>
      <c r="BW152" s="2">
        <v>37923.24</v>
      </c>
      <c r="BY152">
        <f t="shared" si="123"/>
        <v>0.94371205621016607</v>
      </c>
    </row>
    <row r="153" spans="1:77" x14ac:dyDescent="0.3">
      <c r="A153" s="1" t="s">
        <v>431</v>
      </c>
      <c r="B153" s="2">
        <v>279.01</v>
      </c>
      <c r="C153" s="2">
        <v>633</v>
      </c>
      <c r="E153">
        <v>279.01</v>
      </c>
      <c r="F153">
        <v>318.34219999999999</v>
      </c>
      <c r="G153">
        <v>357.67439999999999</v>
      </c>
      <c r="H153">
        <v>397.00670000000002</v>
      </c>
      <c r="I153">
        <v>436.33890000000002</v>
      </c>
      <c r="J153">
        <v>475.67110000000002</v>
      </c>
      <c r="K153">
        <v>515.00329999999997</v>
      </c>
      <c r="L153">
        <v>554.3356</v>
      </c>
      <c r="M153">
        <v>593.66780000000006</v>
      </c>
      <c r="N153">
        <v>633</v>
      </c>
      <c r="O153">
        <v>0.25268459999999998</v>
      </c>
      <c r="P153">
        <v>11.188219999999999</v>
      </c>
      <c r="Q153">
        <v>180.63229999999999</v>
      </c>
      <c r="R153">
        <v>1477.2739999999999</v>
      </c>
      <c r="S153">
        <v>7520.68</v>
      </c>
      <c r="T153">
        <v>27282.16</v>
      </c>
      <c r="U153">
        <v>77314.02</v>
      </c>
      <c r="V153">
        <v>182557</v>
      </c>
      <c r="W153">
        <v>376223</v>
      </c>
      <c r="X153">
        <v>700174</v>
      </c>
      <c r="AA153">
        <f t="shared" si="84"/>
        <v>3.5841009282821406E-3</v>
      </c>
      <c r="AB153">
        <f t="shared" si="85"/>
        <v>3.1412737613800497E-3</v>
      </c>
      <c r="AC153">
        <f t="shared" si="86"/>
        <v>2.7958388970527387E-3</v>
      </c>
      <c r="AD153">
        <f t="shared" si="87"/>
        <v>2.5188491781121072E-3</v>
      </c>
      <c r="AE153">
        <f t="shared" si="88"/>
        <v>2.2917965828854587E-3</v>
      </c>
      <c r="AF153">
        <f t="shared" si="89"/>
        <v>2.1022929498975234E-3</v>
      </c>
      <c r="AG153">
        <f t="shared" si="90"/>
        <v>1.9417351306292602E-3</v>
      </c>
      <c r="AH153">
        <f t="shared" si="91"/>
        <v>1.8039613548182726E-3</v>
      </c>
      <c r="AI153">
        <f t="shared" si="92"/>
        <v>1.6844437242511719E-3</v>
      </c>
      <c r="AJ153">
        <f t="shared" si="93"/>
        <v>1.5797788309636651E-3</v>
      </c>
      <c r="AK153">
        <f t="shared" si="94"/>
        <v>-1.3756132082732722</v>
      </c>
      <c r="AL153">
        <f t="shared" si="95"/>
        <v>2.4148614390720153</v>
      </c>
      <c r="AM153">
        <f t="shared" si="96"/>
        <v>5.1964634732749371</v>
      </c>
      <c r="AN153">
        <f t="shared" si="97"/>
        <v>7.2979537764976037</v>
      </c>
      <c r="AO153">
        <f t="shared" si="98"/>
        <v>8.9254118383876584</v>
      </c>
      <c r="AP153">
        <f t="shared" si="99"/>
        <v>10.213988287708545</v>
      </c>
      <c r="AQ153">
        <f t="shared" si="100"/>
        <v>11.255630589410456</v>
      </c>
      <c r="AR153">
        <f t="shared" si="101"/>
        <v>12.11481773200733</v>
      </c>
      <c r="AS153">
        <f t="shared" si="102"/>
        <v>12.837937331672951</v>
      </c>
      <c r="AT153">
        <f t="shared" si="103"/>
        <v>13.459084154565355</v>
      </c>
      <c r="AU153">
        <f t="shared" si="104"/>
        <v>0.99620552712710153</v>
      </c>
      <c r="AV153">
        <f t="shared" si="105"/>
        <v>8559.7156874148168</v>
      </c>
      <c r="AW153">
        <f t="shared" si="106"/>
        <v>8052.46465095446</v>
      </c>
      <c r="AX153">
        <f t="shared" si="107"/>
        <v>7586.8891858512943</v>
      </c>
      <c r="AY153">
        <f t="shared" si="108"/>
        <v>7167.758026573063</v>
      </c>
      <c r="AZ153">
        <f t="shared" si="109"/>
        <v>6799.7453610977718</v>
      </c>
      <c r="BA153">
        <f t="shared" si="110"/>
        <v>6487.6460483155543</v>
      </c>
      <c r="BB153">
        <f t="shared" si="111"/>
        <v>6236.2168528762368</v>
      </c>
      <c r="BC153">
        <f t="shared" si="112"/>
        <v>6050.3173986505735</v>
      </c>
      <c r="BD153">
        <f t="shared" si="113"/>
        <v>5934.6243366069193</v>
      </c>
      <c r="BE153">
        <f t="shared" si="114"/>
        <v>71165.476225166785</v>
      </c>
      <c r="BF153">
        <f t="shared" si="115"/>
        <v>66948.191108035375</v>
      </c>
      <c r="BG153">
        <f t="shared" si="116"/>
        <v>63077.396691167662</v>
      </c>
      <c r="BH153">
        <f t="shared" si="117"/>
        <v>59592.740232928445</v>
      </c>
      <c r="BI153">
        <f t="shared" si="118"/>
        <v>56533.082932166879</v>
      </c>
      <c r="BJ153">
        <f t="shared" si="119"/>
        <v>53938.289245695516</v>
      </c>
      <c r="BK153">
        <f t="shared" si="120"/>
        <v>51847.906914813029</v>
      </c>
      <c r="BL153">
        <f t="shared" si="121"/>
        <v>50302.338852380868</v>
      </c>
      <c r="BM153">
        <f t="shared" si="122"/>
        <v>49340.466734549926</v>
      </c>
      <c r="BO153" s="2">
        <v>73335.92</v>
      </c>
      <c r="BP153" s="2">
        <v>69058.84</v>
      </c>
      <c r="BQ153" s="2">
        <v>65042.54</v>
      </c>
      <c r="BR153" s="2">
        <v>61191.5</v>
      </c>
      <c r="BS153" s="2">
        <v>57400.25</v>
      </c>
      <c r="BT153" s="2">
        <v>53542.53</v>
      </c>
      <c r="BU153" s="2">
        <v>49452.43</v>
      </c>
      <c r="BV153" s="2">
        <v>44886.22</v>
      </c>
      <c r="BW153" s="2">
        <v>39430.92</v>
      </c>
      <c r="BY153">
        <f t="shared" si="123"/>
        <v>0.94856949246189959</v>
      </c>
    </row>
    <row r="154" spans="1:77" x14ac:dyDescent="0.3">
      <c r="A154" s="1" t="s">
        <v>434</v>
      </c>
      <c r="B154" s="2">
        <v>283.072</v>
      </c>
      <c r="C154" s="2">
        <v>648</v>
      </c>
      <c r="E154">
        <v>283.072</v>
      </c>
      <c r="F154">
        <v>323.61959999999999</v>
      </c>
      <c r="G154">
        <v>364.1671</v>
      </c>
      <c r="H154">
        <v>404.71469999999999</v>
      </c>
      <c r="I154">
        <v>445.26220000000001</v>
      </c>
      <c r="J154">
        <v>485.8098</v>
      </c>
      <c r="K154">
        <v>526.35730000000001</v>
      </c>
      <c r="L154">
        <v>566.9049</v>
      </c>
      <c r="M154">
        <v>607.45240000000001</v>
      </c>
      <c r="N154">
        <v>648</v>
      </c>
      <c r="O154">
        <v>0.12887170000000001</v>
      </c>
      <c r="P154">
        <v>6.7530429999999999</v>
      </c>
      <c r="Q154">
        <v>123.03</v>
      </c>
      <c r="R154">
        <v>1101.0409999999999</v>
      </c>
      <c r="S154">
        <v>6005.0450000000001</v>
      </c>
      <c r="T154">
        <v>22979.1</v>
      </c>
      <c r="U154">
        <v>67883.19</v>
      </c>
      <c r="V154">
        <v>165520</v>
      </c>
      <c r="W154">
        <v>349507</v>
      </c>
      <c r="X154">
        <v>662061</v>
      </c>
      <c r="AA154">
        <f t="shared" si="84"/>
        <v>3.5326701333936242E-3</v>
      </c>
      <c r="AB154">
        <f t="shared" si="85"/>
        <v>3.090047697976266E-3</v>
      </c>
      <c r="AC154">
        <f t="shared" si="86"/>
        <v>2.7459921557988075E-3</v>
      </c>
      <c r="AD154">
        <f t="shared" si="87"/>
        <v>2.4708763976203484E-3</v>
      </c>
      <c r="AE154">
        <f t="shared" si="88"/>
        <v>2.2458677156965041E-3</v>
      </c>
      <c r="AF154">
        <f t="shared" si="89"/>
        <v>2.0584187474192574E-3</v>
      </c>
      <c r="AG154">
        <f t="shared" si="90"/>
        <v>1.899850158817974E-3</v>
      </c>
      <c r="AH154">
        <f t="shared" si="91"/>
        <v>1.7639642910124785E-3</v>
      </c>
      <c r="AI154">
        <f t="shared" si="92"/>
        <v>1.6462195227148662E-3</v>
      </c>
      <c r="AJ154">
        <f t="shared" si="93"/>
        <v>1.5432098765432098E-3</v>
      </c>
      <c r="AK154">
        <f t="shared" si="94"/>
        <v>-2.0489379431804231</v>
      </c>
      <c r="AL154">
        <f t="shared" si="95"/>
        <v>1.9099932181127846</v>
      </c>
      <c r="AM154">
        <f t="shared" si="96"/>
        <v>4.8124282280720774</v>
      </c>
      <c r="AN154">
        <f t="shared" si="97"/>
        <v>7.0040113749030812</v>
      </c>
      <c r="AO154">
        <f t="shared" si="98"/>
        <v>8.7003552282412091</v>
      </c>
      <c r="AP154">
        <f t="shared" si="99"/>
        <v>10.042340386144936</v>
      </c>
      <c r="AQ154">
        <f t="shared" si="100"/>
        <v>11.12554371294047</v>
      </c>
      <c r="AR154">
        <f t="shared" si="101"/>
        <v>12.016847312419424</v>
      </c>
      <c r="AS154">
        <f t="shared" si="102"/>
        <v>12.764278869067736</v>
      </c>
      <c r="AT154">
        <f t="shared" si="103"/>
        <v>13.40311297568916</v>
      </c>
      <c r="AU154">
        <f t="shared" si="104"/>
        <v>0.99635203055505661</v>
      </c>
      <c r="AV154">
        <f t="shared" si="105"/>
        <v>8944.262297866233</v>
      </c>
      <c r="AW154">
        <f t="shared" si="106"/>
        <v>8435.9490086698333</v>
      </c>
      <c r="AX154">
        <f t="shared" si="107"/>
        <v>7966.0400456210573</v>
      </c>
      <c r="AY154">
        <f t="shared" si="108"/>
        <v>7539.0151119247339</v>
      </c>
      <c r="AZ154">
        <f t="shared" si="109"/>
        <v>7159.2026898694949</v>
      </c>
      <c r="BA154">
        <f t="shared" si="110"/>
        <v>6831.1343144966795</v>
      </c>
      <c r="BB154">
        <f t="shared" si="111"/>
        <v>6559.2074722203597</v>
      </c>
      <c r="BC154">
        <f t="shared" si="112"/>
        <v>6347.8961099919115</v>
      </c>
      <c r="BD154">
        <f t="shared" si="113"/>
        <v>6201.6920780104792</v>
      </c>
      <c r="BE154">
        <f t="shared" si="114"/>
        <v>74362.596744459865</v>
      </c>
      <c r="BF154">
        <f t="shared" si="115"/>
        <v>70136.480058080997</v>
      </c>
      <c r="BG154">
        <f t="shared" si="116"/>
        <v>66229.656939293476</v>
      </c>
      <c r="BH154">
        <f t="shared" si="117"/>
        <v>62679.371640542238</v>
      </c>
      <c r="BI154">
        <f t="shared" si="118"/>
        <v>59521.611163574984</v>
      </c>
      <c r="BJ154">
        <f t="shared" si="119"/>
        <v>56794.050690725395</v>
      </c>
      <c r="BK154">
        <f t="shared" si="120"/>
        <v>54533.250924040069</v>
      </c>
      <c r="BL154">
        <f t="shared" si="121"/>
        <v>52776.408258472751</v>
      </c>
      <c r="BM154">
        <f t="shared" si="122"/>
        <v>51560.867936579125</v>
      </c>
      <c r="BO154" s="2">
        <v>77634.69</v>
      </c>
      <c r="BP154" s="2">
        <v>73515.45</v>
      </c>
      <c r="BQ154" s="2">
        <v>69279.28</v>
      </c>
      <c r="BR154" s="2">
        <v>64937.97</v>
      </c>
      <c r="BS154" s="2">
        <v>60487.59</v>
      </c>
      <c r="BT154" s="2">
        <v>55900.21</v>
      </c>
      <c r="BU154" s="2">
        <v>51108.06</v>
      </c>
      <c r="BV154" s="2">
        <v>45969.1</v>
      </c>
      <c r="BW154" s="2">
        <v>40179.22</v>
      </c>
      <c r="BY154">
        <f t="shared" si="123"/>
        <v>0.95337202588209846</v>
      </c>
    </row>
    <row r="155" spans="1:77" x14ac:dyDescent="0.3">
      <c r="A155" s="1" t="s">
        <v>437</v>
      </c>
      <c r="B155" s="2">
        <v>291.30799999999999</v>
      </c>
      <c r="C155" s="2">
        <v>662</v>
      </c>
      <c r="E155">
        <v>291.30799999999999</v>
      </c>
      <c r="F155">
        <v>332.49599999999998</v>
      </c>
      <c r="G155">
        <v>373.68400000000003</v>
      </c>
      <c r="H155">
        <v>414.87200000000001</v>
      </c>
      <c r="I155">
        <v>456.06</v>
      </c>
      <c r="J155">
        <v>497.24799999999999</v>
      </c>
      <c r="K155">
        <v>538.43600000000004</v>
      </c>
      <c r="L155">
        <v>579.62400000000002</v>
      </c>
      <c r="M155">
        <v>620.81200000000001</v>
      </c>
      <c r="N155">
        <v>662</v>
      </c>
      <c r="O155">
        <v>7.8561300000000001E-2</v>
      </c>
      <c r="P155">
        <v>5.1017619999999999</v>
      </c>
      <c r="Q155">
        <v>104.93170000000001</v>
      </c>
      <c r="R155">
        <v>997.93759999999997</v>
      </c>
      <c r="S155">
        <v>5566.598</v>
      </c>
      <c r="T155">
        <v>21301.3</v>
      </c>
      <c r="U155">
        <v>62252.17</v>
      </c>
      <c r="V155">
        <v>149909</v>
      </c>
      <c r="W155">
        <v>314381</v>
      </c>
      <c r="X155">
        <v>598420</v>
      </c>
      <c r="AA155">
        <f t="shared" si="84"/>
        <v>3.4327927828964534E-3</v>
      </c>
      <c r="AB155">
        <f t="shared" si="85"/>
        <v>3.0075549781049997E-3</v>
      </c>
      <c r="AC155">
        <f t="shared" si="86"/>
        <v>2.6760578456663919E-3</v>
      </c>
      <c r="AD155">
        <f t="shared" si="87"/>
        <v>2.4103819973389381E-3</v>
      </c>
      <c r="AE155">
        <f t="shared" si="88"/>
        <v>2.1926939437793272E-3</v>
      </c>
      <c r="AF155">
        <f t="shared" si="89"/>
        <v>2.0110689233541414E-3</v>
      </c>
      <c r="AG155">
        <f t="shared" si="90"/>
        <v>1.8572309429532943E-3</v>
      </c>
      <c r="AH155">
        <f t="shared" si="91"/>
        <v>1.7252563730970421E-3</v>
      </c>
      <c r="AI155">
        <f t="shared" si="92"/>
        <v>1.6107936057937024E-3</v>
      </c>
      <c r="AJ155">
        <f t="shared" si="93"/>
        <v>1.5105740181268882E-3</v>
      </c>
      <c r="AK155">
        <f t="shared" si="94"/>
        <v>-2.5438760672113339</v>
      </c>
      <c r="AL155">
        <f t="shared" si="95"/>
        <v>1.6295859702583635</v>
      </c>
      <c r="AM155">
        <f t="shared" si="96"/>
        <v>4.653309662315622</v>
      </c>
      <c r="AN155">
        <f t="shared" si="97"/>
        <v>6.9056907493065909</v>
      </c>
      <c r="AO155">
        <f t="shared" si="98"/>
        <v>8.6245393743313148</v>
      </c>
      <c r="AP155">
        <f t="shared" si="99"/>
        <v>9.9665233826989361</v>
      </c>
      <c r="AQ155">
        <f t="shared" si="100"/>
        <v>11.03894867315713</v>
      </c>
      <c r="AR155">
        <f t="shared" si="101"/>
        <v>11.917783722315043</v>
      </c>
      <c r="AS155">
        <f t="shared" si="102"/>
        <v>12.658360905141093</v>
      </c>
      <c r="AT155">
        <f t="shared" si="103"/>
        <v>13.302048127543779</v>
      </c>
      <c r="AU155">
        <f t="shared" si="104"/>
        <v>0.99439789870517792</v>
      </c>
      <c r="AV155">
        <f t="shared" si="105"/>
        <v>9814.4191096002342</v>
      </c>
      <c r="AW155">
        <f t="shared" si="106"/>
        <v>9121.4173402155793</v>
      </c>
      <c r="AX155">
        <f t="shared" si="107"/>
        <v>8477.9294059685799</v>
      </c>
      <c r="AY155">
        <f t="shared" si="108"/>
        <v>7895.9253708152646</v>
      </c>
      <c r="AZ155">
        <f t="shared" si="109"/>
        <v>7388.7617753656677</v>
      </c>
      <c r="BA155">
        <f t="shared" si="110"/>
        <v>6971.1347462039894</v>
      </c>
      <c r="BB155">
        <f t="shared" si="111"/>
        <v>6659.1241791138091</v>
      </c>
      <c r="BC155">
        <f t="shared" si="112"/>
        <v>6470.026894102898</v>
      </c>
      <c r="BD155">
        <f t="shared" si="113"/>
        <v>6422.7686162775053</v>
      </c>
      <c r="BE155">
        <f t="shared" si="114"/>
        <v>81597.080477216354</v>
      </c>
      <c r="BF155">
        <f t="shared" si="115"/>
        <v>75835.463766552333</v>
      </c>
      <c r="BG155">
        <f t="shared" si="116"/>
        <v>70485.505081222771</v>
      </c>
      <c r="BH155">
        <f t="shared" si="117"/>
        <v>65646.723532958116</v>
      </c>
      <c r="BI155">
        <f t="shared" si="118"/>
        <v>61430.165400390164</v>
      </c>
      <c r="BJ155">
        <f t="shared" si="119"/>
        <v>57958.014279939969</v>
      </c>
      <c r="BK155">
        <f t="shared" si="120"/>
        <v>55363.95842515221</v>
      </c>
      <c r="BL155">
        <f t="shared" si="121"/>
        <v>53791.803597571496</v>
      </c>
      <c r="BM155">
        <f t="shared" si="122"/>
        <v>53398.898275731182</v>
      </c>
      <c r="BO155" s="2">
        <v>83669.69</v>
      </c>
      <c r="BP155" s="2">
        <v>78202.960000000006</v>
      </c>
      <c r="BQ155" s="2">
        <v>72932.03</v>
      </c>
      <c r="BR155" s="2">
        <v>67856.52</v>
      </c>
      <c r="BS155" s="2">
        <v>62958.63</v>
      </c>
      <c r="BT155" s="2">
        <v>58195.02</v>
      </c>
      <c r="BU155" s="2">
        <v>53479.71</v>
      </c>
      <c r="BV155" s="2">
        <v>48644.23</v>
      </c>
      <c r="BW155" s="2">
        <v>43330.58</v>
      </c>
      <c r="BY155">
        <f t="shared" si="123"/>
        <v>0.95123421273039688</v>
      </c>
    </row>
    <row r="156" spans="1:77" x14ac:dyDescent="0.3">
      <c r="A156" s="1" t="s">
        <v>440</v>
      </c>
      <c r="B156" s="2">
        <v>313.35000000000002</v>
      </c>
      <c r="C156" s="2">
        <v>721</v>
      </c>
      <c r="E156">
        <v>313.35000000000002</v>
      </c>
      <c r="F156">
        <v>358.64440000000002</v>
      </c>
      <c r="G156">
        <v>403.93889999999999</v>
      </c>
      <c r="H156">
        <v>449.23329999999999</v>
      </c>
      <c r="I156">
        <v>494.52780000000001</v>
      </c>
      <c r="J156">
        <v>539.82219999999995</v>
      </c>
      <c r="K156">
        <v>585.11670000000004</v>
      </c>
      <c r="L156">
        <v>630.41110000000003</v>
      </c>
      <c r="M156">
        <v>675.7056</v>
      </c>
      <c r="N156">
        <v>721</v>
      </c>
      <c r="O156">
        <v>4.5966100000000001E-3</v>
      </c>
      <c r="P156">
        <v>0.69352469999999999</v>
      </c>
      <c r="Q156">
        <v>24.956869999999999</v>
      </c>
      <c r="R156">
        <v>346.63339999999999</v>
      </c>
      <c r="S156">
        <v>2507.366</v>
      </c>
      <c r="T156">
        <v>11488.49</v>
      </c>
      <c r="U156">
        <v>38093.33</v>
      </c>
      <c r="V156">
        <v>100388</v>
      </c>
      <c r="W156">
        <v>225047</v>
      </c>
      <c r="X156">
        <v>451409</v>
      </c>
      <c r="AA156">
        <f t="shared" si="84"/>
        <v>3.1913196106590071E-3</v>
      </c>
      <c r="AB156">
        <f t="shared" si="85"/>
        <v>2.7882771904426777E-3</v>
      </c>
      <c r="AC156">
        <f t="shared" si="86"/>
        <v>2.4756219319307946E-3</v>
      </c>
      <c r="AD156">
        <f t="shared" si="87"/>
        <v>2.2260148568683576E-3</v>
      </c>
      <c r="AE156">
        <f t="shared" si="88"/>
        <v>2.0221310106327693E-3</v>
      </c>
      <c r="AF156">
        <f t="shared" si="89"/>
        <v>1.8524617920493082E-3</v>
      </c>
      <c r="AG156">
        <f t="shared" si="90"/>
        <v>1.709060773688394E-3</v>
      </c>
      <c r="AH156">
        <f t="shared" si="91"/>
        <v>1.5862664854727334E-3</v>
      </c>
      <c r="AI156">
        <f t="shared" si="92"/>
        <v>1.4799344566627833E-3</v>
      </c>
      <c r="AJ156">
        <f t="shared" si="93"/>
        <v>1.3869625520110957E-3</v>
      </c>
      <c r="AK156">
        <f t="shared" si="94"/>
        <v>-5.3824362036947733</v>
      </c>
      <c r="AL156">
        <f t="shared" si="95"/>
        <v>-0.3659684234231449</v>
      </c>
      <c r="AM156">
        <f t="shared" si="96"/>
        <v>3.2171491349968835</v>
      </c>
      <c r="AN156">
        <f t="shared" si="97"/>
        <v>5.8482677373242442</v>
      </c>
      <c r="AO156">
        <f t="shared" si="98"/>
        <v>7.8269880787271831</v>
      </c>
      <c r="AP156">
        <f t="shared" si="99"/>
        <v>9.3491009435817265</v>
      </c>
      <c r="AQ156">
        <f t="shared" si="100"/>
        <v>10.54779448017222</v>
      </c>
      <c r="AR156">
        <f t="shared" si="101"/>
        <v>11.516797957184103</v>
      </c>
      <c r="AS156">
        <f t="shared" si="102"/>
        <v>12.3240645482612</v>
      </c>
      <c r="AT156">
        <f t="shared" si="103"/>
        <v>13.020129081137572</v>
      </c>
      <c r="AU156">
        <f t="shared" si="104"/>
        <v>0.99233767546371432</v>
      </c>
      <c r="AV156">
        <f t="shared" si="105"/>
        <v>12446.500737016924</v>
      </c>
      <c r="AW156">
        <f t="shared" si="106"/>
        <v>11460.282406489077</v>
      </c>
      <c r="AX156">
        <f t="shared" si="107"/>
        <v>10541.0417620142</v>
      </c>
      <c r="AY156">
        <f t="shared" si="108"/>
        <v>9705.1354383246362</v>
      </c>
      <c r="AZ156">
        <f t="shared" si="109"/>
        <v>8971.0607354851963</v>
      </c>
      <c r="BA156">
        <f t="shared" si="110"/>
        <v>8359.0308513263171</v>
      </c>
      <c r="BB156">
        <f t="shared" si="111"/>
        <v>7891.2748393479524</v>
      </c>
      <c r="BC156">
        <f t="shared" si="112"/>
        <v>7591.9419587107177</v>
      </c>
      <c r="BD156">
        <f t="shared" si="113"/>
        <v>7486.8266438568362</v>
      </c>
      <c r="BE156">
        <f t="shared" si="114"/>
        <v>103480.20712755871</v>
      </c>
      <c r="BF156">
        <f t="shared" si="115"/>
        <v>95280.787927550191</v>
      </c>
      <c r="BG156">
        <f t="shared" si="116"/>
        <v>87638.221209386058</v>
      </c>
      <c r="BH156">
        <f t="shared" si="117"/>
        <v>80688.496034231022</v>
      </c>
      <c r="BI156">
        <f t="shared" si="118"/>
        <v>74585.398954823919</v>
      </c>
      <c r="BJ156">
        <f t="shared" si="119"/>
        <v>69496.982497927005</v>
      </c>
      <c r="BK156">
        <f t="shared" si="120"/>
        <v>65608.059014338884</v>
      </c>
      <c r="BL156">
        <f t="shared" si="121"/>
        <v>63119.405444720906</v>
      </c>
      <c r="BM156">
        <f t="shared" si="122"/>
        <v>62245.47671702574</v>
      </c>
      <c r="BO156" s="2">
        <v>107380</v>
      </c>
      <c r="BP156" s="2">
        <v>99126.64</v>
      </c>
      <c r="BQ156" s="2">
        <v>91319.27</v>
      </c>
      <c r="BR156" s="2">
        <v>83965.83</v>
      </c>
      <c r="BS156" s="2">
        <v>77047.009999999995</v>
      </c>
      <c r="BT156" s="2">
        <v>70507.259999999995</v>
      </c>
      <c r="BU156" s="2">
        <v>64232.75</v>
      </c>
      <c r="BV156" s="2">
        <v>57996.32</v>
      </c>
      <c r="BW156" s="2">
        <v>51300.800000000003</v>
      </c>
      <c r="BY156">
        <f t="shared" si="123"/>
        <v>0.96901653318421055</v>
      </c>
    </row>
    <row r="157" spans="1:77" x14ac:dyDescent="0.3">
      <c r="A157" s="1" t="s">
        <v>443</v>
      </c>
      <c r="B157" s="2">
        <v>317.14999999999998</v>
      </c>
      <c r="C157" s="2">
        <v>730.9</v>
      </c>
      <c r="E157">
        <v>317.14999999999998</v>
      </c>
      <c r="F157">
        <v>363.12220000000002</v>
      </c>
      <c r="G157">
        <v>409.09440000000001</v>
      </c>
      <c r="H157">
        <v>455.06670000000003</v>
      </c>
      <c r="I157">
        <v>501.03890000000001</v>
      </c>
      <c r="J157">
        <v>547.01110000000006</v>
      </c>
      <c r="K157">
        <v>592.98329999999999</v>
      </c>
      <c r="L157">
        <v>638.9556</v>
      </c>
      <c r="M157">
        <v>684.92780000000005</v>
      </c>
      <c r="N157">
        <v>730.9</v>
      </c>
      <c r="O157">
        <v>2.2247E-3</v>
      </c>
      <c r="P157">
        <v>0.426006</v>
      </c>
      <c r="Q157">
        <v>17.927299999999999</v>
      </c>
      <c r="R157">
        <v>276.30009999999999</v>
      </c>
      <c r="S157">
        <v>2142.2199999999998</v>
      </c>
      <c r="T157">
        <v>10278.530000000001</v>
      </c>
      <c r="U157">
        <v>35132.589999999997</v>
      </c>
      <c r="V157">
        <v>94444.800000000003</v>
      </c>
      <c r="W157">
        <v>214514</v>
      </c>
      <c r="X157">
        <v>434187</v>
      </c>
      <c r="AA157">
        <f t="shared" si="84"/>
        <v>3.1530821377896896E-3</v>
      </c>
      <c r="AB157">
        <f t="shared" si="85"/>
        <v>2.7538938682349907E-3</v>
      </c>
      <c r="AC157">
        <f t="shared" si="86"/>
        <v>2.4444235853631827E-3</v>
      </c>
      <c r="AD157">
        <f t="shared" si="87"/>
        <v>2.1974800617140301E-3</v>
      </c>
      <c r="AE157">
        <f t="shared" si="88"/>
        <v>1.9958530166021039E-3</v>
      </c>
      <c r="AF157">
        <f t="shared" si="89"/>
        <v>1.8281164678376725E-3</v>
      </c>
      <c r="AG157">
        <f t="shared" si="90"/>
        <v>1.6863881326843438E-3</v>
      </c>
      <c r="AH157">
        <f t="shared" si="91"/>
        <v>1.565053972451294E-3</v>
      </c>
      <c r="AI157">
        <f t="shared" si="92"/>
        <v>1.4600079015627632E-3</v>
      </c>
      <c r="AJ157">
        <f t="shared" si="93"/>
        <v>1.3681762210972774E-3</v>
      </c>
      <c r="AK157">
        <f t="shared" si="94"/>
        <v>-6.1081332039151865</v>
      </c>
      <c r="AL157">
        <f t="shared" si="95"/>
        <v>-0.85330184830491007</v>
      </c>
      <c r="AM157">
        <f t="shared" si="96"/>
        <v>2.8863246906671818</v>
      </c>
      <c r="AN157">
        <f t="shared" si="97"/>
        <v>5.6214875938547486</v>
      </c>
      <c r="AO157">
        <f t="shared" si="98"/>
        <v>7.6695979534833807</v>
      </c>
      <c r="AP157">
        <f t="shared" si="99"/>
        <v>9.2378125326752887</v>
      </c>
      <c r="AQ157">
        <f t="shared" si="100"/>
        <v>10.46688446870221</v>
      </c>
      <c r="AR157">
        <f t="shared" si="101"/>
        <v>11.455770815829077</v>
      </c>
      <c r="AS157">
        <f t="shared" si="102"/>
        <v>12.276130283285609</v>
      </c>
      <c r="AT157">
        <f t="shared" si="103"/>
        <v>12.981230595858353</v>
      </c>
      <c r="AU157">
        <f t="shared" si="104"/>
        <v>0.99154703152712675</v>
      </c>
      <c r="AV157">
        <f t="shared" si="105"/>
        <v>13163.792015913012</v>
      </c>
      <c r="AW157">
        <f t="shared" si="106"/>
        <v>12083.960063206321</v>
      </c>
      <c r="AX157">
        <f t="shared" si="107"/>
        <v>11076.066554689551</v>
      </c>
      <c r="AY157">
        <f t="shared" si="108"/>
        <v>10157.914869464537</v>
      </c>
      <c r="AZ157">
        <f t="shared" si="109"/>
        <v>9349.2717642253556</v>
      </c>
      <c r="BA157">
        <f t="shared" si="110"/>
        <v>8672.0269076557652</v>
      </c>
      <c r="BB157">
        <f t="shared" si="111"/>
        <v>8150.1066577416141</v>
      </c>
      <c r="BC157">
        <f t="shared" si="112"/>
        <v>7809.5207228364843</v>
      </c>
      <c r="BD157">
        <f t="shared" si="113"/>
        <v>7678.1815273188986</v>
      </c>
      <c r="BE157">
        <f t="shared" si="114"/>
        <v>109443.76682030078</v>
      </c>
      <c r="BF157">
        <f t="shared" si="115"/>
        <v>100466.04396549736</v>
      </c>
      <c r="BG157">
        <f t="shared" si="116"/>
        <v>92086.417335688922</v>
      </c>
      <c r="BH157">
        <f t="shared" si="117"/>
        <v>84452.904224728161</v>
      </c>
      <c r="BI157">
        <f t="shared" si="118"/>
        <v>77729.845447769607</v>
      </c>
      <c r="BJ157">
        <f t="shared" si="119"/>
        <v>72099.231710250038</v>
      </c>
      <c r="BK157">
        <f t="shared" si="120"/>
        <v>67759.986752463781</v>
      </c>
      <c r="BL157">
        <f t="shared" si="121"/>
        <v>64928.355289662533</v>
      </c>
      <c r="BM157">
        <f t="shared" si="122"/>
        <v>63836.401218129322</v>
      </c>
      <c r="BO157" s="2">
        <v>113691</v>
      </c>
      <c r="BP157" s="2">
        <v>104685</v>
      </c>
      <c r="BQ157" s="2">
        <v>96136.09</v>
      </c>
      <c r="BR157" s="2">
        <v>88075.89</v>
      </c>
      <c r="BS157" s="2">
        <v>80501.3</v>
      </c>
      <c r="BT157" s="2">
        <v>73367.990000000005</v>
      </c>
      <c r="BU157" s="2">
        <v>66567.77</v>
      </c>
      <c r="BV157" s="2">
        <v>59871.9</v>
      </c>
      <c r="BW157" s="2">
        <v>52766.57</v>
      </c>
      <c r="BY157">
        <f t="shared" si="123"/>
        <v>0.97245852193549953</v>
      </c>
    </row>
    <row r="158" spans="1:77" x14ac:dyDescent="0.3">
      <c r="A158" s="1" t="s">
        <v>446</v>
      </c>
      <c r="B158" s="2">
        <v>320.64999999999998</v>
      </c>
      <c r="C158" s="2">
        <v>740.3</v>
      </c>
      <c r="E158">
        <v>320.64999999999998</v>
      </c>
      <c r="F158">
        <v>367.27780000000001</v>
      </c>
      <c r="G158">
        <v>413.90559999999999</v>
      </c>
      <c r="H158">
        <v>460.5333</v>
      </c>
      <c r="I158">
        <v>507.16109999999998</v>
      </c>
      <c r="J158">
        <v>553.78890000000001</v>
      </c>
      <c r="K158">
        <v>600.41669999999999</v>
      </c>
      <c r="L158">
        <v>647.0444</v>
      </c>
      <c r="M158">
        <v>693.67219999999998</v>
      </c>
      <c r="N158">
        <v>740.3</v>
      </c>
      <c r="O158">
        <v>1.3476499999999999E-3</v>
      </c>
      <c r="P158">
        <v>0.29970609999999998</v>
      </c>
      <c r="Q158">
        <v>13.923539999999999</v>
      </c>
      <c r="R158">
        <v>229.4085</v>
      </c>
      <c r="S158">
        <v>1861.8130000000001</v>
      </c>
      <c r="T158">
        <v>9219.9680000000008</v>
      </c>
      <c r="U158">
        <v>32219.439999999999</v>
      </c>
      <c r="V158">
        <v>87992.88</v>
      </c>
      <c r="W158">
        <v>202212</v>
      </c>
      <c r="X158">
        <v>413083</v>
      </c>
      <c r="AA158">
        <f t="shared" si="84"/>
        <v>3.1186652112895684E-3</v>
      </c>
      <c r="AB158">
        <f t="shared" si="85"/>
        <v>2.722734671139938E-3</v>
      </c>
      <c r="AC158">
        <f t="shared" si="86"/>
        <v>2.4160098341264287E-3</v>
      </c>
      <c r="AD158">
        <f t="shared" si="87"/>
        <v>2.1713956406626839E-3</v>
      </c>
      <c r="AE158">
        <f t="shared" si="88"/>
        <v>1.9717600580959386E-3</v>
      </c>
      <c r="AF158">
        <f t="shared" si="89"/>
        <v>1.8057422241579779E-3</v>
      </c>
      <c r="AG158">
        <f t="shared" si="90"/>
        <v>1.6655099699925068E-3</v>
      </c>
      <c r="AH158">
        <f t="shared" si="91"/>
        <v>1.5454889958092521E-3</v>
      </c>
      <c r="AI158">
        <f t="shared" si="92"/>
        <v>1.4416031087882721E-3</v>
      </c>
      <c r="AJ158">
        <f t="shared" si="93"/>
        <v>1.35080372821829E-3</v>
      </c>
      <c r="AK158">
        <f t="shared" si="94"/>
        <v>-6.609392944122253</v>
      </c>
      <c r="AL158">
        <f t="shared" si="95"/>
        <v>-1.2049529511796326</v>
      </c>
      <c r="AM158">
        <f t="shared" si="96"/>
        <v>2.6335809329197066</v>
      </c>
      <c r="AN158">
        <f t="shared" si="97"/>
        <v>5.4355042571910328</v>
      </c>
      <c r="AO158">
        <f t="shared" si="98"/>
        <v>7.5293060231480755</v>
      </c>
      <c r="AP158">
        <f t="shared" si="99"/>
        <v>9.1291268458287806</v>
      </c>
      <c r="AQ158">
        <f t="shared" si="100"/>
        <v>10.380325276070922</v>
      </c>
      <c r="AR158">
        <f t="shared" si="101"/>
        <v>11.385011181096118</v>
      </c>
      <c r="AS158">
        <f t="shared" si="102"/>
        <v>12.217071930988542</v>
      </c>
      <c r="AT158">
        <f t="shared" si="103"/>
        <v>12.931403820274705</v>
      </c>
      <c r="AU158">
        <f t="shared" si="104"/>
        <v>0.99122286331465015</v>
      </c>
      <c r="AV158">
        <f t="shared" si="105"/>
        <v>13649.969994484816</v>
      </c>
      <c r="AW158">
        <f t="shared" si="106"/>
        <v>12514.584477325117</v>
      </c>
      <c r="AX158">
        <f t="shared" si="107"/>
        <v>11454.459304245605</v>
      </c>
      <c r="AY158">
        <f t="shared" si="108"/>
        <v>10488.119096990184</v>
      </c>
      <c r="AZ158">
        <f t="shared" si="109"/>
        <v>9636.4395603338835</v>
      </c>
      <c r="BA158">
        <f t="shared" si="110"/>
        <v>8922.3298711703865</v>
      </c>
      <c r="BB158">
        <f t="shared" si="111"/>
        <v>8370.9194318918489</v>
      </c>
      <c r="BC158">
        <f t="shared" si="112"/>
        <v>8009.3723387507571</v>
      </c>
      <c r="BD158">
        <f t="shared" si="113"/>
        <v>7867.144960703813</v>
      </c>
      <c r="BE158">
        <f t="shared" si="114"/>
        <v>113485.85053414677</v>
      </c>
      <c r="BF158">
        <f t="shared" si="115"/>
        <v>104046.25534448103</v>
      </c>
      <c r="BG158">
        <f t="shared" si="116"/>
        <v>95232.374655497959</v>
      </c>
      <c r="BH158">
        <f t="shared" si="117"/>
        <v>87198.222172376394</v>
      </c>
      <c r="BI158">
        <f t="shared" si="118"/>
        <v>80117.358504615913</v>
      </c>
      <c r="BJ158">
        <f t="shared" si="119"/>
        <v>74180.250548910597</v>
      </c>
      <c r="BK158">
        <f t="shared" si="120"/>
        <v>69595.824156748829</v>
      </c>
      <c r="BL158">
        <f t="shared" si="121"/>
        <v>66589.92162437379</v>
      </c>
      <c r="BM158">
        <f t="shared" si="122"/>
        <v>65407.443203291499</v>
      </c>
      <c r="BO158" s="2">
        <v>117965</v>
      </c>
      <c r="BP158" s="2">
        <v>108484</v>
      </c>
      <c r="BQ158" s="2">
        <v>99492.5</v>
      </c>
      <c r="BR158" s="2">
        <v>91025.41</v>
      </c>
      <c r="BS158" s="2">
        <v>83083.05</v>
      </c>
      <c r="BT158" s="2">
        <v>75621.289999999994</v>
      </c>
      <c r="BU158" s="2">
        <v>68528.850000000006</v>
      </c>
      <c r="BV158" s="2">
        <v>61568.08</v>
      </c>
      <c r="BW158" s="2">
        <v>54201.75</v>
      </c>
      <c r="BY158">
        <f t="shared" si="123"/>
        <v>0.97373589501365543</v>
      </c>
    </row>
    <row r="159" spans="1:77" x14ac:dyDescent="0.3">
      <c r="A159" s="1" t="s">
        <v>449</v>
      </c>
      <c r="B159" s="2">
        <v>323.75</v>
      </c>
      <c r="C159" s="2">
        <v>749.3</v>
      </c>
      <c r="E159">
        <v>323.75</v>
      </c>
      <c r="F159">
        <v>371.0333</v>
      </c>
      <c r="G159">
        <v>418.31670000000003</v>
      </c>
      <c r="H159">
        <v>465.6</v>
      </c>
      <c r="I159">
        <v>512.88329999999996</v>
      </c>
      <c r="J159">
        <v>560.16669999999999</v>
      </c>
      <c r="K159">
        <v>607.45000000000005</v>
      </c>
      <c r="L159">
        <v>654.73329999999999</v>
      </c>
      <c r="M159">
        <v>702.01670000000001</v>
      </c>
      <c r="N159">
        <v>749.3</v>
      </c>
      <c r="O159">
        <v>1.0083799999999999E-3</v>
      </c>
      <c r="P159">
        <v>0.24089160000000001</v>
      </c>
      <c r="Q159">
        <v>11.73902</v>
      </c>
      <c r="R159">
        <v>199.98869999999999</v>
      </c>
      <c r="S159">
        <v>1663.0239999999999</v>
      </c>
      <c r="T159">
        <v>8388.5640000000003</v>
      </c>
      <c r="U159">
        <v>29742.03</v>
      </c>
      <c r="V159">
        <v>82198.97</v>
      </c>
      <c r="W159">
        <v>190835</v>
      </c>
      <c r="X159">
        <v>393424</v>
      </c>
      <c r="AA159">
        <f t="shared" si="84"/>
        <v>3.0888030888030888E-3</v>
      </c>
      <c r="AB159">
        <f t="shared" si="85"/>
        <v>2.6951758777446662E-3</v>
      </c>
      <c r="AC159">
        <f t="shared" si="86"/>
        <v>2.3905332969016055E-3</v>
      </c>
      <c r="AD159">
        <f t="shared" si="87"/>
        <v>2.1477663230240547E-3</v>
      </c>
      <c r="AE159">
        <f t="shared" si="88"/>
        <v>1.9497612809775636E-3</v>
      </c>
      <c r="AF159">
        <f t="shared" si="89"/>
        <v>1.7851828750263092E-3</v>
      </c>
      <c r="AG159">
        <f t="shared" si="90"/>
        <v>1.6462260268334842E-3</v>
      </c>
      <c r="AH159">
        <f t="shared" si="91"/>
        <v>1.5273394525679388E-3</v>
      </c>
      <c r="AI159">
        <f t="shared" si="92"/>
        <v>1.4244675375956156E-3</v>
      </c>
      <c r="AJ159">
        <f t="shared" si="93"/>
        <v>1.3345789403443214E-3</v>
      </c>
      <c r="AK159">
        <f t="shared" si="94"/>
        <v>-6.899410196246639</v>
      </c>
      <c r="AL159">
        <f t="shared" si="95"/>
        <v>-1.4234082392096061</v>
      </c>
      <c r="AM159">
        <f t="shared" si="96"/>
        <v>2.4629183356175677</v>
      </c>
      <c r="AN159">
        <f t="shared" si="97"/>
        <v>5.2982608649518514</v>
      </c>
      <c r="AO159">
        <f t="shared" si="98"/>
        <v>7.4163929108386402</v>
      </c>
      <c r="AP159">
        <f t="shared" si="99"/>
        <v>9.0346246286741092</v>
      </c>
      <c r="AQ159">
        <f t="shared" si="100"/>
        <v>10.300316475922722</v>
      </c>
      <c r="AR159">
        <f t="shared" si="101"/>
        <v>11.31689805055214</v>
      </c>
      <c r="AS159">
        <f t="shared" si="102"/>
        <v>12.159164459328739</v>
      </c>
      <c r="AT159">
        <f t="shared" si="103"/>
        <v>12.882643189685318</v>
      </c>
      <c r="AU159">
        <f t="shared" si="104"/>
        <v>0.99130661520151642</v>
      </c>
      <c r="AV159">
        <f t="shared" si="105"/>
        <v>13911.644833477423</v>
      </c>
      <c r="AW159">
        <f t="shared" si="106"/>
        <v>12757.003843888948</v>
      </c>
      <c r="AX159">
        <f t="shared" si="107"/>
        <v>11679.276155431264</v>
      </c>
      <c r="AY159">
        <f t="shared" si="108"/>
        <v>10697.364188278885</v>
      </c>
      <c r="AZ159">
        <f t="shared" si="109"/>
        <v>9832.5883549678074</v>
      </c>
      <c r="BA159">
        <f t="shared" si="110"/>
        <v>9108.5244355302439</v>
      </c>
      <c r="BB159">
        <f t="shared" si="111"/>
        <v>8550.852616534974</v>
      </c>
      <c r="BC159">
        <f t="shared" si="112"/>
        <v>8187.5253221756711</v>
      </c>
      <c r="BD159">
        <f t="shared" si="113"/>
        <v>8048.6152023710911</v>
      </c>
      <c r="BE159">
        <f t="shared" si="114"/>
        <v>115661.4151455313</v>
      </c>
      <c r="BF159">
        <f t="shared" si="115"/>
        <v>106061.72995809271</v>
      </c>
      <c r="BG159">
        <f t="shared" si="116"/>
        <v>97101.501956255524</v>
      </c>
      <c r="BH159">
        <f t="shared" si="117"/>
        <v>88937.885861350645</v>
      </c>
      <c r="BI159">
        <f t="shared" si="118"/>
        <v>81748.139583202355</v>
      </c>
      <c r="BJ159">
        <f t="shared" si="119"/>
        <v>75728.272156998442</v>
      </c>
      <c r="BK159">
        <f t="shared" si="120"/>
        <v>71091.788653871772</v>
      </c>
      <c r="BL159">
        <f t="shared" si="121"/>
        <v>68071.085528568525</v>
      </c>
      <c r="BM159">
        <f t="shared" si="122"/>
        <v>66916.186792513254</v>
      </c>
      <c r="BO159" s="2">
        <v>120237</v>
      </c>
      <c r="BP159" s="2">
        <v>110560</v>
      </c>
      <c r="BQ159" s="2">
        <v>101412</v>
      </c>
      <c r="BR159" s="2">
        <v>92820.63</v>
      </c>
      <c r="BS159" s="2">
        <v>84779.1</v>
      </c>
      <c r="BT159" s="2">
        <v>77236.149999999994</v>
      </c>
      <c r="BU159" s="2">
        <v>70072.320000000007</v>
      </c>
      <c r="BV159" s="2">
        <v>63037.91</v>
      </c>
      <c r="BW159" s="2">
        <v>55570.66</v>
      </c>
      <c r="BY159">
        <f t="shared" si="123"/>
        <v>0.97357860023069132</v>
      </c>
    </row>
    <row r="160" spans="1:77" x14ac:dyDescent="0.3">
      <c r="A160" s="1" t="s">
        <v>452</v>
      </c>
      <c r="B160" s="2">
        <v>279.69</v>
      </c>
      <c r="C160" s="2">
        <v>493.8</v>
      </c>
      <c r="E160">
        <v>279.69</v>
      </c>
      <c r="F160">
        <v>303.48</v>
      </c>
      <c r="G160">
        <v>327.27</v>
      </c>
      <c r="H160">
        <v>351.06</v>
      </c>
      <c r="I160">
        <v>374.85</v>
      </c>
      <c r="J160">
        <v>398.64</v>
      </c>
      <c r="K160">
        <v>422.43</v>
      </c>
      <c r="L160">
        <v>446.22</v>
      </c>
      <c r="M160">
        <v>470.01</v>
      </c>
      <c r="N160">
        <v>493.8</v>
      </c>
      <c r="O160">
        <v>5362.5060000000003</v>
      </c>
      <c r="P160">
        <v>16479.060000000001</v>
      </c>
      <c r="Q160">
        <v>42066.81</v>
      </c>
      <c r="R160">
        <v>92857.66</v>
      </c>
      <c r="S160">
        <v>182637</v>
      </c>
      <c r="T160">
        <v>327505</v>
      </c>
      <c r="U160">
        <v>545156</v>
      </c>
      <c r="V160">
        <v>854599</v>
      </c>
      <c r="W160">
        <v>1276700</v>
      </c>
      <c r="X160">
        <v>1835860</v>
      </c>
      <c r="AA160">
        <f t="shared" si="84"/>
        <v>3.5753870356466087E-3</v>
      </c>
      <c r="AB160">
        <f t="shared" si="85"/>
        <v>3.2951100566758927E-3</v>
      </c>
      <c r="AC160">
        <f t="shared" si="86"/>
        <v>3.0555810187307118E-3</v>
      </c>
      <c r="AD160">
        <f t="shared" si="87"/>
        <v>2.8485159232040109E-3</v>
      </c>
      <c r="AE160">
        <f t="shared" si="88"/>
        <v>2.6677337601707348E-3</v>
      </c>
      <c r="AF160">
        <f t="shared" si="89"/>
        <v>2.5085289985952238E-3</v>
      </c>
      <c r="AG160">
        <f t="shared" si="90"/>
        <v>2.3672561134389131E-3</v>
      </c>
      <c r="AH160">
        <f t="shared" si="91"/>
        <v>2.2410470171664201E-3</v>
      </c>
      <c r="AI160">
        <f t="shared" si="92"/>
        <v>2.1276143060785942E-3</v>
      </c>
      <c r="AJ160">
        <f t="shared" si="93"/>
        <v>2.025111381125962E-3</v>
      </c>
      <c r="AK160">
        <f t="shared" si="94"/>
        <v>8.5871866821167657</v>
      </c>
      <c r="AL160">
        <f t="shared" si="95"/>
        <v>9.7098457630017343</v>
      </c>
      <c r="AM160">
        <f t="shared" si="96"/>
        <v>10.647014347705351</v>
      </c>
      <c r="AN160">
        <f t="shared" si="97"/>
        <v>11.438823062031767</v>
      </c>
      <c r="AO160">
        <f t="shared" si="98"/>
        <v>12.115255855313189</v>
      </c>
      <c r="AP160">
        <f t="shared" si="99"/>
        <v>12.699258601116474</v>
      </c>
      <c r="AQ160">
        <f t="shared" si="100"/>
        <v>13.208827271219059</v>
      </c>
      <c r="AR160">
        <f t="shared" si="101"/>
        <v>13.658387632053302</v>
      </c>
      <c r="AS160">
        <f t="shared" si="102"/>
        <v>14.059789181808442</v>
      </c>
      <c r="AT160">
        <f t="shared" si="103"/>
        <v>14.423023594531875</v>
      </c>
      <c r="AU160">
        <f t="shared" si="104"/>
        <v>0.9994887327095936</v>
      </c>
      <c r="AV160">
        <f t="shared" si="105"/>
        <v>4005.5344003200021</v>
      </c>
      <c r="AW160">
        <f t="shared" si="106"/>
        <v>3912.546857546763</v>
      </c>
      <c r="AX160">
        <f t="shared" si="107"/>
        <v>3823.9603459594819</v>
      </c>
      <c r="AY160">
        <f t="shared" si="108"/>
        <v>3741.7009617088829</v>
      </c>
      <c r="AZ160">
        <f t="shared" si="109"/>
        <v>3668.2492409392698</v>
      </c>
      <c r="BA160">
        <f t="shared" si="110"/>
        <v>3606.981407216078</v>
      </c>
      <c r="BB160">
        <f t="shared" si="111"/>
        <v>3562.0282064583907</v>
      </c>
      <c r="BC160">
        <f t="shared" si="112"/>
        <v>3538.6754482519027</v>
      </c>
      <c r="BD160">
        <f t="shared" si="113"/>
        <v>3543.6492460218797</v>
      </c>
      <c r="BE160">
        <f t="shared" si="114"/>
        <v>33302.013004260494</v>
      </c>
      <c r="BF160">
        <f t="shared" si="115"/>
        <v>32528.914573643789</v>
      </c>
      <c r="BG160">
        <f t="shared" si="116"/>
        <v>31792.406316307133</v>
      </c>
      <c r="BH160">
        <f t="shared" si="117"/>
        <v>31108.501795647651</v>
      </c>
      <c r="BI160">
        <f t="shared" si="118"/>
        <v>30497.824189169089</v>
      </c>
      <c r="BJ160">
        <f t="shared" si="119"/>
        <v>29988.443419594474</v>
      </c>
      <c r="BK160">
        <f t="shared" si="120"/>
        <v>29614.702508495062</v>
      </c>
      <c r="BL160">
        <f t="shared" si="121"/>
        <v>29420.54767676632</v>
      </c>
      <c r="BM160">
        <f t="shared" si="122"/>
        <v>29461.899831425908</v>
      </c>
      <c r="BO160" s="2">
        <v>33886.06</v>
      </c>
      <c r="BP160" s="2">
        <v>32651.96</v>
      </c>
      <c r="BQ160" s="2">
        <v>31384.05</v>
      </c>
      <c r="BR160" s="2">
        <v>30058.639999999999</v>
      </c>
      <c r="BS160" s="2">
        <v>28647.5</v>
      </c>
      <c r="BT160" s="2">
        <v>27115.68</v>
      </c>
      <c r="BU160" s="2">
        <v>25417.69</v>
      </c>
      <c r="BV160" s="2">
        <v>23490.46</v>
      </c>
      <c r="BW160" s="2">
        <v>21238.73</v>
      </c>
      <c r="BY160">
        <f t="shared" si="123"/>
        <v>0.88136005773189585</v>
      </c>
    </row>
    <row r="161" spans="1:77" x14ac:dyDescent="0.3">
      <c r="A161" s="1" t="s">
        <v>455</v>
      </c>
      <c r="B161" s="2">
        <v>283.83999999999997</v>
      </c>
      <c r="C161" s="2">
        <v>622</v>
      </c>
      <c r="E161">
        <v>283.83999999999997</v>
      </c>
      <c r="F161">
        <v>321.41329999999999</v>
      </c>
      <c r="G161">
        <v>358.98669999999998</v>
      </c>
      <c r="H161">
        <v>396.56</v>
      </c>
      <c r="I161">
        <v>434.13330000000002</v>
      </c>
      <c r="J161">
        <v>471.70670000000001</v>
      </c>
      <c r="K161">
        <v>509.28</v>
      </c>
      <c r="L161">
        <v>546.85329999999999</v>
      </c>
      <c r="M161">
        <v>584.42669999999998</v>
      </c>
      <c r="N161">
        <v>622</v>
      </c>
      <c r="O161">
        <v>99.958290000000005</v>
      </c>
      <c r="P161">
        <v>942.60239999999999</v>
      </c>
      <c r="Q161">
        <v>5418.82</v>
      </c>
      <c r="R161">
        <v>21573.7</v>
      </c>
      <c r="S161">
        <v>65014.720000000001</v>
      </c>
      <c r="T161">
        <v>158345</v>
      </c>
      <c r="U161">
        <v>327845</v>
      </c>
      <c r="V161">
        <v>601151</v>
      </c>
      <c r="W161">
        <v>1010960</v>
      </c>
      <c r="X161">
        <v>1610650</v>
      </c>
      <c r="AA161">
        <f t="shared" si="84"/>
        <v>3.523111612175874E-3</v>
      </c>
      <c r="AB161">
        <f t="shared" si="85"/>
        <v>3.1112589304798524E-3</v>
      </c>
      <c r="AC161">
        <f t="shared" si="86"/>
        <v>2.785618520129019E-3</v>
      </c>
      <c r="AD161">
        <f t="shared" si="87"/>
        <v>2.5216865039338308E-3</v>
      </c>
      <c r="AE161">
        <f t="shared" si="88"/>
        <v>2.303439980300981E-3</v>
      </c>
      <c r="AF161">
        <f t="shared" si="89"/>
        <v>2.1199614082225249E-3</v>
      </c>
      <c r="AG161">
        <f t="shared" si="90"/>
        <v>1.9635563933396169E-3</v>
      </c>
      <c r="AH161">
        <f t="shared" si="91"/>
        <v>1.8286439891649186E-3</v>
      </c>
      <c r="AI161">
        <f t="shared" si="92"/>
        <v>1.7110785663967782E-3</v>
      </c>
      <c r="AJ161">
        <f t="shared" si="93"/>
        <v>1.6077170418006431E-3</v>
      </c>
      <c r="AK161">
        <f t="shared" si="94"/>
        <v>4.6047529989776912</v>
      </c>
      <c r="AL161">
        <f t="shared" si="95"/>
        <v>6.8486445606353383</v>
      </c>
      <c r="AM161">
        <f t="shared" si="96"/>
        <v>8.5976333585538338</v>
      </c>
      <c r="AN161">
        <f t="shared" si="97"/>
        <v>9.9792302592115458</v>
      </c>
      <c r="AO161">
        <f t="shared" si="98"/>
        <v>11.082368984777693</v>
      </c>
      <c r="AP161">
        <f t="shared" si="99"/>
        <v>11.972531475844647</v>
      </c>
      <c r="AQ161">
        <f t="shared" si="100"/>
        <v>12.700296214698545</v>
      </c>
      <c r="AR161">
        <f t="shared" si="101"/>
        <v>13.306601429880004</v>
      </c>
      <c r="AS161">
        <f t="shared" si="102"/>
        <v>13.826410932432562</v>
      </c>
      <c r="AT161">
        <f t="shared" si="103"/>
        <v>14.292148382193021</v>
      </c>
      <c r="AU161">
        <f t="shared" si="104"/>
        <v>0.99857963288698603</v>
      </c>
      <c r="AV161">
        <f t="shared" si="105"/>
        <v>5448.286878738375</v>
      </c>
      <c r="AW161">
        <f t="shared" si="106"/>
        <v>5370.9206300108654</v>
      </c>
      <c r="AX161">
        <f t="shared" si="107"/>
        <v>5234.6695962643907</v>
      </c>
      <c r="AY161">
        <f t="shared" si="108"/>
        <v>5054.5534801824715</v>
      </c>
      <c r="AZ161">
        <f t="shared" si="109"/>
        <v>4851.5882862131566</v>
      </c>
      <c r="BA161">
        <f t="shared" si="110"/>
        <v>4653.0780320486292</v>
      </c>
      <c r="BB161">
        <f t="shared" si="111"/>
        <v>4494.0657524444778</v>
      </c>
      <c r="BC161">
        <f t="shared" si="112"/>
        <v>4421.4488436597003</v>
      </c>
      <c r="BD161">
        <f t="shared" si="113"/>
        <v>4505.9073149340293</v>
      </c>
      <c r="BE161">
        <f t="shared" si="114"/>
        <v>45297.05710983085</v>
      </c>
      <c r="BF161">
        <f t="shared" si="115"/>
        <v>44653.834117910337</v>
      </c>
      <c r="BG161">
        <f t="shared" si="116"/>
        <v>43521.043023342143</v>
      </c>
      <c r="BH161">
        <f t="shared" si="117"/>
        <v>42023.55763423707</v>
      </c>
      <c r="BI161">
        <f t="shared" si="118"/>
        <v>40336.105011576183</v>
      </c>
      <c r="BJ161">
        <f t="shared" si="119"/>
        <v>38685.690758452307</v>
      </c>
      <c r="BK161">
        <f t="shared" si="120"/>
        <v>37363.662665823387</v>
      </c>
      <c r="BL161">
        <f t="shared" si="121"/>
        <v>36759.925686186747</v>
      </c>
      <c r="BM161">
        <f t="shared" si="122"/>
        <v>37462.113416361521</v>
      </c>
      <c r="BO161" s="2">
        <v>45566.28</v>
      </c>
      <c r="BP161" s="2">
        <v>45047.18</v>
      </c>
      <c r="BQ161" s="2">
        <v>43809.56</v>
      </c>
      <c r="BR161" s="2">
        <v>41942.370000000003</v>
      </c>
      <c r="BS161" s="2">
        <v>39554.050000000003</v>
      </c>
      <c r="BT161" s="2">
        <v>36760.06</v>
      </c>
      <c r="BU161" s="2">
        <v>33669.199999999997</v>
      </c>
      <c r="BV161" s="2">
        <v>30366.81</v>
      </c>
      <c r="BW161" s="2">
        <v>26886.87</v>
      </c>
      <c r="BY161">
        <f t="shared" si="123"/>
        <v>0.87849354841700189</v>
      </c>
    </row>
    <row r="162" spans="1:77" x14ac:dyDescent="0.3">
      <c r="A162" s="1" t="s">
        <v>458</v>
      </c>
      <c r="B162" s="2">
        <v>283.5</v>
      </c>
      <c r="C162" s="2">
        <v>649</v>
      </c>
      <c r="E162">
        <v>283.5</v>
      </c>
      <c r="F162">
        <v>324.11110000000002</v>
      </c>
      <c r="G162">
        <v>364.72219999999999</v>
      </c>
      <c r="H162">
        <v>405.33330000000001</v>
      </c>
      <c r="I162">
        <v>445.94439999999997</v>
      </c>
      <c r="J162">
        <v>486.55560000000003</v>
      </c>
      <c r="K162">
        <v>527.16669999999999</v>
      </c>
      <c r="L162">
        <v>567.77779999999996</v>
      </c>
      <c r="M162">
        <v>608.38890000000004</v>
      </c>
      <c r="N162">
        <v>649</v>
      </c>
      <c r="O162">
        <v>26.5044</v>
      </c>
      <c r="P162">
        <v>412.51299999999998</v>
      </c>
      <c r="Q162">
        <v>3122.0210000000002</v>
      </c>
      <c r="R162">
        <v>14601.88</v>
      </c>
      <c r="S162">
        <v>48969.47</v>
      </c>
      <c r="T162">
        <v>129638</v>
      </c>
      <c r="U162">
        <v>288900</v>
      </c>
      <c r="V162">
        <v>566515</v>
      </c>
      <c r="W162">
        <v>1008850</v>
      </c>
      <c r="X162">
        <v>1670390</v>
      </c>
      <c r="AA162">
        <f t="shared" si="84"/>
        <v>3.5273368606701938E-3</v>
      </c>
      <c r="AB162">
        <f t="shared" si="85"/>
        <v>3.0853617787234065E-3</v>
      </c>
      <c r="AC162">
        <f t="shared" si="86"/>
        <v>2.7418128098591205E-3</v>
      </c>
      <c r="AD162">
        <f t="shared" si="87"/>
        <v>2.4671054660448575E-3</v>
      </c>
      <c r="AE162">
        <f t="shared" si="88"/>
        <v>2.2424320161885652E-3</v>
      </c>
      <c r="AF162">
        <f t="shared" si="89"/>
        <v>2.0552635711108863E-3</v>
      </c>
      <c r="AG162">
        <f t="shared" si="90"/>
        <v>1.8969331712340707E-3</v>
      </c>
      <c r="AH162">
        <f t="shared" si="91"/>
        <v>1.7612523772503963E-3</v>
      </c>
      <c r="AI162">
        <f t="shared" si="92"/>
        <v>1.6436854781538585E-3</v>
      </c>
      <c r="AJ162">
        <f t="shared" si="93"/>
        <v>1.5408320493066256E-3</v>
      </c>
      <c r="AK162">
        <f t="shared" si="94"/>
        <v>3.2773107569452864</v>
      </c>
      <c r="AL162">
        <f t="shared" si="95"/>
        <v>6.0222677204296584</v>
      </c>
      <c r="AM162">
        <f t="shared" si="96"/>
        <v>8.046235827510154</v>
      </c>
      <c r="AN162">
        <f t="shared" si="97"/>
        <v>9.5889055665299416</v>
      </c>
      <c r="AO162">
        <f t="shared" si="98"/>
        <v>10.798952321684967</v>
      </c>
      <c r="AP162">
        <f t="shared" si="99"/>
        <v>11.772501229799239</v>
      </c>
      <c r="AQ162">
        <f t="shared" si="100"/>
        <v>12.573835886454326</v>
      </c>
      <c r="AR162">
        <f t="shared" si="101"/>
        <v>13.247258837475645</v>
      </c>
      <c r="AS162">
        <f t="shared" si="102"/>
        <v>13.824321626242824</v>
      </c>
      <c r="AT162">
        <f t="shared" si="103"/>
        <v>14.328567690062499</v>
      </c>
      <c r="AU162">
        <f t="shared" si="104"/>
        <v>0.99811221701878838</v>
      </c>
      <c r="AV162">
        <f t="shared" si="105"/>
        <v>6210.6600023547435</v>
      </c>
      <c r="AW162">
        <f t="shared" si="106"/>
        <v>5891.3525887485175</v>
      </c>
      <c r="AX162">
        <f t="shared" si="107"/>
        <v>5615.6843774181298</v>
      </c>
      <c r="AY162">
        <f t="shared" si="108"/>
        <v>5385.8021761316522</v>
      </c>
      <c r="AZ162">
        <f t="shared" si="109"/>
        <v>5201.4585455910037</v>
      </c>
      <c r="BA162">
        <f t="shared" si="110"/>
        <v>5061.1547578894615</v>
      </c>
      <c r="BB162">
        <f t="shared" si="111"/>
        <v>4963.2886958366989</v>
      </c>
      <c r="BC162">
        <f t="shared" si="112"/>
        <v>4908.378065609566</v>
      </c>
      <c r="BD162">
        <f t="shared" si="113"/>
        <v>4902.5693112149575</v>
      </c>
      <c r="BE162">
        <f t="shared" si="114"/>
        <v>51635.427259577336</v>
      </c>
      <c r="BF162">
        <f t="shared" si="115"/>
        <v>48980.705422855171</v>
      </c>
      <c r="BG162">
        <f t="shared" si="116"/>
        <v>46688.799913854331</v>
      </c>
      <c r="BH162">
        <f t="shared" si="117"/>
        <v>44777.559292358557</v>
      </c>
      <c r="BI162">
        <f t="shared" si="118"/>
        <v>43244.926348043606</v>
      </c>
      <c r="BJ162">
        <f t="shared" si="119"/>
        <v>42078.440657092986</v>
      </c>
      <c r="BK162">
        <f t="shared" si="120"/>
        <v>41264.782217186315</v>
      </c>
      <c r="BL162">
        <f t="shared" si="121"/>
        <v>40808.255237477933</v>
      </c>
      <c r="BM162">
        <f t="shared" si="122"/>
        <v>40759.961253441157</v>
      </c>
      <c r="BO162" s="2">
        <v>52738.15</v>
      </c>
      <c r="BP162" s="2">
        <v>50180.2</v>
      </c>
      <c r="BQ162" s="2">
        <v>47663.15</v>
      </c>
      <c r="BR162" s="2">
        <v>45142.36</v>
      </c>
      <c r="BS162" s="2">
        <v>42563.49</v>
      </c>
      <c r="BT162" s="2">
        <v>39855.74</v>
      </c>
      <c r="BU162" s="2">
        <v>36919.25</v>
      </c>
      <c r="BV162" s="2">
        <v>33598.639999999999</v>
      </c>
      <c r="BW162" s="2">
        <v>29616.959999999999</v>
      </c>
      <c r="BY162">
        <f t="shared" si="123"/>
        <v>0.86957446910750724</v>
      </c>
    </row>
    <row r="163" spans="1:77" x14ac:dyDescent="0.3">
      <c r="A163" s="1" t="s">
        <v>461</v>
      </c>
      <c r="B163" s="2">
        <v>251.47</v>
      </c>
      <c r="C163" s="2">
        <v>672</v>
      </c>
      <c r="E163">
        <v>251.47</v>
      </c>
      <c r="F163">
        <v>298.19560000000001</v>
      </c>
      <c r="G163">
        <v>344.92110000000002</v>
      </c>
      <c r="H163">
        <v>391.64670000000001</v>
      </c>
      <c r="I163">
        <v>438.37220000000002</v>
      </c>
      <c r="J163">
        <v>485.09780000000001</v>
      </c>
      <c r="K163">
        <v>531.82330000000002</v>
      </c>
      <c r="L163">
        <v>578.5489</v>
      </c>
      <c r="M163">
        <v>625.27440000000001</v>
      </c>
      <c r="N163">
        <v>672</v>
      </c>
      <c r="O163">
        <v>0.70118780000000003</v>
      </c>
      <c r="P163">
        <v>35.291759999999996</v>
      </c>
      <c r="Q163">
        <v>586.19159999999999</v>
      </c>
      <c r="R163">
        <v>4710.7439999999997</v>
      </c>
      <c r="S163">
        <v>22940.959999999999</v>
      </c>
      <c r="T163">
        <v>78130.63</v>
      </c>
      <c r="U163">
        <v>205077</v>
      </c>
      <c r="V163">
        <v>444826</v>
      </c>
      <c r="W163">
        <v>840746</v>
      </c>
      <c r="X163">
        <v>1446410</v>
      </c>
      <c r="AA163">
        <f t="shared" si="84"/>
        <v>3.9766174891637173E-3</v>
      </c>
      <c r="AB163">
        <f t="shared" si="85"/>
        <v>3.3535035392876352E-3</v>
      </c>
      <c r="AC163">
        <f t="shared" si="86"/>
        <v>2.8992137622198236E-3</v>
      </c>
      <c r="AD163">
        <f t="shared" si="87"/>
        <v>2.5533216544400858E-3</v>
      </c>
      <c r="AE163">
        <f t="shared" si="88"/>
        <v>2.2811665520760666E-3</v>
      </c>
      <c r="AF163">
        <f t="shared" si="89"/>
        <v>2.0614399817933619E-3</v>
      </c>
      <c r="AG163">
        <f t="shared" si="90"/>
        <v>1.8803237842343499E-3</v>
      </c>
      <c r="AH163">
        <f t="shared" si="91"/>
        <v>1.7284623650654248E-3</v>
      </c>
      <c r="AI163">
        <f t="shared" si="92"/>
        <v>1.5992978442744498E-3</v>
      </c>
      <c r="AJ163">
        <f t="shared" si="93"/>
        <v>1.488095238095238E-3</v>
      </c>
      <c r="AK163">
        <f t="shared" si="94"/>
        <v>-0.35497952483142603</v>
      </c>
      <c r="AL163">
        <f t="shared" si="95"/>
        <v>3.563649508928711</v>
      </c>
      <c r="AM163">
        <f t="shared" si="96"/>
        <v>6.3736466985937748</v>
      </c>
      <c r="AN163">
        <f t="shared" si="97"/>
        <v>8.4576011363192531</v>
      </c>
      <c r="AO163">
        <f t="shared" si="98"/>
        <v>10.040679238107659</v>
      </c>
      <c r="AP163">
        <f t="shared" si="99"/>
        <v>11.266137448442217</v>
      </c>
      <c r="AQ163">
        <f t="shared" si="100"/>
        <v>12.231140797352957</v>
      </c>
      <c r="AR163">
        <f t="shared" si="101"/>
        <v>13.005438473447596</v>
      </c>
      <c r="AS163">
        <f t="shared" si="102"/>
        <v>13.642044871934344</v>
      </c>
      <c r="AT163">
        <f t="shared" si="103"/>
        <v>14.184595182312963</v>
      </c>
      <c r="AU163">
        <f t="shared" si="104"/>
        <v>0.99838598176640214</v>
      </c>
      <c r="AV163">
        <f t="shared" si="105"/>
        <v>6288.7839929429119</v>
      </c>
      <c r="AW163">
        <f t="shared" si="106"/>
        <v>6185.4730868082388</v>
      </c>
      <c r="AX163">
        <f t="shared" si="107"/>
        <v>6024.8684224172266</v>
      </c>
      <c r="AY163">
        <f t="shared" si="108"/>
        <v>5816.8231572266104</v>
      </c>
      <c r="AZ163">
        <f t="shared" si="109"/>
        <v>5577.1962797119113</v>
      </c>
      <c r="BA163">
        <f t="shared" si="110"/>
        <v>5328.0897121104736</v>
      </c>
      <c r="BB163">
        <f t="shared" si="111"/>
        <v>5098.7122360112935</v>
      </c>
      <c r="BC163">
        <f t="shared" si="112"/>
        <v>4928.6475464648584</v>
      </c>
      <c r="BD163">
        <f t="shared" si="113"/>
        <v>4878.9352068265061</v>
      </c>
      <c r="BE163">
        <f t="shared" si="114"/>
        <v>52284.950117327367</v>
      </c>
      <c r="BF163">
        <f t="shared" si="115"/>
        <v>51426.023243723699</v>
      </c>
      <c r="BG163">
        <f t="shared" si="116"/>
        <v>50090.75606397682</v>
      </c>
      <c r="BH163">
        <f t="shared" si="117"/>
        <v>48361.067729182039</v>
      </c>
      <c r="BI163">
        <f t="shared" si="118"/>
        <v>46368.809869524834</v>
      </c>
      <c r="BJ163">
        <f t="shared" si="119"/>
        <v>44297.737866486481</v>
      </c>
      <c r="BK163">
        <f t="shared" si="120"/>
        <v>42390.693530197896</v>
      </c>
      <c r="BL163">
        <f t="shared" si="121"/>
        <v>40976.775701308834</v>
      </c>
      <c r="BM163">
        <f t="shared" si="122"/>
        <v>40563.46730955557</v>
      </c>
      <c r="BO163" s="2">
        <v>60623.41</v>
      </c>
      <c r="BP163" s="2">
        <v>56989.68</v>
      </c>
      <c r="BQ163" s="2">
        <v>53381.48</v>
      </c>
      <c r="BR163" s="2">
        <v>49912.02</v>
      </c>
      <c r="BS163" s="2">
        <v>46676.6</v>
      </c>
      <c r="BT163" s="2">
        <v>43751.18</v>
      </c>
      <c r="BU163" s="2">
        <v>41186.25</v>
      </c>
      <c r="BV163" s="2">
        <v>38977.29</v>
      </c>
      <c r="BW163" s="2">
        <v>36908.959999999999</v>
      </c>
      <c r="BY163">
        <f t="shared" si="123"/>
        <v>0.98027534206284428</v>
      </c>
    </row>
    <row r="164" spans="1:77" x14ac:dyDescent="0.3">
      <c r="A164" s="1" t="s">
        <v>464</v>
      </c>
      <c r="B164" s="2">
        <v>333.99</v>
      </c>
      <c r="C164" s="2">
        <v>695</v>
      </c>
      <c r="E164">
        <v>333.99</v>
      </c>
      <c r="F164">
        <v>374.10219999999998</v>
      </c>
      <c r="G164">
        <v>414.21440000000001</v>
      </c>
      <c r="H164">
        <v>454.32670000000002</v>
      </c>
      <c r="I164">
        <v>494.43889999999999</v>
      </c>
      <c r="J164">
        <v>534.55110000000002</v>
      </c>
      <c r="K164">
        <v>574.66330000000005</v>
      </c>
      <c r="L164">
        <v>614.77560000000005</v>
      </c>
      <c r="M164">
        <v>654.88779999999997</v>
      </c>
      <c r="N164">
        <v>695</v>
      </c>
      <c r="O164">
        <v>133.54310000000001</v>
      </c>
      <c r="P164">
        <v>1122.99</v>
      </c>
      <c r="Q164">
        <v>5811.277</v>
      </c>
      <c r="R164">
        <v>21321.33</v>
      </c>
      <c r="S164">
        <v>60928.35</v>
      </c>
      <c r="T164">
        <v>144643</v>
      </c>
      <c r="U164">
        <v>298567</v>
      </c>
      <c r="V164">
        <v>553947</v>
      </c>
      <c r="W164">
        <v>947186</v>
      </c>
      <c r="X164">
        <v>1522610</v>
      </c>
      <c r="AA164">
        <f t="shared" si="84"/>
        <v>2.9941016198089762E-3</v>
      </c>
      <c r="AB164">
        <f t="shared" si="85"/>
        <v>2.6730663439028159E-3</v>
      </c>
      <c r="AC164">
        <f t="shared" si="86"/>
        <v>2.4142086803355944E-3</v>
      </c>
      <c r="AD164">
        <f t="shared" si="87"/>
        <v>2.2010592817899542E-3</v>
      </c>
      <c r="AE164">
        <f t="shared" si="88"/>
        <v>2.0224945893213501E-3</v>
      </c>
      <c r="AF164">
        <f t="shared" si="89"/>
        <v>1.8707285421356349E-3</v>
      </c>
      <c r="AG164">
        <f t="shared" si="90"/>
        <v>1.7401494057476786E-3</v>
      </c>
      <c r="AH164">
        <f t="shared" si="91"/>
        <v>1.6266097743631983E-3</v>
      </c>
      <c r="AI164">
        <f t="shared" si="92"/>
        <v>1.52697912527917E-3</v>
      </c>
      <c r="AJ164">
        <f t="shared" si="93"/>
        <v>1.4388489208633094E-3</v>
      </c>
      <c r="AK164">
        <f t="shared" si="94"/>
        <v>4.8944242721785534</v>
      </c>
      <c r="AL164">
        <f t="shared" si="95"/>
        <v>7.0237500499792942</v>
      </c>
      <c r="AM164">
        <f t="shared" si="96"/>
        <v>8.6675556191544665</v>
      </c>
      <c r="AN164">
        <f t="shared" si="97"/>
        <v>9.9674632590732699</v>
      </c>
      <c r="AO164">
        <f t="shared" si="98"/>
        <v>11.017453862619831</v>
      </c>
      <c r="AP164">
        <f t="shared" si="99"/>
        <v>11.882023916561351</v>
      </c>
      <c r="AQ164">
        <f t="shared" si="100"/>
        <v>12.606749642239793</v>
      </c>
      <c r="AR164">
        <f t="shared" si="101"/>
        <v>13.224824293282921</v>
      </c>
      <c r="AS164">
        <f t="shared" si="102"/>
        <v>13.761250762597241</v>
      </c>
      <c r="AT164">
        <f t="shared" si="103"/>
        <v>14.235936525545805</v>
      </c>
      <c r="AU164">
        <f t="shared" si="104"/>
        <v>0.9985450385211726</v>
      </c>
      <c r="AV164">
        <f t="shared" si="105"/>
        <v>6632.684747152678</v>
      </c>
      <c r="AW164">
        <f t="shared" si="106"/>
        <v>6350.2294910743503</v>
      </c>
      <c r="AX164">
        <f t="shared" si="107"/>
        <v>6098.5752190169251</v>
      </c>
      <c r="AY164">
        <f t="shared" si="108"/>
        <v>5880.1691926368612</v>
      </c>
      <c r="AZ164">
        <f t="shared" si="109"/>
        <v>5696.7290772457891</v>
      </c>
      <c r="BA164">
        <f t="shared" si="110"/>
        <v>5550.0882126012038</v>
      </c>
      <c r="BB164">
        <f t="shared" si="111"/>
        <v>5443.6908373441611</v>
      </c>
      <c r="BC164">
        <f t="shared" si="112"/>
        <v>5384.1511045652042</v>
      </c>
      <c r="BD164">
        <f t="shared" si="113"/>
        <v>5386.1870183423262</v>
      </c>
      <c r="BE164">
        <f t="shared" si="114"/>
        <v>55144.140987827363</v>
      </c>
      <c r="BF164">
        <f t="shared" si="115"/>
        <v>52795.807988792149</v>
      </c>
      <c r="BG164">
        <f t="shared" si="116"/>
        <v>50703.554370906713</v>
      </c>
      <c r="BH164">
        <f t="shared" si="117"/>
        <v>48887.726667582865</v>
      </c>
      <c r="BI164">
        <f t="shared" si="118"/>
        <v>47362.605548221494</v>
      </c>
      <c r="BJ164">
        <f t="shared" si="119"/>
        <v>46143.433399566406</v>
      </c>
      <c r="BK164">
        <f t="shared" si="120"/>
        <v>45258.845621679357</v>
      </c>
      <c r="BL164">
        <f t="shared" si="121"/>
        <v>44763.832283355106</v>
      </c>
      <c r="BM164">
        <f t="shared" si="122"/>
        <v>44780.758870498103</v>
      </c>
      <c r="BO164" s="2">
        <v>55974.52</v>
      </c>
      <c r="BP164" s="2">
        <v>53819.67</v>
      </c>
      <c r="BQ164" s="2">
        <v>51477.07</v>
      </c>
      <c r="BR164" s="2">
        <v>48929.65</v>
      </c>
      <c r="BS164" s="2">
        <v>46150.84</v>
      </c>
      <c r="BT164" s="2">
        <v>43098.62</v>
      </c>
      <c r="BU164" s="2">
        <v>39704.51</v>
      </c>
      <c r="BV164" s="2">
        <v>35849.81</v>
      </c>
      <c r="BW164" s="2">
        <v>31306.43</v>
      </c>
      <c r="BY164">
        <f t="shared" si="123"/>
        <v>0.85444955787183829</v>
      </c>
    </row>
    <row r="165" spans="1:77" x14ac:dyDescent="0.3">
      <c r="A165" s="1" t="s">
        <v>467</v>
      </c>
      <c r="B165" s="2">
        <v>185.3</v>
      </c>
      <c r="C165" s="2">
        <v>600.5</v>
      </c>
      <c r="E165">
        <v>185.3</v>
      </c>
      <c r="F165">
        <v>231.4333</v>
      </c>
      <c r="G165">
        <v>277.56670000000003</v>
      </c>
      <c r="H165">
        <v>323.7</v>
      </c>
      <c r="I165">
        <v>369.83330000000001</v>
      </c>
      <c r="J165">
        <v>415.9667</v>
      </c>
      <c r="K165">
        <v>462.1</v>
      </c>
      <c r="L165">
        <v>508.23329999999999</v>
      </c>
      <c r="M165">
        <v>554.36670000000004</v>
      </c>
      <c r="N165">
        <v>600.5</v>
      </c>
      <c r="O165">
        <v>1.5438600000000001E-4</v>
      </c>
      <c r="P165">
        <v>0.28061839999999999</v>
      </c>
      <c r="Q165">
        <v>30.504740000000002</v>
      </c>
      <c r="R165">
        <v>706.50980000000004</v>
      </c>
      <c r="S165">
        <v>6497.42</v>
      </c>
      <c r="T165">
        <v>33289.69</v>
      </c>
      <c r="U165">
        <v>115921</v>
      </c>
      <c r="V165">
        <v>310466</v>
      </c>
      <c r="W165">
        <v>693195</v>
      </c>
      <c r="X165">
        <v>1362500</v>
      </c>
      <c r="AA165">
        <f t="shared" si="84"/>
        <v>5.3966540744738263E-3</v>
      </c>
      <c r="AB165">
        <f t="shared" si="85"/>
        <v>4.3208993692783193E-3</v>
      </c>
      <c r="AC165">
        <f t="shared" si="86"/>
        <v>3.602737648284178E-3</v>
      </c>
      <c r="AD165">
        <f t="shared" si="87"/>
        <v>3.0892801977139327E-3</v>
      </c>
      <c r="AE165">
        <f t="shared" si="88"/>
        <v>2.7039209286994978E-3</v>
      </c>
      <c r="AF165">
        <f t="shared" si="89"/>
        <v>2.4040385925123333E-3</v>
      </c>
      <c r="AG165">
        <f t="shared" si="90"/>
        <v>2.1640337589266391E-3</v>
      </c>
      <c r="AH165">
        <f t="shared" si="91"/>
        <v>1.9676003126910418E-3</v>
      </c>
      <c r="AI165">
        <f t="shared" si="92"/>
        <v>1.8038601524947295E-3</v>
      </c>
      <c r="AJ165">
        <f t="shared" si="93"/>
        <v>1.6652789342214821E-3</v>
      </c>
      <c r="AK165">
        <f t="shared" si="94"/>
        <v>-8.7760545980598241</v>
      </c>
      <c r="AL165">
        <f t="shared" si="95"/>
        <v>-1.2707595396931504</v>
      </c>
      <c r="AM165">
        <f t="shared" si="96"/>
        <v>3.4178820813745738</v>
      </c>
      <c r="AN165">
        <f t="shared" si="97"/>
        <v>6.5603370732244146</v>
      </c>
      <c r="AO165">
        <f t="shared" si="98"/>
        <v>8.7791604540119899</v>
      </c>
      <c r="AP165">
        <f t="shared" si="99"/>
        <v>10.413003018419975</v>
      </c>
      <c r="AQ165">
        <f t="shared" si="100"/>
        <v>11.660664203596417</v>
      </c>
      <c r="AR165">
        <f t="shared" si="101"/>
        <v>12.645829673554866</v>
      </c>
      <c r="AS165">
        <f t="shared" si="102"/>
        <v>13.449066623872012</v>
      </c>
      <c r="AT165">
        <f t="shared" si="103"/>
        <v>14.124831805519536</v>
      </c>
      <c r="AU165">
        <f t="shared" si="104"/>
        <v>0.99611650622966674</v>
      </c>
      <c r="AV165">
        <f t="shared" si="105"/>
        <v>6976.7717697341286</v>
      </c>
      <c r="AW165">
        <f t="shared" si="106"/>
        <v>6528.6710277140673</v>
      </c>
      <c r="AX165">
        <f t="shared" si="107"/>
        <v>6120.1857882475615</v>
      </c>
      <c r="AY165">
        <f t="shared" si="108"/>
        <v>5757.8046233642353</v>
      </c>
      <c r="AZ165">
        <f t="shared" si="109"/>
        <v>5448.2787655364291</v>
      </c>
      <c r="BA165">
        <f t="shared" si="110"/>
        <v>5198.4835744191878</v>
      </c>
      <c r="BB165">
        <f t="shared" si="111"/>
        <v>5015.2633822697735</v>
      </c>
      <c r="BC165">
        <f t="shared" si="112"/>
        <v>4905.5585957295052</v>
      </c>
      <c r="BD165">
        <f t="shared" si="113"/>
        <v>4876.3114516361411</v>
      </c>
      <c r="BE165">
        <f t="shared" si="114"/>
        <v>58004.880493569544</v>
      </c>
      <c r="BF165">
        <f t="shared" si="115"/>
        <v>54279.370924414754</v>
      </c>
      <c r="BG165">
        <f t="shared" si="116"/>
        <v>50883.224643490226</v>
      </c>
      <c r="BH165">
        <f t="shared" si="117"/>
        <v>47870.387638650252</v>
      </c>
      <c r="BI165">
        <f t="shared" si="118"/>
        <v>45296.989656669874</v>
      </c>
      <c r="BJ165">
        <f t="shared" si="119"/>
        <v>43220.192437721125</v>
      </c>
      <c r="BK165">
        <f t="shared" si="120"/>
        <v>41696.8997601909</v>
      </c>
      <c r="BL165">
        <f t="shared" si="121"/>
        <v>40784.814164895106</v>
      </c>
      <c r="BM165">
        <f t="shared" si="122"/>
        <v>40541.653408902879</v>
      </c>
      <c r="BO165" s="2">
        <v>59471.49</v>
      </c>
      <c r="BP165" s="2">
        <v>55695.98</v>
      </c>
      <c r="BQ165" s="2">
        <v>52284.1</v>
      </c>
      <c r="BR165" s="2">
        <v>49122.22</v>
      </c>
      <c r="BS165" s="2">
        <v>46092.84</v>
      </c>
      <c r="BT165" s="2">
        <v>43063.040000000001</v>
      </c>
      <c r="BU165" s="2">
        <v>39865.54</v>
      </c>
      <c r="BV165" s="2">
        <v>36260.9</v>
      </c>
      <c r="BW165" s="2">
        <v>31844.03</v>
      </c>
      <c r="BY165">
        <f t="shared" si="123"/>
        <v>0.92660068975172916</v>
      </c>
    </row>
    <row r="166" spans="1:77" x14ac:dyDescent="0.3">
      <c r="A166" s="1" t="s">
        <v>470</v>
      </c>
      <c r="B166" s="2">
        <v>198.15</v>
      </c>
      <c r="C166" s="2">
        <v>619.9</v>
      </c>
      <c r="E166">
        <v>198.15</v>
      </c>
      <c r="F166">
        <v>245.0111</v>
      </c>
      <c r="G166">
        <v>291.87220000000002</v>
      </c>
      <c r="H166">
        <v>338.73329999999999</v>
      </c>
      <c r="I166">
        <v>385.59440000000001</v>
      </c>
      <c r="J166">
        <v>432.4556</v>
      </c>
      <c r="K166">
        <v>479.31670000000003</v>
      </c>
      <c r="L166">
        <v>526.17780000000005</v>
      </c>
      <c r="M166">
        <v>573.03890000000001</v>
      </c>
      <c r="N166">
        <v>619.9</v>
      </c>
      <c r="O166">
        <v>1.9444199999999999E-4</v>
      </c>
      <c r="P166">
        <v>0.26533649999999998</v>
      </c>
      <c r="Q166">
        <v>26.904229999999998</v>
      </c>
      <c r="R166">
        <v>621.81179999999995</v>
      </c>
      <c r="S166">
        <v>5781.4639999999999</v>
      </c>
      <c r="T166">
        <v>29748.81</v>
      </c>
      <c r="U166">
        <v>102878</v>
      </c>
      <c r="V166">
        <v>271561</v>
      </c>
      <c r="W166">
        <v>598430</v>
      </c>
      <c r="X166">
        <v>1178520</v>
      </c>
      <c r="AA166">
        <f t="shared" si="84"/>
        <v>5.0466818067120868E-3</v>
      </c>
      <c r="AB166">
        <f t="shared" si="85"/>
        <v>4.0814477384902154E-3</v>
      </c>
      <c r="AC166">
        <f t="shared" si="86"/>
        <v>3.4261570646330823E-3</v>
      </c>
      <c r="AD166">
        <f t="shared" si="87"/>
        <v>2.9521750592575338E-3</v>
      </c>
      <c r="AE166">
        <f t="shared" si="88"/>
        <v>2.5933986593166289E-3</v>
      </c>
      <c r="AF166">
        <f t="shared" si="89"/>
        <v>2.3123761144496682E-3</v>
      </c>
      <c r="AG166">
        <f t="shared" si="90"/>
        <v>2.0863032729717115E-3</v>
      </c>
      <c r="AH166">
        <f t="shared" si="91"/>
        <v>1.9004982726371197E-3</v>
      </c>
      <c r="AI166">
        <f t="shared" si="92"/>
        <v>1.7450822274020141E-3</v>
      </c>
      <c r="AJ166">
        <f t="shared" si="93"/>
        <v>1.6131634134537829E-3</v>
      </c>
      <c r="AK166">
        <f t="shared" si="94"/>
        <v>-8.5453766398905255</v>
      </c>
      <c r="AL166">
        <f t="shared" si="95"/>
        <v>-1.3267564472037146</v>
      </c>
      <c r="AM166">
        <f t="shared" si="96"/>
        <v>3.2922835233160863</v>
      </c>
      <c r="AN166">
        <f t="shared" si="97"/>
        <v>6.432637474607664</v>
      </c>
      <c r="AO166">
        <f t="shared" si="98"/>
        <v>8.6624122167918678</v>
      </c>
      <c r="AP166">
        <f t="shared" si="99"/>
        <v>10.300544410173755</v>
      </c>
      <c r="AQ166">
        <f t="shared" si="100"/>
        <v>11.541299099158067</v>
      </c>
      <c r="AR166">
        <f t="shared" si="101"/>
        <v>12.511942070836259</v>
      </c>
      <c r="AS166">
        <f t="shared" si="102"/>
        <v>13.302064838075593</v>
      </c>
      <c r="AT166">
        <f t="shared" si="103"/>
        <v>13.97976997193982</v>
      </c>
      <c r="AU166">
        <f t="shared" si="104"/>
        <v>0.99565171038435629</v>
      </c>
      <c r="AV166">
        <f t="shared" si="105"/>
        <v>7478.6214353009327</v>
      </c>
      <c r="AW166">
        <f t="shared" si="106"/>
        <v>7048.8413078298254</v>
      </c>
      <c r="AX166">
        <f t="shared" si="107"/>
        <v>6625.4708315422058</v>
      </c>
      <c r="AY166">
        <f t="shared" si="108"/>
        <v>6214.9426287556153</v>
      </c>
      <c r="AZ166">
        <f t="shared" si="109"/>
        <v>5829.1842533751078</v>
      </c>
      <c r="BA166">
        <f t="shared" si="110"/>
        <v>5488.2960769318788</v>
      </c>
      <c r="BB166">
        <f t="shared" si="111"/>
        <v>5223.9873519565599</v>
      </c>
      <c r="BC166">
        <f t="shared" si="112"/>
        <v>5083.9201708168248</v>
      </c>
      <c r="BD166">
        <f t="shared" si="113"/>
        <v>5137.289470554053</v>
      </c>
      <c r="BE166">
        <f t="shared" si="114"/>
        <v>62177.258613091952</v>
      </c>
      <c r="BF166">
        <f t="shared" si="115"/>
        <v>58604.066633297167</v>
      </c>
      <c r="BG166">
        <f t="shared" si="116"/>
        <v>55084.164493441902</v>
      </c>
      <c r="BH166">
        <f t="shared" si="117"/>
        <v>51671.033015474182</v>
      </c>
      <c r="BI166">
        <f t="shared" si="118"/>
        <v>48463.837882560649</v>
      </c>
      <c r="BJ166">
        <f t="shared" si="119"/>
        <v>45629.693583611639</v>
      </c>
      <c r="BK166">
        <f t="shared" si="120"/>
        <v>43432.230844166843</v>
      </c>
      <c r="BL166">
        <f t="shared" si="121"/>
        <v>42267.712300171079</v>
      </c>
      <c r="BM166">
        <f t="shared" si="122"/>
        <v>42711.424658186399</v>
      </c>
      <c r="BO166" s="2">
        <v>59461.04</v>
      </c>
      <c r="BP166" s="2">
        <v>58291.92</v>
      </c>
      <c r="BQ166" s="2">
        <v>56141.73</v>
      </c>
      <c r="BR166" s="2">
        <v>53209.3</v>
      </c>
      <c r="BS166" s="2">
        <v>49712.32</v>
      </c>
      <c r="BT166" s="2">
        <v>45862.71</v>
      </c>
      <c r="BU166" s="2">
        <v>41842.79</v>
      </c>
      <c r="BV166" s="2">
        <v>37776.97</v>
      </c>
      <c r="BW166" s="2">
        <v>33674.44</v>
      </c>
      <c r="BY166">
        <f t="shared" si="123"/>
        <v>0.88323659608064475</v>
      </c>
    </row>
    <row r="167" spans="1:77" x14ac:dyDescent="0.3">
      <c r="A167" s="1" t="s">
        <v>473</v>
      </c>
      <c r="B167" s="2">
        <v>212</v>
      </c>
      <c r="C167" s="2">
        <v>638</v>
      </c>
      <c r="E167">
        <v>212</v>
      </c>
      <c r="F167">
        <v>259.33330000000001</v>
      </c>
      <c r="G167">
        <v>306.66669999999999</v>
      </c>
      <c r="H167">
        <v>354</v>
      </c>
      <c r="I167">
        <v>401.33330000000001</v>
      </c>
      <c r="J167">
        <v>448.66669999999999</v>
      </c>
      <c r="K167">
        <v>496</v>
      </c>
      <c r="L167">
        <v>543.33330000000001</v>
      </c>
      <c r="M167">
        <v>590.66669999999999</v>
      </c>
      <c r="N167">
        <v>638</v>
      </c>
      <c r="O167">
        <v>4.0028900000000002E-4</v>
      </c>
      <c r="P167">
        <v>0.34603089999999997</v>
      </c>
      <c r="Q167">
        <v>28.595289999999999</v>
      </c>
      <c r="R167">
        <v>601.51890000000003</v>
      </c>
      <c r="S167">
        <v>5366.9880000000003</v>
      </c>
      <c r="T167">
        <v>27215.41</v>
      </c>
      <c r="U167">
        <v>93992.84</v>
      </c>
      <c r="V167">
        <v>249238</v>
      </c>
      <c r="W167">
        <v>552388</v>
      </c>
      <c r="X167">
        <v>1091560</v>
      </c>
      <c r="AA167">
        <f t="shared" si="84"/>
        <v>4.7169811320754715E-3</v>
      </c>
      <c r="AB167">
        <f t="shared" si="85"/>
        <v>3.8560416267405689E-3</v>
      </c>
      <c r="AC167">
        <f t="shared" si="86"/>
        <v>3.2608692107750858E-3</v>
      </c>
      <c r="AD167">
        <f t="shared" si="87"/>
        <v>2.8248587570621469E-3</v>
      </c>
      <c r="AE167">
        <f t="shared" si="88"/>
        <v>2.4916945591108436E-3</v>
      </c>
      <c r="AF167">
        <f t="shared" si="89"/>
        <v>2.2288259859713235E-3</v>
      </c>
      <c r="AG167">
        <f t="shared" si="90"/>
        <v>2.0161290322580645E-3</v>
      </c>
      <c r="AH167">
        <f t="shared" si="91"/>
        <v>1.8404909104595651E-3</v>
      </c>
      <c r="AI167">
        <f t="shared" si="92"/>
        <v>1.6930021617944605E-3</v>
      </c>
      <c r="AJ167">
        <f t="shared" si="93"/>
        <v>1.567398119122257E-3</v>
      </c>
      <c r="AK167">
        <f t="shared" si="94"/>
        <v>-7.8233237717337687</v>
      </c>
      <c r="AL167">
        <f t="shared" si="95"/>
        <v>-1.0612272015536068</v>
      </c>
      <c r="AM167">
        <f t="shared" si="96"/>
        <v>3.3532420189490062</v>
      </c>
      <c r="AN167">
        <f t="shared" si="97"/>
        <v>6.3994579563674741</v>
      </c>
      <c r="AO167">
        <f t="shared" si="98"/>
        <v>8.5880221362883589</v>
      </c>
      <c r="AP167">
        <f t="shared" si="99"/>
        <v>10.211538635976206</v>
      </c>
      <c r="AQ167">
        <f t="shared" si="100"/>
        <v>11.450973888138277</v>
      </c>
      <c r="AR167">
        <f t="shared" si="101"/>
        <v>12.426163542231805</v>
      </c>
      <c r="AS167">
        <f t="shared" si="102"/>
        <v>13.222005976892468</v>
      </c>
      <c r="AT167">
        <f t="shared" si="103"/>
        <v>13.90311842368579</v>
      </c>
      <c r="AU167">
        <f t="shared" si="104"/>
        <v>0.99586785814056178</v>
      </c>
      <c r="AV167">
        <f t="shared" si="105"/>
        <v>7854.322549120021</v>
      </c>
      <c r="AW167">
        <f t="shared" si="106"/>
        <v>7417.1267049423022</v>
      </c>
      <c r="AX167">
        <f t="shared" si="107"/>
        <v>6986.5662886698583</v>
      </c>
      <c r="AY167">
        <f t="shared" si="108"/>
        <v>6569.0257037785759</v>
      </c>
      <c r="AZ167">
        <f t="shared" si="109"/>
        <v>6176.1528976160644</v>
      </c>
      <c r="BA167">
        <f t="shared" si="110"/>
        <v>5827.2355599082921</v>
      </c>
      <c r="BB167">
        <f t="shared" si="111"/>
        <v>5552.2664675970154</v>
      </c>
      <c r="BC167">
        <f t="shared" si="112"/>
        <v>5395.9535345149843</v>
      </c>
      <c r="BD167">
        <f t="shared" si="113"/>
        <v>5422.6952596650226</v>
      </c>
      <c r="BE167">
        <f t="shared" si="114"/>
        <v>65300.837673383852</v>
      </c>
      <c r="BF167">
        <f t="shared" si="115"/>
        <v>61665.991424890301</v>
      </c>
      <c r="BG167">
        <f t="shared" si="116"/>
        <v>58086.312124001204</v>
      </c>
      <c r="BH167">
        <f t="shared" si="117"/>
        <v>54614.879701215083</v>
      </c>
      <c r="BI167">
        <f t="shared" si="118"/>
        <v>51348.535190779956</v>
      </c>
      <c r="BJ167">
        <f t="shared" si="119"/>
        <v>48447.636445077544</v>
      </c>
      <c r="BK167">
        <f t="shared" si="120"/>
        <v>46161.543411601589</v>
      </c>
      <c r="BL167">
        <f t="shared" si="121"/>
        <v>44861.957685957583</v>
      </c>
      <c r="BM167">
        <f t="shared" si="122"/>
        <v>45084.288388854999</v>
      </c>
      <c r="BO167" s="2">
        <v>66286.759999999995</v>
      </c>
      <c r="BP167" s="2">
        <v>63193.26</v>
      </c>
      <c r="BQ167" s="2">
        <v>59818.66</v>
      </c>
      <c r="BR167" s="2">
        <v>56226.22</v>
      </c>
      <c r="BS167" s="2">
        <v>52465.59</v>
      </c>
      <c r="BT167" s="2">
        <v>48564.15</v>
      </c>
      <c r="BU167" s="2">
        <v>44511.78</v>
      </c>
      <c r="BV167" s="2">
        <v>40227.300000000003</v>
      </c>
      <c r="BW167" s="2">
        <v>35466.870000000003</v>
      </c>
      <c r="BY167">
        <f t="shared" si="123"/>
        <v>0.92893196834026726</v>
      </c>
    </row>
    <row r="168" spans="1:77" x14ac:dyDescent="0.3">
      <c r="A168" s="1" t="s">
        <v>476</v>
      </c>
      <c r="B168" s="2">
        <v>225.15</v>
      </c>
      <c r="C168" s="2">
        <v>654</v>
      </c>
      <c r="E168">
        <v>225.15</v>
      </c>
      <c r="F168">
        <v>272.8</v>
      </c>
      <c r="G168">
        <v>320.45</v>
      </c>
      <c r="H168">
        <v>368.1</v>
      </c>
      <c r="I168">
        <v>415.75</v>
      </c>
      <c r="J168">
        <v>463.4</v>
      </c>
      <c r="K168">
        <v>511.05</v>
      </c>
      <c r="L168">
        <v>558.70000000000005</v>
      </c>
      <c r="M168">
        <v>606.35</v>
      </c>
      <c r="N168">
        <v>654</v>
      </c>
      <c r="O168">
        <v>5.4383899999999995E-4</v>
      </c>
      <c r="P168">
        <v>0.39024959999999997</v>
      </c>
      <c r="Q168">
        <v>29.570160000000001</v>
      </c>
      <c r="R168">
        <v>590.73969999999997</v>
      </c>
      <c r="S168">
        <v>5073.7910000000002</v>
      </c>
      <c r="T168">
        <v>24934.9</v>
      </c>
      <c r="U168">
        <v>83959.14</v>
      </c>
      <c r="V168">
        <v>218794</v>
      </c>
      <c r="W168">
        <v>482170</v>
      </c>
      <c r="X168">
        <v>963416</v>
      </c>
      <c r="AA168">
        <f t="shared" si="84"/>
        <v>4.4414834554741284E-3</v>
      </c>
      <c r="AB168">
        <f t="shared" si="85"/>
        <v>3.6656891495601171E-3</v>
      </c>
      <c r="AC168">
        <f t="shared" si="86"/>
        <v>3.1206116398814171E-3</v>
      </c>
      <c r="AD168">
        <f t="shared" si="87"/>
        <v>2.7166530834012493E-3</v>
      </c>
      <c r="AE168">
        <f t="shared" si="88"/>
        <v>2.4052916416115455E-3</v>
      </c>
      <c r="AF168">
        <f t="shared" si="89"/>
        <v>2.1579628830384117E-3</v>
      </c>
      <c r="AG168">
        <f t="shared" si="90"/>
        <v>1.9567556990509735E-3</v>
      </c>
      <c r="AH168">
        <f t="shared" si="91"/>
        <v>1.7898693395382137E-3</v>
      </c>
      <c r="AI168">
        <f t="shared" si="92"/>
        <v>1.6492125010307578E-3</v>
      </c>
      <c r="AJ168">
        <f t="shared" si="93"/>
        <v>1.5290519877675841E-3</v>
      </c>
      <c r="AK168">
        <f t="shared" si="94"/>
        <v>-7.5168573107942693</v>
      </c>
      <c r="AL168">
        <f t="shared" si="95"/>
        <v>-0.94096874457110558</v>
      </c>
      <c r="AM168">
        <f t="shared" si="96"/>
        <v>3.3867657447391619</v>
      </c>
      <c r="AN168">
        <f t="shared" si="97"/>
        <v>6.3813754804516236</v>
      </c>
      <c r="AO168">
        <f t="shared" si="98"/>
        <v>8.5318435489285385</v>
      </c>
      <c r="AP168">
        <f t="shared" si="99"/>
        <v>10.124023707545071</v>
      </c>
      <c r="AQ168">
        <f t="shared" si="100"/>
        <v>11.338085530909266</v>
      </c>
      <c r="AR168">
        <f t="shared" si="101"/>
        <v>12.295885926850492</v>
      </c>
      <c r="AS168">
        <f t="shared" si="102"/>
        <v>13.086052027945174</v>
      </c>
      <c r="AT168">
        <f t="shared" si="103"/>
        <v>13.778240580887557</v>
      </c>
      <c r="AU168">
        <f t="shared" si="104"/>
        <v>0.99479015209752142</v>
      </c>
      <c r="AV168">
        <f t="shared" si="105"/>
        <v>8476.3300221386671</v>
      </c>
      <c r="AW168">
        <f t="shared" si="106"/>
        <v>7939.6680517258592</v>
      </c>
      <c r="AX168">
        <f t="shared" si="107"/>
        <v>7413.1607999730068</v>
      </c>
      <c r="AY168">
        <f t="shared" si="108"/>
        <v>6906.6614546619412</v>
      </c>
      <c r="AZ168">
        <f t="shared" si="109"/>
        <v>6437.5051563028528</v>
      </c>
      <c r="BA168">
        <f t="shared" si="110"/>
        <v>6033.8890456316503</v>
      </c>
      <c r="BB168">
        <f t="shared" si="111"/>
        <v>5739.2371595714139</v>
      </c>
      <c r="BC168">
        <f t="shared" si="112"/>
        <v>5617.6870565223007</v>
      </c>
      <c r="BD168">
        <f t="shared" si="113"/>
        <v>5760.5325921533167</v>
      </c>
      <c r="BE168">
        <f t="shared" si="114"/>
        <v>70472.207804060876</v>
      </c>
      <c r="BF168">
        <f t="shared" si="115"/>
        <v>66010.40018204879</v>
      </c>
      <c r="BG168">
        <f t="shared" si="116"/>
        <v>61633.018890975582</v>
      </c>
      <c r="BH168">
        <f t="shared" si="117"/>
        <v>57421.983334059383</v>
      </c>
      <c r="BI168">
        <f t="shared" si="118"/>
        <v>53521.417869501922</v>
      </c>
      <c r="BJ168">
        <f t="shared" si="119"/>
        <v>50165.753525381544</v>
      </c>
      <c r="BK168">
        <f t="shared" si="120"/>
        <v>47716.017744676734</v>
      </c>
      <c r="BL168">
        <f t="shared" si="121"/>
        <v>46705.450187926406</v>
      </c>
      <c r="BM168">
        <f t="shared" si="122"/>
        <v>47893.067971162673</v>
      </c>
      <c r="BO168" s="2">
        <v>70392.25</v>
      </c>
      <c r="BP168" s="2">
        <v>67261.33</v>
      </c>
      <c r="BQ168" s="2">
        <v>63514.97</v>
      </c>
      <c r="BR168" s="2">
        <v>59359.31</v>
      </c>
      <c r="BS168" s="2">
        <v>54985.85</v>
      </c>
      <c r="BT168" s="2">
        <v>50557.17</v>
      </c>
      <c r="BU168" s="2">
        <v>46191.77</v>
      </c>
      <c r="BV168" s="2">
        <v>41938.629999999997</v>
      </c>
      <c r="BW168" s="2">
        <v>37705.589999999997</v>
      </c>
      <c r="BY168">
        <f t="shared" si="123"/>
        <v>0.91430516711755139</v>
      </c>
    </row>
    <row r="169" spans="1:77" x14ac:dyDescent="0.3">
      <c r="A169" s="1" t="s">
        <v>479</v>
      </c>
      <c r="B169" s="2">
        <v>237.15</v>
      </c>
      <c r="C169" s="2">
        <v>669</v>
      </c>
      <c r="E169">
        <v>237.15</v>
      </c>
      <c r="F169">
        <v>285.13330000000002</v>
      </c>
      <c r="G169">
        <v>333.11669999999998</v>
      </c>
      <c r="H169">
        <v>381.1</v>
      </c>
      <c r="I169">
        <v>429.08330000000001</v>
      </c>
      <c r="J169">
        <v>477.06670000000003</v>
      </c>
      <c r="K169">
        <v>525.04999999999995</v>
      </c>
      <c r="L169">
        <v>573.03330000000005</v>
      </c>
      <c r="M169">
        <v>621.01670000000001</v>
      </c>
      <c r="N169">
        <v>669</v>
      </c>
      <c r="O169">
        <v>7.1847899999999995E-4</v>
      </c>
      <c r="P169">
        <v>0.40268090000000001</v>
      </c>
      <c r="Q169">
        <v>27.638809999999999</v>
      </c>
      <c r="R169">
        <v>533.75139999999999</v>
      </c>
      <c r="S169">
        <v>4565.8429999999998</v>
      </c>
      <c r="T169">
        <v>22648.25</v>
      </c>
      <c r="U169">
        <v>77335.47</v>
      </c>
      <c r="V169">
        <v>204285</v>
      </c>
      <c r="W169">
        <v>454459</v>
      </c>
      <c r="X169">
        <v>909899</v>
      </c>
      <c r="AA169">
        <f t="shared" si="84"/>
        <v>4.2167404596247099E-3</v>
      </c>
      <c r="AB169">
        <f t="shared" si="85"/>
        <v>3.5071315767046499E-3</v>
      </c>
      <c r="AC169">
        <f t="shared" si="86"/>
        <v>3.0019509679340604E-3</v>
      </c>
      <c r="AD169">
        <f t="shared" si="87"/>
        <v>2.6239832065074781E-3</v>
      </c>
      <c r="AE169">
        <f t="shared" si="88"/>
        <v>2.3305498023344184E-3</v>
      </c>
      <c r="AF169">
        <f t="shared" si="89"/>
        <v>2.0961429502415491E-3</v>
      </c>
      <c r="AG169">
        <f t="shared" si="90"/>
        <v>1.9045805161413201E-3</v>
      </c>
      <c r="AH169">
        <f t="shared" si="91"/>
        <v>1.7450992813157627E-3</v>
      </c>
      <c r="AI169">
        <f t="shared" si="92"/>
        <v>1.6102626547724078E-3</v>
      </c>
      <c r="AJ169">
        <f t="shared" si="93"/>
        <v>1.4947683109118087E-3</v>
      </c>
      <c r="AK169">
        <f t="shared" si="94"/>
        <v>-7.2383740804297396</v>
      </c>
      <c r="AL169">
        <f t="shared" si="95"/>
        <v>-0.90961084209808185</v>
      </c>
      <c r="AM169">
        <f t="shared" si="96"/>
        <v>3.3192209444270526</v>
      </c>
      <c r="AN169">
        <f t="shared" si="97"/>
        <v>6.2799301874902138</v>
      </c>
      <c r="AO169">
        <f t="shared" si="98"/>
        <v>8.4263584419168875</v>
      </c>
      <c r="AP169">
        <f t="shared" si="99"/>
        <v>10.027837865233108</v>
      </c>
      <c r="AQ169">
        <f t="shared" si="100"/>
        <v>11.255907990909</v>
      </c>
      <c r="AR169">
        <f t="shared" si="101"/>
        <v>12.227271356671167</v>
      </c>
      <c r="AS169">
        <f t="shared" si="102"/>
        <v>13.026862979509691</v>
      </c>
      <c r="AT169">
        <f t="shared" si="103"/>
        <v>13.721088883322308</v>
      </c>
      <c r="AU169">
        <f t="shared" si="104"/>
        <v>0.99495455929106669</v>
      </c>
      <c r="AV169">
        <f t="shared" si="105"/>
        <v>8918.6640565837097</v>
      </c>
      <c r="AW169">
        <f t="shared" si="106"/>
        <v>8370.9305406960175</v>
      </c>
      <c r="AX169">
        <f t="shared" si="107"/>
        <v>7833.2322097747474</v>
      </c>
      <c r="AY169">
        <f t="shared" si="108"/>
        <v>7314.8735757458762</v>
      </c>
      <c r="AZ169">
        <f t="shared" si="109"/>
        <v>6832.0503817086919</v>
      </c>
      <c r="BA169">
        <f t="shared" si="110"/>
        <v>6410.8087342079953</v>
      </c>
      <c r="BB169">
        <f t="shared" si="111"/>
        <v>6090.7690288745071</v>
      </c>
      <c r="BC169">
        <f t="shared" si="112"/>
        <v>5930.077333857248</v>
      </c>
      <c r="BD169">
        <f t="shared" si="113"/>
        <v>6010.9082454335858</v>
      </c>
      <c r="BE169">
        <f t="shared" si="114"/>
        <v>74149.772966436969</v>
      </c>
      <c r="BF169">
        <f t="shared" si="115"/>
        <v>69595.916515346689</v>
      </c>
      <c r="BG169">
        <f t="shared" si="116"/>
        <v>65125.492592067247</v>
      </c>
      <c r="BH169">
        <f t="shared" si="117"/>
        <v>60815.858908751215</v>
      </c>
      <c r="BI169">
        <f t="shared" si="118"/>
        <v>56801.666873526068</v>
      </c>
      <c r="BJ169">
        <f t="shared" si="119"/>
        <v>53299.463816205272</v>
      </c>
      <c r="BK169">
        <f t="shared" si="120"/>
        <v>50638.653706062651</v>
      </c>
      <c r="BL169">
        <f t="shared" si="121"/>
        <v>49302.662953689163</v>
      </c>
      <c r="BM169">
        <f t="shared" si="122"/>
        <v>49974.691152534833</v>
      </c>
      <c r="BO169" s="2">
        <v>75548.86</v>
      </c>
      <c r="BP169" s="2">
        <v>71584.53</v>
      </c>
      <c r="BQ169" s="2">
        <v>67309.649999999994</v>
      </c>
      <c r="BR169" s="2">
        <v>62839.15</v>
      </c>
      <c r="BS169" s="2">
        <v>58268.28</v>
      </c>
      <c r="BT169" s="2">
        <v>53663.02</v>
      </c>
      <c r="BU169" s="2">
        <v>49044.1</v>
      </c>
      <c r="BV169" s="2">
        <v>44351.86</v>
      </c>
      <c r="BW169" s="2">
        <v>39345.75</v>
      </c>
      <c r="BY169">
        <f t="shared" si="123"/>
        <v>0.93203386395975463</v>
      </c>
    </row>
    <row r="170" spans="1:77" x14ac:dyDescent="0.3">
      <c r="A170" s="1" t="s">
        <v>482</v>
      </c>
      <c r="B170" s="2">
        <v>351.9</v>
      </c>
      <c r="C170" s="2">
        <v>789</v>
      </c>
      <c r="E170">
        <v>351.9</v>
      </c>
      <c r="F170">
        <v>400.4667</v>
      </c>
      <c r="G170">
        <v>449.0333</v>
      </c>
      <c r="H170">
        <v>497.6</v>
      </c>
      <c r="I170">
        <v>546.16669999999999</v>
      </c>
      <c r="J170">
        <v>594.73329999999999</v>
      </c>
      <c r="K170">
        <v>643.29999999999995</v>
      </c>
      <c r="L170">
        <v>691.86670000000004</v>
      </c>
      <c r="M170">
        <v>740.43330000000003</v>
      </c>
      <c r="N170">
        <v>789</v>
      </c>
      <c r="O170">
        <v>1.7096699999999999E-3</v>
      </c>
      <c r="P170">
        <v>0.2421806</v>
      </c>
      <c r="Q170">
        <v>9.1518719999999991</v>
      </c>
      <c r="R170">
        <v>140.751</v>
      </c>
      <c r="S170">
        <v>1151.895</v>
      </c>
      <c r="T170">
        <v>5991.0209999999997</v>
      </c>
      <c r="U170">
        <v>22368.29</v>
      </c>
      <c r="V170">
        <v>65367.97</v>
      </c>
      <c r="W170">
        <v>159352</v>
      </c>
      <c r="X170">
        <v>340472</v>
      </c>
      <c r="AA170">
        <f t="shared" si="84"/>
        <v>2.841716396703609E-3</v>
      </c>
      <c r="AB170">
        <f t="shared" si="85"/>
        <v>2.4970865242977757E-3</v>
      </c>
      <c r="AC170">
        <f t="shared" si="86"/>
        <v>2.2270063267022734E-3</v>
      </c>
      <c r="AD170">
        <f t="shared" si="87"/>
        <v>2.0096463022508037E-3</v>
      </c>
      <c r="AE170">
        <f t="shared" si="88"/>
        <v>1.8309428238667792E-3</v>
      </c>
      <c r="AF170">
        <f t="shared" si="89"/>
        <v>1.681425943359822E-3</v>
      </c>
      <c r="AG170">
        <f t="shared" si="90"/>
        <v>1.55448468832582E-3</v>
      </c>
      <c r="AH170">
        <f t="shared" si="91"/>
        <v>1.4453651259700748E-3</v>
      </c>
      <c r="AI170">
        <f t="shared" si="92"/>
        <v>1.3505605434007356E-3</v>
      </c>
      <c r="AJ170">
        <f t="shared" si="93"/>
        <v>1.2674271229404308E-3</v>
      </c>
      <c r="AK170">
        <f t="shared" si="94"/>
        <v>-6.3714549095472188</v>
      </c>
      <c r="AL170">
        <f t="shared" si="95"/>
        <v>-1.4180715501629084</v>
      </c>
      <c r="AM170">
        <f t="shared" si="96"/>
        <v>2.2139584485256507</v>
      </c>
      <c r="AN170">
        <f t="shared" si="97"/>
        <v>4.9469923717902979</v>
      </c>
      <c r="AO170">
        <f t="shared" si="98"/>
        <v>7.0491636912684692</v>
      </c>
      <c r="AP170">
        <f t="shared" si="99"/>
        <v>8.6980171273356675</v>
      </c>
      <c r="AQ170">
        <f t="shared" si="100"/>
        <v>10.01539960989942</v>
      </c>
      <c r="AR170">
        <f t="shared" si="101"/>
        <v>11.087787662124283</v>
      </c>
      <c r="AS170">
        <f t="shared" si="102"/>
        <v>11.978870870755109</v>
      </c>
      <c r="AT170">
        <f t="shared" si="103"/>
        <v>12.73808816917872</v>
      </c>
      <c r="AU170">
        <f t="shared" si="104"/>
        <v>0.99455375985519001</v>
      </c>
      <c r="AV170">
        <f t="shared" si="105"/>
        <v>14373.052819841592</v>
      </c>
      <c r="AW170">
        <f t="shared" si="106"/>
        <v>13447.968533140041</v>
      </c>
      <c r="AX170">
        <f t="shared" si="107"/>
        <v>12573.765254957707</v>
      </c>
      <c r="AY170">
        <f t="shared" si="108"/>
        <v>11763.460557609929</v>
      </c>
      <c r="AZ170">
        <f t="shared" si="109"/>
        <v>11027.874782275672</v>
      </c>
      <c r="BA170">
        <f t="shared" si="110"/>
        <v>10377.890798471186</v>
      </c>
      <c r="BB170">
        <f t="shared" si="111"/>
        <v>9827.6425333225343</v>
      </c>
      <c r="BC170">
        <f t="shared" si="112"/>
        <v>9399.157556324848</v>
      </c>
      <c r="BD170">
        <f t="shared" si="113"/>
        <v>9132.5160713930654</v>
      </c>
      <c r="BE170">
        <f t="shared" si="114"/>
        <v>119497.561144163</v>
      </c>
      <c r="BF170">
        <f t="shared" si="115"/>
        <v>111806.4103845263</v>
      </c>
      <c r="BG170">
        <f t="shared" si="116"/>
        <v>104538.28432971837</v>
      </c>
      <c r="BH170">
        <f t="shared" si="117"/>
        <v>97801.41107596895</v>
      </c>
      <c r="BI170">
        <f t="shared" si="118"/>
        <v>91685.750939839942</v>
      </c>
      <c r="BJ170">
        <f t="shared" si="119"/>
        <v>86281.784098489443</v>
      </c>
      <c r="BK170">
        <f t="shared" si="120"/>
        <v>81707.020022043551</v>
      </c>
      <c r="BL170">
        <f t="shared" si="121"/>
        <v>78144.595923284782</v>
      </c>
      <c r="BM170">
        <f t="shared" si="122"/>
        <v>75927.738617561947</v>
      </c>
      <c r="BO170" s="2">
        <v>124911</v>
      </c>
      <c r="BP170" s="2">
        <v>115215</v>
      </c>
      <c r="BQ170" s="2">
        <v>107202</v>
      </c>
      <c r="BR170" s="2">
        <v>100409</v>
      </c>
      <c r="BS170" s="2">
        <v>94411.85</v>
      </c>
      <c r="BT170" s="2">
        <v>88782.76</v>
      </c>
      <c r="BU170" s="2">
        <v>83034.03</v>
      </c>
      <c r="BV170" s="2">
        <v>76534.95</v>
      </c>
      <c r="BW170" s="2">
        <v>68349.850000000006</v>
      </c>
      <c r="BY170">
        <f t="shared" si="123"/>
        <v>0.98204885777461648</v>
      </c>
    </row>
    <row r="171" spans="1:77" x14ac:dyDescent="0.3">
      <c r="A171" s="1" t="s">
        <v>485</v>
      </c>
      <c r="B171" s="2">
        <v>308.2</v>
      </c>
      <c r="C171" s="2">
        <v>796.9</v>
      </c>
      <c r="E171">
        <v>308.2</v>
      </c>
      <c r="F171">
        <v>362.5</v>
      </c>
      <c r="G171">
        <v>416.8</v>
      </c>
      <c r="H171">
        <v>471.1</v>
      </c>
      <c r="I171">
        <v>525.4</v>
      </c>
      <c r="J171">
        <v>579.70000000000005</v>
      </c>
      <c r="K171">
        <v>634</v>
      </c>
      <c r="L171">
        <v>688.3</v>
      </c>
      <c r="M171">
        <v>742.6</v>
      </c>
      <c r="N171">
        <v>796.9</v>
      </c>
      <c r="O171" s="13">
        <v>1.2796700000000001E-5</v>
      </c>
      <c r="P171">
        <v>1.2888E-2</v>
      </c>
      <c r="Q171">
        <v>1.603896</v>
      </c>
      <c r="R171">
        <v>52.71705</v>
      </c>
      <c r="S171">
        <v>710.65239999999994</v>
      </c>
      <c r="T171">
        <v>5162.0600000000004</v>
      </c>
      <c r="U171">
        <v>24169.75</v>
      </c>
      <c r="V171">
        <v>82573.070000000007</v>
      </c>
      <c r="W171">
        <v>225284</v>
      </c>
      <c r="X171">
        <v>526117</v>
      </c>
      <c r="AA171">
        <f t="shared" si="84"/>
        <v>3.2446463335496431E-3</v>
      </c>
      <c r="AB171">
        <f t="shared" si="85"/>
        <v>2.7586206896551722E-3</v>
      </c>
      <c r="AC171">
        <f t="shared" si="86"/>
        <v>2.3992322456813818E-3</v>
      </c>
      <c r="AD171">
        <f t="shared" si="87"/>
        <v>2.1226915729144554E-3</v>
      </c>
      <c r="AE171">
        <f t="shared" si="88"/>
        <v>1.9033117624666922E-3</v>
      </c>
      <c r="AF171">
        <f t="shared" si="89"/>
        <v>1.7250301880282904E-3</v>
      </c>
      <c r="AG171">
        <f t="shared" si="90"/>
        <v>1.5772870662460567E-3</v>
      </c>
      <c r="AH171">
        <f t="shared" si="91"/>
        <v>1.4528548597995061E-3</v>
      </c>
      <c r="AI171">
        <f t="shared" si="92"/>
        <v>1.3466199838405601E-3</v>
      </c>
      <c r="AJ171">
        <f t="shared" si="93"/>
        <v>1.2548625925461162E-3</v>
      </c>
      <c r="AK171">
        <f t="shared" si="94"/>
        <v>-11.266323232778058</v>
      </c>
      <c r="AL171">
        <f t="shared" si="95"/>
        <v>-4.3514586331074634</v>
      </c>
      <c r="AM171">
        <f t="shared" si="96"/>
        <v>0.47243566943701798</v>
      </c>
      <c r="AN171">
        <f t="shared" si="97"/>
        <v>3.9649389326347264</v>
      </c>
      <c r="AO171">
        <f t="shared" si="98"/>
        <v>6.5661834213692147</v>
      </c>
      <c r="AP171">
        <f t="shared" si="99"/>
        <v>8.5490910036127907</v>
      </c>
      <c r="AQ171">
        <f t="shared" si="100"/>
        <v>10.092857130243125</v>
      </c>
      <c r="AR171">
        <f t="shared" si="101"/>
        <v>11.321438877294351</v>
      </c>
      <c r="AS171">
        <f t="shared" si="102"/>
        <v>12.325117107476002</v>
      </c>
      <c r="AT171">
        <f t="shared" si="103"/>
        <v>13.173278900445268</v>
      </c>
      <c r="AU171">
        <f t="shared" si="104"/>
        <v>0.9951804243568424</v>
      </c>
      <c r="AV171">
        <f t="shared" si="105"/>
        <v>14227.365750215426</v>
      </c>
      <c r="AW171">
        <f t="shared" si="106"/>
        <v>13422.508106288135</v>
      </c>
      <c r="AX171">
        <f t="shared" si="107"/>
        <v>12629.257129714351</v>
      </c>
      <c r="AY171">
        <f t="shared" si="108"/>
        <v>11857.264729262195</v>
      </c>
      <c r="AZ171">
        <f t="shared" si="109"/>
        <v>11122.336048971187</v>
      </c>
      <c r="BA171">
        <f t="shared" si="110"/>
        <v>10448.988135676271</v>
      </c>
      <c r="BB171">
        <f t="shared" si="111"/>
        <v>9873.5028666309045</v>
      </c>
      <c r="BC171">
        <f t="shared" si="112"/>
        <v>9447.7281695092079</v>
      </c>
      <c r="BD171">
        <f t="shared" si="113"/>
        <v>9243.5255732975947</v>
      </c>
      <c r="BE171">
        <f t="shared" si="114"/>
        <v>118286.31884729106</v>
      </c>
      <c r="BF171">
        <f t="shared" si="115"/>
        <v>111594.73239567954</v>
      </c>
      <c r="BG171">
        <f t="shared" si="116"/>
        <v>104999.64377644511</v>
      </c>
      <c r="BH171">
        <f t="shared" si="117"/>
        <v>98581.298959085892</v>
      </c>
      <c r="BI171">
        <f t="shared" si="118"/>
        <v>92471.101911146441</v>
      </c>
      <c r="BJ171">
        <f t="shared" si="119"/>
        <v>86872.887360012523</v>
      </c>
      <c r="BK171">
        <f t="shared" si="120"/>
        <v>82088.302833169335</v>
      </c>
      <c r="BL171">
        <f t="shared" si="121"/>
        <v>78548.412001299555</v>
      </c>
      <c r="BM171">
        <f t="shared" si="122"/>
        <v>76850.671616396197</v>
      </c>
      <c r="BO171" s="2">
        <v>121547</v>
      </c>
      <c r="BP171" s="2">
        <v>114695</v>
      </c>
      <c r="BQ171" s="2">
        <v>108100</v>
      </c>
      <c r="BR171" s="2">
        <v>101671</v>
      </c>
      <c r="BS171" s="2">
        <v>95293.3</v>
      </c>
      <c r="BT171" s="2">
        <v>88808.5</v>
      </c>
      <c r="BU171" s="2">
        <v>81978.259999999995</v>
      </c>
      <c r="BV171" s="2">
        <v>74397.19</v>
      </c>
      <c r="BW171" s="2">
        <v>65254.1</v>
      </c>
      <c r="BY171">
        <f t="shared" si="123"/>
        <v>0.96489041061148539</v>
      </c>
    </row>
    <row r="172" spans="1:77" x14ac:dyDescent="0.3">
      <c r="A172" s="1" t="s">
        <v>488</v>
      </c>
      <c r="B172" s="2">
        <v>349.65</v>
      </c>
      <c r="C172" s="2">
        <v>772.2</v>
      </c>
      <c r="E172">
        <v>349.65</v>
      </c>
      <c r="F172">
        <v>396.6</v>
      </c>
      <c r="G172">
        <v>443.55</v>
      </c>
      <c r="H172">
        <v>490.5</v>
      </c>
      <c r="I172">
        <v>537.45000000000005</v>
      </c>
      <c r="J172">
        <v>584.4</v>
      </c>
      <c r="K172">
        <v>631.35</v>
      </c>
      <c r="L172">
        <v>678.3</v>
      </c>
      <c r="M172">
        <v>725.25</v>
      </c>
      <c r="N172">
        <v>772.2</v>
      </c>
      <c r="O172">
        <v>5.5301999999999999E-3</v>
      </c>
      <c r="P172">
        <v>0.56241580000000002</v>
      </c>
      <c r="Q172">
        <v>17.69097</v>
      </c>
      <c r="R172">
        <v>246.41749999999999</v>
      </c>
      <c r="S172">
        <v>1915.6659999999999</v>
      </c>
      <c r="T172">
        <v>9719.0550000000003</v>
      </c>
      <c r="U172">
        <v>35931.42</v>
      </c>
      <c r="V172">
        <v>104962</v>
      </c>
      <c r="W172">
        <v>257749</v>
      </c>
      <c r="X172">
        <v>559061</v>
      </c>
      <c r="AA172">
        <f t="shared" si="84"/>
        <v>2.8600028600028601E-3</v>
      </c>
      <c r="AB172">
        <f t="shared" si="85"/>
        <v>2.5214321734745334E-3</v>
      </c>
      <c r="AC172">
        <f t="shared" si="86"/>
        <v>2.2545372562281589E-3</v>
      </c>
      <c r="AD172">
        <f t="shared" si="87"/>
        <v>2.0387359836901123E-3</v>
      </c>
      <c r="AE172">
        <f t="shared" si="88"/>
        <v>1.8606381989022232E-3</v>
      </c>
      <c r="AF172">
        <f t="shared" si="89"/>
        <v>1.7111567419575634E-3</v>
      </c>
      <c r="AG172">
        <f t="shared" si="90"/>
        <v>1.5839074998020115E-3</v>
      </c>
      <c r="AH172">
        <f t="shared" si="91"/>
        <v>1.4742739200943537E-3</v>
      </c>
      <c r="AI172">
        <f t="shared" si="92"/>
        <v>1.3788348845225785E-3</v>
      </c>
      <c r="AJ172">
        <f t="shared" si="93"/>
        <v>1.2950012950012949E-3</v>
      </c>
      <c r="AK172">
        <f t="shared" si="94"/>
        <v>-5.1975312977366004</v>
      </c>
      <c r="AL172">
        <f t="shared" si="95"/>
        <v>-0.57551384499695057</v>
      </c>
      <c r="AM172">
        <f t="shared" si="96"/>
        <v>2.873054339907525</v>
      </c>
      <c r="AN172">
        <f t="shared" si="97"/>
        <v>5.5070272518646428</v>
      </c>
      <c r="AO172">
        <f t="shared" si="98"/>
        <v>7.5578206218319153</v>
      </c>
      <c r="AP172">
        <f t="shared" si="99"/>
        <v>9.1818436705058755</v>
      </c>
      <c r="AQ172">
        <f t="shared" si="100"/>
        <v>10.489367400618018</v>
      </c>
      <c r="AR172">
        <f t="shared" si="101"/>
        <v>11.561353658874422</v>
      </c>
      <c r="AS172">
        <f t="shared" si="102"/>
        <v>12.459741522143261</v>
      </c>
      <c r="AT172">
        <f t="shared" si="103"/>
        <v>13.234013869618412</v>
      </c>
      <c r="AU172">
        <f t="shared" si="104"/>
        <v>0.99579300109504076</v>
      </c>
      <c r="AV172">
        <f t="shared" si="105"/>
        <v>13651.558261388194</v>
      </c>
      <c r="AW172">
        <f t="shared" si="106"/>
        <v>12921.07103606268</v>
      </c>
      <c r="AX172">
        <f t="shared" si="107"/>
        <v>12205.548563170485</v>
      </c>
      <c r="AY172">
        <f t="shared" si="108"/>
        <v>11514.985278507123</v>
      </c>
      <c r="AZ172">
        <f t="shared" si="109"/>
        <v>10864.377976160597</v>
      </c>
      <c r="BA172">
        <f t="shared" si="110"/>
        <v>10275.296795196629</v>
      </c>
      <c r="BB172">
        <f t="shared" si="111"/>
        <v>9777.9007227064649</v>
      </c>
      <c r="BC172">
        <f t="shared" si="112"/>
        <v>9413.2118779972734</v>
      </c>
      <c r="BD172">
        <f t="shared" si="113"/>
        <v>9235.8248274527232</v>
      </c>
      <c r="BE172">
        <f t="shared" si="114"/>
        <v>113499.05538518145</v>
      </c>
      <c r="BF172">
        <f t="shared" si="115"/>
        <v>107425.78459382513</v>
      </c>
      <c r="BG172">
        <f t="shared" si="116"/>
        <v>101476.93075419942</v>
      </c>
      <c r="BH172">
        <f t="shared" si="117"/>
        <v>95735.587605508219</v>
      </c>
      <c r="BI172">
        <f t="shared" si="118"/>
        <v>90326.4384937992</v>
      </c>
      <c r="BJ172">
        <f t="shared" si="119"/>
        <v>85428.817555264774</v>
      </c>
      <c r="BK172">
        <f t="shared" si="120"/>
        <v>81293.466608581555</v>
      </c>
      <c r="BL172">
        <f t="shared" si="121"/>
        <v>78261.443553669335</v>
      </c>
      <c r="BM172">
        <f t="shared" si="122"/>
        <v>76786.647615441936</v>
      </c>
      <c r="BO172" s="2">
        <v>116392</v>
      </c>
      <c r="BP172" s="2">
        <v>110299</v>
      </c>
      <c r="BQ172" s="2">
        <v>104363</v>
      </c>
      <c r="BR172" s="2">
        <v>98514.55</v>
      </c>
      <c r="BS172" s="2">
        <v>92659.5</v>
      </c>
      <c r="BT172" s="2">
        <v>86666.35</v>
      </c>
      <c r="BU172" s="2">
        <v>80331.98</v>
      </c>
      <c r="BV172" s="2">
        <v>73310.27</v>
      </c>
      <c r="BW172" s="2">
        <v>64920.79</v>
      </c>
      <c r="BY172">
        <f t="shared" si="123"/>
        <v>0.96031260214039882</v>
      </c>
    </row>
    <row r="173" spans="1:77" x14ac:dyDescent="0.3">
      <c r="A173" s="1" t="s">
        <v>491</v>
      </c>
      <c r="B173" s="2">
        <v>298.55</v>
      </c>
      <c r="C173" s="2">
        <v>856</v>
      </c>
      <c r="E173">
        <v>298.55</v>
      </c>
      <c r="F173">
        <v>360.4889</v>
      </c>
      <c r="G173">
        <v>422.42779999999999</v>
      </c>
      <c r="H173">
        <v>484.36669999999998</v>
      </c>
      <c r="I173">
        <v>546.30560000000003</v>
      </c>
      <c r="J173">
        <v>608.24440000000004</v>
      </c>
      <c r="K173">
        <v>670.18330000000003</v>
      </c>
      <c r="L173">
        <v>732.12220000000002</v>
      </c>
      <c r="M173">
        <v>794.06110000000001</v>
      </c>
      <c r="N173">
        <v>856</v>
      </c>
      <c r="O173" s="13">
        <v>7.8665999999999995E-14</v>
      </c>
      <c r="P173" s="13">
        <v>3.9211800000000003E-8</v>
      </c>
      <c r="Q173">
        <v>2.2645200000000001E-4</v>
      </c>
      <c r="R173">
        <v>9.1057799999999994E-2</v>
      </c>
      <c r="S173">
        <v>6.689476</v>
      </c>
      <c r="T173">
        <v>157.93129999999999</v>
      </c>
      <c r="U173">
        <v>1707.32</v>
      </c>
      <c r="V173">
        <v>10699.76</v>
      </c>
      <c r="W173">
        <v>45924.22</v>
      </c>
      <c r="X173">
        <v>153016</v>
      </c>
      <c r="AA173">
        <f t="shared" si="84"/>
        <v>3.3495226930162453E-3</v>
      </c>
      <c r="AB173">
        <f t="shared" si="85"/>
        <v>2.7740105173834754E-3</v>
      </c>
      <c r="AC173">
        <f t="shared" si="86"/>
        <v>2.3672684420864348E-3</v>
      </c>
      <c r="AD173">
        <f t="shared" si="87"/>
        <v>2.064551506121292E-3</v>
      </c>
      <c r="AE173">
        <f t="shared" si="88"/>
        <v>1.8304773006170905E-3</v>
      </c>
      <c r="AF173">
        <f t="shared" si="89"/>
        <v>1.6440759668317536E-3</v>
      </c>
      <c r="AG173">
        <f t="shared" si="90"/>
        <v>1.4921290936375168E-3</v>
      </c>
      <c r="AH173">
        <f t="shared" si="91"/>
        <v>1.3658921966851981E-3</v>
      </c>
      <c r="AI173">
        <f t="shared" si="92"/>
        <v>1.2593489342318871E-3</v>
      </c>
      <c r="AJ173">
        <f t="shared" si="93"/>
        <v>1.1682242990654205E-3</v>
      </c>
      <c r="AK173">
        <f t="shared" si="94"/>
        <v>-30.173565353165365</v>
      </c>
      <c r="AL173">
        <f t="shared" si="95"/>
        <v>-17.054288115039384</v>
      </c>
      <c r="AM173">
        <f t="shared" si="96"/>
        <v>-8.3929775560293152</v>
      </c>
      <c r="AN173">
        <f t="shared" si="97"/>
        <v>-2.3962608092619311</v>
      </c>
      <c r="AO173">
        <f t="shared" si="98"/>
        <v>1.900535545213015</v>
      </c>
      <c r="AP173">
        <f t="shared" si="99"/>
        <v>5.0621601283430504</v>
      </c>
      <c r="AQ173">
        <f t="shared" si="100"/>
        <v>7.4426801686114334</v>
      </c>
      <c r="AR173">
        <f t="shared" si="101"/>
        <v>9.2779765902919014</v>
      </c>
      <c r="AS173">
        <f t="shared" si="102"/>
        <v>10.734747925725701</v>
      </c>
      <c r="AT173">
        <f t="shared" si="103"/>
        <v>11.938297770070371</v>
      </c>
      <c r="AU173">
        <f t="shared" si="104"/>
        <v>0.99308800937202757</v>
      </c>
      <c r="AV173">
        <f t="shared" si="105"/>
        <v>22795.829165041501</v>
      </c>
      <c r="AW173">
        <f t="shared" si="106"/>
        <v>21294.356018331226</v>
      </c>
      <c r="AX173">
        <f t="shared" si="107"/>
        <v>19809.65064821445</v>
      </c>
      <c r="AY173">
        <f t="shared" si="108"/>
        <v>18356.556397231143</v>
      </c>
      <c r="AZ173">
        <f t="shared" si="109"/>
        <v>16961.383907107756</v>
      </c>
      <c r="BA173">
        <f t="shared" si="110"/>
        <v>15666.791887354706</v>
      </c>
      <c r="BB173">
        <f t="shared" si="111"/>
        <v>14538.510261177311</v>
      </c>
      <c r="BC173">
        <f t="shared" si="112"/>
        <v>13673.049819289894</v>
      </c>
      <c r="BD173">
        <f t="shared" si="113"/>
        <v>13207.732926952433</v>
      </c>
      <c r="BE173">
        <f t="shared" si="114"/>
        <v>189524.52367815503</v>
      </c>
      <c r="BF173">
        <f t="shared" si="115"/>
        <v>177041.27593640581</v>
      </c>
      <c r="BG173">
        <f t="shared" si="116"/>
        <v>164697.43548925495</v>
      </c>
      <c r="BH173">
        <f t="shared" si="117"/>
        <v>152616.40988657973</v>
      </c>
      <c r="BI173">
        <f t="shared" si="118"/>
        <v>141016.94580369387</v>
      </c>
      <c r="BJ173">
        <f t="shared" si="119"/>
        <v>130253.70775146702</v>
      </c>
      <c r="BK173">
        <f t="shared" si="120"/>
        <v>120873.17431142817</v>
      </c>
      <c r="BL173">
        <f t="shared" si="121"/>
        <v>113677.73619757617</v>
      </c>
      <c r="BM173">
        <f t="shared" si="122"/>
        <v>109809.09155468253</v>
      </c>
      <c r="BO173" s="2">
        <v>195666</v>
      </c>
      <c r="BP173" s="2">
        <v>182820</v>
      </c>
      <c r="BQ173" s="2">
        <v>170318</v>
      </c>
      <c r="BR173" s="2">
        <v>158241</v>
      </c>
      <c r="BS173" s="2">
        <v>146618</v>
      </c>
      <c r="BT173" s="2">
        <v>135404</v>
      </c>
      <c r="BU173" s="2">
        <v>124427</v>
      </c>
      <c r="BV173" s="2">
        <v>113261</v>
      </c>
      <c r="BW173" s="2">
        <v>100805</v>
      </c>
      <c r="BY173">
        <f t="shared" si="123"/>
        <v>0.98712252453190485</v>
      </c>
    </row>
    <row r="174" spans="1:77" x14ac:dyDescent="0.3">
      <c r="A174" s="1" t="s">
        <v>494</v>
      </c>
      <c r="B174" s="2">
        <v>369.43</v>
      </c>
      <c r="C174" s="2">
        <v>784</v>
      </c>
      <c r="E174">
        <v>369.43</v>
      </c>
      <c r="F174">
        <v>415.49329999999998</v>
      </c>
      <c r="G174">
        <v>461.55669999999998</v>
      </c>
      <c r="H174">
        <v>507.62</v>
      </c>
      <c r="I174">
        <v>553.68330000000003</v>
      </c>
      <c r="J174">
        <v>599.74670000000003</v>
      </c>
      <c r="K174">
        <v>645.80999999999995</v>
      </c>
      <c r="L174">
        <v>691.87329999999997</v>
      </c>
      <c r="M174">
        <v>737.93669999999997</v>
      </c>
      <c r="N174">
        <v>784</v>
      </c>
      <c r="O174">
        <v>4.2921100000000001</v>
      </c>
      <c r="P174">
        <v>78.453630000000004</v>
      </c>
      <c r="Q174">
        <v>706.33969999999999</v>
      </c>
      <c r="R174">
        <v>3881.482</v>
      </c>
      <c r="S174">
        <v>14978.04</v>
      </c>
      <c r="T174">
        <v>44629.56</v>
      </c>
      <c r="U174">
        <v>109725</v>
      </c>
      <c r="V174">
        <v>233482</v>
      </c>
      <c r="W174">
        <v>445644</v>
      </c>
      <c r="X174">
        <v>784983</v>
      </c>
      <c r="AA174">
        <f t="shared" si="84"/>
        <v>2.7068727499120265E-3</v>
      </c>
      <c r="AB174">
        <f t="shared" si="85"/>
        <v>2.4067776784848275E-3</v>
      </c>
      <c r="AC174">
        <f t="shared" si="86"/>
        <v>2.1665810506054837E-3</v>
      </c>
      <c r="AD174">
        <f t="shared" si="87"/>
        <v>1.9699775422560182E-3</v>
      </c>
      <c r="AE174">
        <f t="shared" si="88"/>
        <v>1.8060866202755255E-3</v>
      </c>
      <c r="AF174">
        <f t="shared" si="89"/>
        <v>1.667370574944389E-3</v>
      </c>
      <c r="AG174">
        <f t="shared" si="90"/>
        <v>1.5484430405227545E-3</v>
      </c>
      <c r="AH174">
        <f t="shared" si="91"/>
        <v>1.4453513381713098E-3</v>
      </c>
      <c r="AI174">
        <f t="shared" si="92"/>
        <v>1.3551297828119945E-3</v>
      </c>
      <c r="AJ174">
        <f t="shared" si="93"/>
        <v>1.2755102040816326E-3</v>
      </c>
      <c r="AK174">
        <f t="shared" si="94"/>
        <v>1.456778453517386</v>
      </c>
      <c r="AL174">
        <f t="shared" si="95"/>
        <v>4.3625077496190645</v>
      </c>
      <c r="AM174">
        <f t="shared" si="96"/>
        <v>6.5600962832452669</v>
      </c>
      <c r="AN174">
        <f t="shared" si="97"/>
        <v>8.2639723184525273</v>
      </c>
      <c r="AO174">
        <f t="shared" si="98"/>
        <v>9.6143404073892693</v>
      </c>
      <c r="AP174">
        <f t="shared" si="99"/>
        <v>10.706151698735372</v>
      </c>
      <c r="AQ174">
        <f t="shared" si="100"/>
        <v>11.605732514556435</v>
      </c>
      <c r="AR174">
        <f t="shared" si="101"/>
        <v>12.36086026532524</v>
      </c>
      <c r="AS174">
        <f t="shared" si="102"/>
        <v>13.00727570598792</v>
      </c>
      <c r="AT174">
        <f t="shared" si="103"/>
        <v>13.573417340479095</v>
      </c>
      <c r="AU174">
        <f t="shared" si="104"/>
        <v>0.99706322152099958</v>
      </c>
      <c r="AV174">
        <f t="shared" si="105"/>
        <v>9682.6958279672654</v>
      </c>
      <c r="AW174">
        <f t="shared" si="106"/>
        <v>9149.1231705804821</v>
      </c>
      <c r="AX174">
        <f t="shared" si="107"/>
        <v>8666.5596637197177</v>
      </c>
      <c r="AY174">
        <f t="shared" si="108"/>
        <v>8239.4318893237487</v>
      </c>
      <c r="AZ174">
        <f t="shared" si="109"/>
        <v>7870.8363458587755</v>
      </c>
      <c r="BA174">
        <f t="shared" si="110"/>
        <v>7564.1088516286973</v>
      </c>
      <c r="BB174">
        <f t="shared" si="111"/>
        <v>7324.8159992017427</v>
      </c>
      <c r="BC174">
        <f t="shared" si="112"/>
        <v>7164.7561171859006</v>
      </c>
      <c r="BD174">
        <f t="shared" si="113"/>
        <v>7110.5831444858277</v>
      </c>
      <c r="BE174">
        <f t="shared" si="114"/>
        <v>80501.933113719846</v>
      </c>
      <c r="BF174">
        <f t="shared" si="115"/>
        <v>76065.810040206125</v>
      </c>
      <c r="BG174">
        <f t="shared" si="116"/>
        <v>72053.777044165734</v>
      </c>
      <c r="BH174">
        <f t="shared" si="117"/>
        <v>68502.636727837642</v>
      </c>
      <c r="BI174">
        <f t="shared" si="118"/>
        <v>65438.133379469858</v>
      </c>
      <c r="BJ174">
        <f t="shared" si="119"/>
        <v>62888.00099244099</v>
      </c>
      <c r="BK174">
        <f t="shared" si="120"/>
        <v>60898.520217363286</v>
      </c>
      <c r="BL174">
        <f t="shared" si="121"/>
        <v>59567.782358283577</v>
      </c>
      <c r="BM174">
        <f t="shared" si="122"/>
        <v>59117.388263255169</v>
      </c>
      <c r="BO174" s="2">
        <v>82374.960000000006</v>
      </c>
      <c r="BP174" s="2">
        <v>78148.13</v>
      </c>
      <c r="BQ174" s="2">
        <v>73948.19</v>
      </c>
      <c r="BR174" s="2">
        <v>69725.37</v>
      </c>
      <c r="BS174" s="2">
        <v>65413</v>
      </c>
      <c r="BT174" s="2">
        <v>60916.31</v>
      </c>
      <c r="BU174" s="2">
        <v>56090.73</v>
      </c>
      <c r="BV174" s="2">
        <v>50694.09</v>
      </c>
      <c r="BW174" s="2">
        <v>44262.38</v>
      </c>
      <c r="BY174">
        <f t="shared" si="123"/>
        <v>0.91722519380386536</v>
      </c>
    </row>
    <row r="175" spans="1:77" x14ac:dyDescent="0.3">
      <c r="A175" s="1" t="s">
        <v>497</v>
      </c>
      <c r="B175" s="2">
        <v>344.82</v>
      </c>
      <c r="C175" s="2">
        <v>858</v>
      </c>
      <c r="E175">
        <v>344.82</v>
      </c>
      <c r="F175">
        <v>401.84</v>
      </c>
      <c r="G175">
        <v>458.86</v>
      </c>
      <c r="H175">
        <v>515.88</v>
      </c>
      <c r="I175">
        <v>572.9</v>
      </c>
      <c r="J175">
        <v>629.91999999999996</v>
      </c>
      <c r="K175">
        <v>686.94</v>
      </c>
      <c r="L175">
        <v>743.96</v>
      </c>
      <c r="M175">
        <v>800.98</v>
      </c>
      <c r="N175">
        <v>858</v>
      </c>
      <c r="O175">
        <v>3.4081300000000002E-2</v>
      </c>
      <c r="P175">
        <v>2.8507389999999999</v>
      </c>
      <c r="Q175">
        <v>64.462670000000003</v>
      </c>
      <c r="R175">
        <v>631.44870000000003</v>
      </c>
      <c r="S175">
        <v>3538.893</v>
      </c>
      <c r="T175">
        <v>13493.57</v>
      </c>
      <c r="U175">
        <v>39178.019999999997</v>
      </c>
      <c r="V175">
        <v>93479.05</v>
      </c>
      <c r="W175">
        <v>193440</v>
      </c>
      <c r="X175">
        <v>361654</v>
      </c>
      <c r="AA175">
        <f t="shared" si="84"/>
        <v>2.900063801403631E-3</v>
      </c>
      <c r="AB175">
        <f t="shared" si="85"/>
        <v>2.4885526577742385E-3</v>
      </c>
      <c r="AC175">
        <f t="shared" si="86"/>
        <v>2.1793139519679203E-3</v>
      </c>
      <c r="AD175">
        <f t="shared" si="87"/>
        <v>1.938435295029852E-3</v>
      </c>
      <c r="AE175">
        <f t="shared" si="88"/>
        <v>1.7455053237912376E-3</v>
      </c>
      <c r="AF175">
        <f t="shared" si="89"/>
        <v>1.5875031750063502E-3</v>
      </c>
      <c r="AG175">
        <f t="shared" si="90"/>
        <v>1.455731213788686E-3</v>
      </c>
      <c r="AH175">
        <f t="shared" si="91"/>
        <v>1.3441582880800043E-3</v>
      </c>
      <c r="AI175">
        <f t="shared" si="92"/>
        <v>1.2484706234862294E-3</v>
      </c>
      <c r="AJ175">
        <f t="shared" si="93"/>
        <v>1.1655011655011655E-3</v>
      </c>
      <c r="AK175">
        <f t="shared" si="94"/>
        <v>-3.3790064322086386</v>
      </c>
      <c r="AL175">
        <f t="shared" si="95"/>
        <v>1.0475782589141933</v>
      </c>
      <c r="AM175">
        <f t="shared" si="96"/>
        <v>4.1660862965657657</v>
      </c>
      <c r="AN175">
        <f t="shared" si="97"/>
        <v>6.448016703336398</v>
      </c>
      <c r="AO175">
        <f t="shared" si="98"/>
        <v>8.171569245358862</v>
      </c>
      <c r="AP175">
        <f t="shared" si="99"/>
        <v>9.5099685546651127</v>
      </c>
      <c r="AQ175">
        <f t="shared" si="100"/>
        <v>10.575871154233797</v>
      </c>
      <c r="AR175">
        <f t="shared" si="101"/>
        <v>11.445492625999529</v>
      </c>
      <c r="AS175">
        <f t="shared" si="102"/>
        <v>12.172722665848619</v>
      </c>
      <c r="AT175">
        <f t="shared" si="103"/>
        <v>12.798443232633792</v>
      </c>
      <c r="AU175">
        <f t="shared" si="104"/>
        <v>0.99614345235599955</v>
      </c>
      <c r="AV175">
        <f t="shared" si="105"/>
        <v>10756.901142656348</v>
      </c>
      <c r="AW175">
        <f t="shared" si="106"/>
        <v>10084.468661580644</v>
      </c>
      <c r="AX175">
        <f t="shared" si="107"/>
        <v>9473.3607193655735</v>
      </c>
      <c r="AY175">
        <f t="shared" si="108"/>
        <v>8933.5655365375387</v>
      </c>
      <c r="AZ175">
        <f t="shared" si="109"/>
        <v>8470.7665028557276</v>
      </c>
      <c r="BA175">
        <f t="shared" si="110"/>
        <v>8088.9939689673402</v>
      </c>
      <c r="BB175">
        <f t="shared" si="111"/>
        <v>7794.1979762754027</v>
      </c>
      <c r="BC175">
        <f t="shared" si="112"/>
        <v>7600.0395969158271</v>
      </c>
      <c r="BD175">
        <f t="shared" si="113"/>
        <v>7541.5771294759361</v>
      </c>
      <c r="BE175">
        <f t="shared" si="114"/>
        <v>89432.876100044887</v>
      </c>
      <c r="BF175">
        <f t="shared" si="115"/>
        <v>83842.272452381469</v>
      </c>
      <c r="BG175">
        <f t="shared" si="116"/>
        <v>78761.521020805376</v>
      </c>
      <c r="BH175">
        <f t="shared" si="117"/>
        <v>74273.663870773104</v>
      </c>
      <c r="BI175">
        <f t="shared" si="118"/>
        <v>70425.952704742522</v>
      </c>
      <c r="BJ175">
        <f t="shared" si="119"/>
        <v>67251.895857994459</v>
      </c>
      <c r="BK175">
        <f t="shared" si="120"/>
        <v>64800.9619747537</v>
      </c>
      <c r="BL175">
        <f t="shared" si="121"/>
        <v>63186.729208758188</v>
      </c>
      <c r="BM175">
        <f t="shared" si="122"/>
        <v>62700.67225446293</v>
      </c>
      <c r="BO175" s="2">
        <v>92688.320000000007</v>
      </c>
      <c r="BP175" s="2">
        <v>86307.71</v>
      </c>
      <c r="BQ175" s="2">
        <v>80863.77</v>
      </c>
      <c r="BR175" s="2">
        <v>75995.06</v>
      </c>
      <c r="BS175" s="2">
        <v>71342.48</v>
      </c>
      <c r="BT175" s="2">
        <v>66513.320000000007</v>
      </c>
      <c r="BU175" s="2">
        <v>61034.69</v>
      </c>
      <c r="BV175" s="2">
        <v>54276.800000000003</v>
      </c>
      <c r="BW175" s="2">
        <v>45281.14</v>
      </c>
      <c r="BY175">
        <f t="shared" si="123"/>
        <v>0.91009977712360079</v>
      </c>
    </row>
    <row r="176" spans="1:77" x14ac:dyDescent="0.3">
      <c r="A176" s="1" t="s">
        <v>500</v>
      </c>
      <c r="B176" s="2">
        <v>369.12</v>
      </c>
      <c r="C176" s="2">
        <v>834</v>
      </c>
      <c r="E176">
        <v>369.12</v>
      </c>
      <c r="F176">
        <v>420.77330000000001</v>
      </c>
      <c r="G176">
        <v>472.42669999999998</v>
      </c>
      <c r="H176">
        <v>524.08000000000004</v>
      </c>
      <c r="I176">
        <v>575.73329999999999</v>
      </c>
      <c r="J176">
        <v>627.38670000000002</v>
      </c>
      <c r="K176">
        <v>679.04</v>
      </c>
      <c r="L176">
        <v>730.69330000000002</v>
      </c>
      <c r="M176">
        <v>782.34670000000006</v>
      </c>
      <c r="N176">
        <v>834</v>
      </c>
      <c r="O176">
        <v>0.23199020000000001</v>
      </c>
      <c r="P176">
        <v>6.520886</v>
      </c>
      <c r="Q176">
        <v>77.61403</v>
      </c>
      <c r="R176">
        <v>515.36469999999997</v>
      </c>
      <c r="S176">
        <v>2271.7020000000002</v>
      </c>
      <c r="T176">
        <v>7452.509</v>
      </c>
      <c r="U176">
        <v>19666.89</v>
      </c>
      <c r="V176">
        <v>44085.63</v>
      </c>
      <c r="W176">
        <v>87300.32</v>
      </c>
      <c r="X176">
        <v>157236</v>
      </c>
      <c r="AA176">
        <f t="shared" si="84"/>
        <v>2.7091460771564804E-3</v>
      </c>
      <c r="AB176">
        <f t="shared" si="85"/>
        <v>2.3765766506572542E-3</v>
      </c>
      <c r="AC176">
        <f t="shared" si="86"/>
        <v>2.1167304896188128E-3</v>
      </c>
      <c r="AD176">
        <f t="shared" si="87"/>
        <v>1.9081056327278276E-3</v>
      </c>
      <c r="AE176">
        <f t="shared" si="88"/>
        <v>1.7369153390988502E-3</v>
      </c>
      <c r="AF176">
        <f t="shared" si="89"/>
        <v>1.5939132914357286E-3</v>
      </c>
      <c r="AG176">
        <f t="shared" si="90"/>
        <v>1.4726672950047127E-3</v>
      </c>
      <c r="AH176">
        <f t="shared" si="91"/>
        <v>1.368563253556588E-3</v>
      </c>
      <c r="AI176">
        <f t="shared" si="92"/>
        <v>1.2782056855355816E-3</v>
      </c>
      <c r="AJ176">
        <f t="shared" si="93"/>
        <v>1.199040767386091E-3</v>
      </c>
      <c r="AK176">
        <f t="shared" si="94"/>
        <v>-1.4610601495873297</v>
      </c>
      <c r="AL176">
        <f t="shared" si="95"/>
        <v>1.8750102562769624</v>
      </c>
      <c r="AM176">
        <f t="shared" si="96"/>
        <v>4.3517482098160816</v>
      </c>
      <c r="AN176">
        <f t="shared" si="97"/>
        <v>6.2448748053798626</v>
      </c>
      <c r="AO176">
        <f t="shared" si="98"/>
        <v>7.7282846092667272</v>
      </c>
      <c r="AP176">
        <f t="shared" si="99"/>
        <v>8.9163060331999375</v>
      </c>
      <c r="AQ176">
        <f t="shared" si="100"/>
        <v>9.8866917900874718</v>
      </c>
      <c r="AR176">
        <f t="shared" si="101"/>
        <v>10.693889157994043</v>
      </c>
      <c r="AS176">
        <f t="shared" si="102"/>
        <v>11.377109407342166</v>
      </c>
      <c r="AT176">
        <f t="shared" si="103"/>
        <v>11.965503140392586</v>
      </c>
      <c r="AU176">
        <f t="shared" si="104"/>
        <v>0.99747335781083746</v>
      </c>
      <c r="AV176">
        <f t="shared" si="105"/>
        <v>10031.199924121873</v>
      </c>
      <c r="AW176">
        <f t="shared" si="106"/>
        <v>9531.5549155744975</v>
      </c>
      <c r="AX176">
        <f t="shared" si="107"/>
        <v>9074.3098582591974</v>
      </c>
      <c r="AY176">
        <f t="shared" si="108"/>
        <v>8665.2681787080473</v>
      </c>
      <c r="AZ176">
        <f t="shared" si="109"/>
        <v>8307.7231644395924</v>
      </c>
      <c r="BA176">
        <f t="shared" si="110"/>
        <v>8003.4457668847217</v>
      </c>
      <c r="BB176">
        <f t="shared" si="111"/>
        <v>7753.7563064619326</v>
      </c>
      <c r="BC176">
        <f t="shared" si="112"/>
        <v>7561.29524412706</v>
      </c>
      <c r="BD176">
        <f t="shared" si="113"/>
        <v>7432.5060494514883</v>
      </c>
      <c r="BE176">
        <f t="shared" si="114"/>
        <v>83399.396169149244</v>
      </c>
      <c r="BF176">
        <f t="shared" si="115"/>
        <v>79245.347568086378</v>
      </c>
      <c r="BG176">
        <f t="shared" si="116"/>
        <v>75443.812161566966</v>
      </c>
      <c r="BH176">
        <f t="shared" si="117"/>
        <v>72043.039637778711</v>
      </c>
      <c r="BI176">
        <f t="shared" si="118"/>
        <v>69070.410389150769</v>
      </c>
      <c r="BJ176">
        <f t="shared" si="119"/>
        <v>66540.648105879576</v>
      </c>
      <c r="BK176">
        <f t="shared" si="120"/>
        <v>64464.729931924507</v>
      </c>
      <c r="BL176">
        <f t="shared" si="121"/>
        <v>62864.608659672376</v>
      </c>
      <c r="BM176">
        <f t="shared" si="122"/>
        <v>61793.85529513967</v>
      </c>
      <c r="BO176" s="2">
        <v>85569.56</v>
      </c>
      <c r="BP176" s="2">
        <v>79716.66</v>
      </c>
      <c r="BQ176" s="2">
        <v>75093.789999999994</v>
      </c>
      <c r="BR176" s="2">
        <v>71321.679999999993</v>
      </c>
      <c r="BS176" s="2">
        <v>68035.39</v>
      </c>
      <c r="BT176" s="2">
        <v>64832.32</v>
      </c>
      <c r="BU176" s="2">
        <v>61200.29</v>
      </c>
      <c r="BV176" s="2">
        <v>56389.11</v>
      </c>
      <c r="BW176" s="2">
        <v>49105.51</v>
      </c>
      <c r="BY176">
        <f t="shared" si="123"/>
        <v>0.94561916288435921</v>
      </c>
    </row>
    <row r="177" spans="1:77" x14ac:dyDescent="0.3">
      <c r="A177" s="1" t="s">
        <v>503</v>
      </c>
      <c r="B177" s="2">
        <v>348.02</v>
      </c>
      <c r="C177" s="2">
        <v>880</v>
      </c>
      <c r="E177">
        <v>348.02</v>
      </c>
      <c r="F177">
        <v>407.12889999999999</v>
      </c>
      <c r="G177">
        <v>466.23779999999999</v>
      </c>
      <c r="H177">
        <v>525.34670000000006</v>
      </c>
      <c r="I177">
        <v>584.4556</v>
      </c>
      <c r="J177">
        <v>643.56439999999998</v>
      </c>
      <c r="K177">
        <v>702.67330000000004</v>
      </c>
      <c r="L177">
        <v>761.78219999999999</v>
      </c>
      <c r="M177">
        <v>820.89110000000005</v>
      </c>
      <c r="N177">
        <v>880</v>
      </c>
      <c r="O177" s="13">
        <v>1.3302700000000001E-5</v>
      </c>
      <c r="P177">
        <v>1.23319E-2</v>
      </c>
      <c r="Q177">
        <v>1.3989229999999999</v>
      </c>
      <c r="R177">
        <v>41.739789999999999</v>
      </c>
      <c r="S177">
        <v>513.06769999999995</v>
      </c>
      <c r="T177">
        <v>3433.5509999999999</v>
      </c>
      <c r="U177">
        <v>15001.51</v>
      </c>
      <c r="V177">
        <v>48421.81</v>
      </c>
      <c r="W177">
        <v>126154</v>
      </c>
      <c r="X177">
        <v>284189</v>
      </c>
      <c r="AA177">
        <f t="shared" si="84"/>
        <v>2.8733980805700824E-3</v>
      </c>
      <c r="AB177">
        <f t="shared" si="85"/>
        <v>2.4562245519785014E-3</v>
      </c>
      <c r="AC177">
        <f t="shared" si="86"/>
        <v>2.1448282400097119E-3</v>
      </c>
      <c r="AD177">
        <f t="shared" si="87"/>
        <v>1.9035048664053659E-3</v>
      </c>
      <c r="AE177">
        <f t="shared" si="88"/>
        <v>1.7109939574537398E-3</v>
      </c>
      <c r="AF177">
        <f t="shared" si="89"/>
        <v>1.553846048662729E-3</v>
      </c>
      <c r="AG177">
        <f t="shared" si="90"/>
        <v>1.4231364703910052E-3</v>
      </c>
      <c r="AH177">
        <f t="shared" si="91"/>
        <v>1.3127111659999406E-3</v>
      </c>
      <c r="AI177">
        <f t="shared" si="92"/>
        <v>1.2181883808948591E-3</v>
      </c>
      <c r="AJ177">
        <f t="shared" si="93"/>
        <v>1.1363636363636363E-3</v>
      </c>
      <c r="AK177">
        <f t="shared" si="94"/>
        <v>-11.227543535821008</v>
      </c>
      <c r="AL177">
        <f t="shared" si="95"/>
        <v>-4.3955658779758666</v>
      </c>
      <c r="AM177">
        <f t="shared" si="96"/>
        <v>0.33570265485482986</v>
      </c>
      <c r="AN177">
        <f t="shared" si="97"/>
        <v>3.731454870491214</v>
      </c>
      <c r="AO177">
        <f t="shared" si="98"/>
        <v>6.2404078052745682</v>
      </c>
      <c r="AP177">
        <f t="shared" si="99"/>
        <v>8.1413502815982977</v>
      </c>
      <c r="AQ177">
        <f t="shared" si="100"/>
        <v>9.6159061416844658</v>
      </c>
      <c r="AR177">
        <f t="shared" si="101"/>
        <v>10.787705611040806</v>
      </c>
      <c r="AS177">
        <f t="shared" si="102"/>
        <v>11.745258661850295</v>
      </c>
      <c r="AT177">
        <f t="shared" si="103"/>
        <v>12.557394788758847</v>
      </c>
      <c r="AU177">
        <f t="shared" si="104"/>
        <v>0.9931854161692536</v>
      </c>
      <c r="AV177">
        <f t="shared" si="105"/>
        <v>16376.824485749545</v>
      </c>
      <c r="AW177">
        <f t="shared" si="106"/>
        <v>15193.720512993417</v>
      </c>
      <c r="AX177">
        <f t="shared" si="107"/>
        <v>14071.377193672844</v>
      </c>
      <c r="AY177">
        <f t="shared" si="108"/>
        <v>13032.783172894378</v>
      </c>
      <c r="AZ177">
        <f t="shared" si="109"/>
        <v>12096.517802548495</v>
      </c>
      <c r="BA177">
        <f t="shared" si="110"/>
        <v>11281.161484744505</v>
      </c>
      <c r="BB177">
        <f t="shared" si="111"/>
        <v>10611.693359761844</v>
      </c>
      <c r="BC177">
        <f t="shared" si="112"/>
        <v>10130.393954695386</v>
      </c>
      <c r="BD177">
        <f t="shared" si="113"/>
        <v>9925.312099186036</v>
      </c>
      <c r="BE177">
        <f t="shared" si="114"/>
        <v>136156.91877452171</v>
      </c>
      <c r="BF177">
        <f t="shared" si="115"/>
        <v>126320.59234502727</v>
      </c>
      <c r="BG177">
        <f t="shared" si="116"/>
        <v>116989.42998819603</v>
      </c>
      <c r="BH177">
        <f t="shared" si="117"/>
        <v>108354.55929944386</v>
      </c>
      <c r="BI177">
        <f t="shared" si="118"/>
        <v>100570.44901038818</v>
      </c>
      <c r="BJ177">
        <f t="shared" si="119"/>
        <v>93791.576584165814</v>
      </c>
      <c r="BK177">
        <f t="shared" si="120"/>
        <v>88225.618593059975</v>
      </c>
      <c r="BL177">
        <f t="shared" si="121"/>
        <v>84224.095339337437</v>
      </c>
      <c r="BM177">
        <f t="shared" si="122"/>
        <v>82519.044792632703</v>
      </c>
      <c r="BO177" s="2">
        <v>141893</v>
      </c>
      <c r="BP177" s="2">
        <v>132818</v>
      </c>
      <c r="BQ177" s="2">
        <v>123558</v>
      </c>
      <c r="BR177" s="2">
        <v>114150</v>
      </c>
      <c r="BS177" s="2">
        <v>104593</v>
      </c>
      <c r="BT177" s="2">
        <v>94828.49</v>
      </c>
      <c r="BU177" s="2">
        <v>84698.39</v>
      </c>
      <c r="BV177" s="2">
        <v>73857.53</v>
      </c>
      <c r="BW177" s="2">
        <v>61521.83</v>
      </c>
      <c r="BY177">
        <f t="shared" si="123"/>
        <v>0.95039951626552222</v>
      </c>
    </row>
    <row r="178" spans="1:77" x14ac:dyDescent="0.3">
      <c r="A178" s="1" t="s">
        <v>506</v>
      </c>
      <c r="B178" s="2">
        <v>371.1</v>
      </c>
      <c r="C178" s="2">
        <v>843</v>
      </c>
      <c r="E178">
        <v>371.1</v>
      </c>
      <c r="F178">
        <v>423.5333</v>
      </c>
      <c r="G178">
        <v>475.9667</v>
      </c>
      <c r="H178">
        <v>528.4</v>
      </c>
      <c r="I178">
        <v>580.83330000000001</v>
      </c>
      <c r="J178">
        <v>633.26670000000001</v>
      </c>
      <c r="K178">
        <v>685.7</v>
      </c>
      <c r="L178">
        <v>738.13329999999996</v>
      </c>
      <c r="M178">
        <v>790.56669999999997</v>
      </c>
      <c r="N178">
        <v>843</v>
      </c>
      <c r="O178">
        <v>0.42488670000000001</v>
      </c>
      <c r="P178">
        <v>9.8384420000000006</v>
      </c>
      <c r="Q178">
        <v>101.7131</v>
      </c>
      <c r="R178">
        <v>608.57429999999999</v>
      </c>
      <c r="S178">
        <v>2480.875</v>
      </c>
      <c r="T178">
        <v>7669.0519999999997</v>
      </c>
      <c r="U178">
        <v>19332.27</v>
      </c>
      <c r="V178">
        <v>41810.75</v>
      </c>
      <c r="W178">
        <v>80464.570000000007</v>
      </c>
      <c r="X178">
        <v>141568</v>
      </c>
      <c r="AA178">
        <f t="shared" si="84"/>
        <v>2.6946914578280783E-3</v>
      </c>
      <c r="AB178">
        <f t="shared" si="85"/>
        <v>2.3610894349983813E-3</v>
      </c>
      <c r="AC178">
        <f t="shared" si="86"/>
        <v>2.1009873169698635E-3</v>
      </c>
      <c r="AD178">
        <f t="shared" si="87"/>
        <v>1.8925056775170325E-3</v>
      </c>
      <c r="AE178">
        <f t="shared" si="88"/>
        <v>1.7216643742705524E-3</v>
      </c>
      <c r="AF178">
        <f t="shared" si="89"/>
        <v>1.579113507784319E-3</v>
      </c>
      <c r="AG178">
        <f t="shared" si="90"/>
        <v>1.4583637159107481E-3</v>
      </c>
      <c r="AH178">
        <f t="shared" si="91"/>
        <v>1.3547688473071193E-3</v>
      </c>
      <c r="AI178">
        <f t="shared" si="92"/>
        <v>1.2649154081496223E-3</v>
      </c>
      <c r="AJ178">
        <f t="shared" si="93"/>
        <v>1.1862396204033216E-3</v>
      </c>
      <c r="AK178">
        <f t="shared" si="94"/>
        <v>-0.85593273383397461</v>
      </c>
      <c r="AL178">
        <f t="shared" si="95"/>
        <v>2.2862973651947831</v>
      </c>
      <c r="AM178">
        <f t="shared" si="96"/>
        <v>4.6221561049853443</v>
      </c>
      <c r="AN178">
        <f t="shared" si="97"/>
        <v>6.411119008506831</v>
      </c>
      <c r="AO178">
        <f t="shared" si="98"/>
        <v>7.8163665995124223</v>
      </c>
      <c r="AP178">
        <f t="shared" si="99"/>
        <v>8.9449482882869233</v>
      </c>
      <c r="AQ178">
        <f t="shared" si="100"/>
        <v>9.8695309993478908</v>
      </c>
      <c r="AR178">
        <f t="shared" si="101"/>
        <v>10.640908762481995</v>
      </c>
      <c r="AS178">
        <f t="shared" si="102"/>
        <v>11.295572242299958</v>
      </c>
      <c r="AT178">
        <f t="shared" si="103"/>
        <v>11.860535446001897</v>
      </c>
      <c r="AU178">
        <f t="shared" si="104"/>
        <v>0.99789566633798055</v>
      </c>
      <c r="AV178">
        <f t="shared" si="105"/>
        <v>9419.0978591063831</v>
      </c>
      <c r="AW178">
        <f t="shared" si="106"/>
        <v>8980.5448625160971</v>
      </c>
      <c r="AX178">
        <f t="shared" si="107"/>
        <v>8580.9134474225048</v>
      </c>
      <c r="AY178">
        <f t="shared" si="108"/>
        <v>8225.4558136809555</v>
      </c>
      <c r="AZ178">
        <f t="shared" si="109"/>
        <v>7917.0454490607499</v>
      </c>
      <c r="BA178">
        <f t="shared" si="110"/>
        <v>7657.0128752605769</v>
      </c>
      <c r="BB178">
        <f t="shared" si="111"/>
        <v>7446.100116073555</v>
      </c>
      <c r="BC178">
        <f t="shared" si="112"/>
        <v>7285.9034217984072</v>
      </c>
      <c r="BD178">
        <f t="shared" si="113"/>
        <v>7180.9030438148156</v>
      </c>
      <c r="BE178">
        <f t="shared" si="114"/>
        <v>78310.379600610468</v>
      </c>
      <c r="BF178">
        <f t="shared" si="115"/>
        <v>74664.249986958836</v>
      </c>
      <c r="BG178">
        <f t="shared" si="116"/>
        <v>71341.714401870704</v>
      </c>
      <c r="BH178">
        <f t="shared" si="117"/>
        <v>68386.439634943468</v>
      </c>
      <c r="BI178">
        <f t="shared" si="118"/>
        <v>65822.31586349108</v>
      </c>
      <c r="BJ178">
        <f t="shared" si="119"/>
        <v>63660.405044916435</v>
      </c>
      <c r="BK178">
        <f t="shared" si="120"/>
        <v>61906.876365035539</v>
      </c>
      <c r="BL178">
        <f t="shared" si="121"/>
        <v>60575.00104883196</v>
      </c>
      <c r="BM178">
        <f t="shared" si="122"/>
        <v>59702.02790627638</v>
      </c>
      <c r="BO178" s="2">
        <v>84329.42</v>
      </c>
      <c r="BP178" s="2">
        <v>78524.070000000007</v>
      </c>
      <c r="BQ178" s="2">
        <v>73991.59</v>
      </c>
      <c r="BR178" s="2">
        <v>70344.009999999995</v>
      </c>
      <c r="BS178" s="2">
        <v>67210.61</v>
      </c>
      <c r="BT178" s="2">
        <v>64183.64</v>
      </c>
      <c r="BU178" s="2">
        <v>60743.47</v>
      </c>
      <c r="BV178" s="2">
        <v>56125.87</v>
      </c>
      <c r="BW178" s="2">
        <v>49007.07</v>
      </c>
      <c r="BY178">
        <f t="shared" si="123"/>
        <v>0.94286671687991908</v>
      </c>
    </row>
    <row r="179" spans="1:77" x14ac:dyDescent="0.3">
      <c r="A179" s="1" t="s">
        <v>509</v>
      </c>
      <c r="B179" s="2">
        <v>357.72</v>
      </c>
      <c r="C179" s="2">
        <v>856</v>
      </c>
      <c r="E179">
        <v>357.72</v>
      </c>
      <c r="F179">
        <v>413.08440000000002</v>
      </c>
      <c r="G179">
        <v>468.44889999999998</v>
      </c>
      <c r="H179">
        <v>523.81330000000003</v>
      </c>
      <c r="I179">
        <v>579.17780000000005</v>
      </c>
      <c r="J179">
        <v>634.54219999999998</v>
      </c>
      <c r="K179">
        <v>689.9067</v>
      </c>
      <c r="L179">
        <v>745.27110000000005</v>
      </c>
      <c r="M179">
        <v>800.63559999999995</v>
      </c>
      <c r="N179">
        <v>856</v>
      </c>
      <c r="O179">
        <v>3.1924099999999997E-2</v>
      </c>
      <c r="P179">
        <v>2.5230830000000002</v>
      </c>
      <c r="Q179">
        <v>57.39676</v>
      </c>
      <c r="R179">
        <v>578.6454</v>
      </c>
      <c r="S179">
        <v>3357.5949999999998</v>
      </c>
      <c r="T179">
        <v>13241.76</v>
      </c>
      <c r="U179">
        <v>39627.68</v>
      </c>
      <c r="V179">
        <v>97072.76</v>
      </c>
      <c r="W179">
        <v>205542</v>
      </c>
      <c r="X179">
        <v>392347</v>
      </c>
      <c r="AA179">
        <f t="shared" si="84"/>
        <v>2.795482500279548E-3</v>
      </c>
      <c r="AB179">
        <f t="shared" si="85"/>
        <v>2.4208127927367869E-3</v>
      </c>
      <c r="AC179">
        <f t="shared" si="86"/>
        <v>2.1347045536877127E-3</v>
      </c>
      <c r="AD179">
        <f t="shared" si="87"/>
        <v>1.9090771463802082E-3</v>
      </c>
      <c r="AE179">
        <f t="shared" si="88"/>
        <v>1.7265855148453548E-3</v>
      </c>
      <c r="AF179">
        <f t="shared" si="89"/>
        <v>1.5759393149896099E-3</v>
      </c>
      <c r="AG179">
        <f t="shared" si="90"/>
        <v>1.4494713560543767E-3</v>
      </c>
      <c r="AH179">
        <f t="shared" si="91"/>
        <v>1.3417936104056631E-3</v>
      </c>
      <c r="AI179">
        <f t="shared" si="92"/>
        <v>1.2490076634114197E-3</v>
      </c>
      <c r="AJ179">
        <f t="shared" si="93"/>
        <v>1.1682242990654205E-3</v>
      </c>
      <c r="AK179">
        <f t="shared" si="94"/>
        <v>-3.4443940685337369</v>
      </c>
      <c r="AL179">
        <f t="shared" si="95"/>
        <v>0.92548156646224622</v>
      </c>
      <c r="AM179">
        <f t="shared" si="96"/>
        <v>4.0499878557393547</v>
      </c>
      <c r="AN179">
        <f t="shared" si="97"/>
        <v>6.3606898547247717</v>
      </c>
      <c r="AO179">
        <f t="shared" si="98"/>
        <v>8.1189802228593493</v>
      </c>
      <c r="AP179">
        <f t="shared" si="99"/>
        <v>9.4911307511701164</v>
      </c>
      <c r="AQ179">
        <f t="shared" si="100"/>
        <v>10.587283142961901</v>
      </c>
      <c r="AR179">
        <f t="shared" si="101"/>
        <v>11.483216079391582</v>
      </c>
      <c r="AS179">
        <f t="shared" si="102"/>
        <v>12.233405671597813</v>
      </c>
      <c r="AT179">
        <f t="shared" si="103"/>
        <v>12.879901931292157</v>
      </c>
      <c r="AU179">
        <f t="shared" si="104"/>
        <v>0.99575359752029768</v>
      </c>
      <c r="AV179">
        <f t="shared" si="105"/>
        <v>11663.274470881126</v>
      </c>
      <c r="AW179">
        <f t="shared" si="106"/>
        <v>10920.714131343782</v>
      </c>
      <c r="AX179">
        <f t="shared" si="107"/>
        <v>10241.229230791952</v>
      </c>
      <c r="AY179">
        <f t="shared" si="108"/>
        <v>9634.9095755591861</v>
      </c>
      <c r="AZ179">
        <f t="shared" si="109"/>
        <v>9108.4310764208058</v>
      </c>
      <c r="BA179">
        <f t="shared" si="110"/>
        <v>8667.4316642774847</v>
      </c>
      <c r="BB179">
        <f t="shared" si="111"/>
        <v>8320.5023566574291</v>
      </c>
      <c r="BC179">
        <f t="shared" si="112"/>
        <v>8085.1639338527684</v>
      </c>
      <c r="BD179">
        <f t="shared" si="113"/>
        <v>8002.8390118213883</v>
      </c>
      <c r="BE179">
        <f t="shared" si="114"/>
        <v>96968.463950905687</v>
      </c>
      <c r="BF179">
        <f t="shared" si="115"/>
        <v>90794.817287992206</v>
      </c>
      <c r="BG179">
        <f t="shared" si="116"/>
        <v>85145.579824804299</v>
      </c>
      <c r="BH179">
        <f t="shared" si="117"/>
        <v>80104.638211199068</v>
      </c>
      <c r="BI179">
        <f t="shared" si="118"/>
        <v>75727.495969362586</v>
      </c>
      <c r="BJ179">
        <f t="shared" si="119"/>
        <v>72061.026856803015</v>
      </c>
      <c r="BK179">
        <f t="shared" si="120"/>
        <v>69176.656593249863</v>
      </c>
      <c r="BL179">
        <f t="shared" si="121"/>
        <v>67220.052946051917</v>
      </c>
      <c r="BM179">
        <f t="shared" si="122"/>
        <v>66535.603544283018</v>
      </c>
      <c r="BO179" s="2">
        <v>100212</v>
      </c>
      <c r="BP179" s="2">
        <v>93556.86</v>
      </c>
      <c r="BQ179" s="2">
        <v>87676.99</v>
      </c>
      <c r="BR179" s="2">
        <v>82253.77</v>
      </c>
      <c r="BS179" s="2">
        <v>76962.8</v>
      </c>
      <c r="BT179" s="2">
        <v>71443.63</v>
      </c>
      <c r="BU179" s="2">
        <v>65257.4</v>
      </c>
      <c r="BV179" s="2">
        <v>57811.68</v>
      </c>
      <c r="BW179" s="2">
        <v>48185.01</v>
      </c>
      <c r="BY179">
        <f t="shared" si="123"/>
        <v>0.91733172174282263</v>
      </c>
    </row>
    <row r="180" spans="1:77" x14ac:dyDescent="0.3">
      <c r="A180" s="1" t="s">
        <v>512</v>
      </c>
      <c r="B180" s="2">
        <v>359.77</v>
      </c>
      <c r="C180" s="2">
        <v>866</v>
      </c>
      <c r="E180">
        <v>359.77</v>
      </c>
      <c r="F180">
        <v>416.01780000000002</v>
      </c>
      <c r="G180">
        <v>472.26560000000001</v>
      </c>
      <c r="H180">
        <v>528.51329999999996</v>
      </c>
      <c r="I180">
        <v>584.76110000000006</v>
      </c>
      <c r="J180">
        <v>641.00890000000004</v>
      </c>
      <c r="K180">
        <v>697.25670000000002</v>
      </c>
      <c r="L180">
        <v>753.50440000000003</v>
      </c>
      <c r="M180">
        <v>809.75220000000002</v>
      </c>
      <c r="N180">
        <v>866</v>
      </c>
      <c r="O180">
        <v>1.3156999999999999E-3</v>
      </c>
      <c r="P180">
        <v>0.25325950000000003</v>
      </c>
      <c r="Q180">
        <v>10.596869999999999</v>
      </c>
      <c r="R180">
        <v>163.90780000000001</v>
      </c>
      <c r="S180">
        <v>1291.9369999999999</v>
      </c>
      <c r="T180">
        <v>6364.24</v>
      </c>
      <c r="U180">
        <v>22433.73</v>
      </c>
      <c r="V180">
        <v>62125.760000000002</v>
      </c>
      <c r="W180">
        <v>144605</v>
      </c>
      <c r="X180">
        <v>298212</v>
      </c>
      <c r="AA180">
        <f t="shared" si="84"/>
        <v>2.7795536036912473E-3</v>
      </c>
      <c r="AB180">
        <f t="shared" si="85"/>
        <v>2.4037433013683546E-3</v>
      </c>
      <c r="AC180">
        <f t="shared" si="86"/>
        <v>2.1174525521232119E-3</v>
      </c>
      <c r="AD180">
        <f t="shared" si="87"/>
        <v>1.8920999717509477E-3</v>
      </c>
      <c r="AE180">
        <f t="shared" si="88"/>
        <v>1.710100073346192E-3</v>
      </c>
      <c r="AF180">
        <f t="shared" si="89"/>
        <v>1.5600407420240186E-3</v>
      </c>
      <c r="AG180">
        <f t="shared" si="90"/>
        <v>1.4341920271257343E-3</v>
      </c>
      <c r="AH180">
        <f t="shared" si="91"/>
        <v>1.3271322635939485E-3</v>
      </c>
      <c r="AI180">
        <f t="shared" si="92"/>
        <v>1.23494570314227E-3</v>
      </c>
      <c r="AJ180">
        <f t="shared" si="93"/>
        <v>1.1547344110854503E-3</v>
      </c>
      <c r="AK180">
        <f t="shared" si="94"/>
        <v>-6.6333864355924819</v>
      </c>
      <c r="AL180">
        <f t="shared" si="95"/>
        <v>-1.3733406242173289</v>
      </c>
      <c r="AM180">
        <f t="shared" si="96"/>
        <v>2.360558674494539</v>
      </c>
      <c r="AN180">
        <f t="shared" si="97"/>
        <v>5.0993040746113145</v>
      </c>
      <c r="AO180">
        <f t="shared" si="98"/>
        <v>7.1638979215437537</v>
      </c>
      <c r="AP180">
        <f t="shared" si="99"/>
        <v>8.7584501008773277</v>
      </c>
      <c r="AQ180">
        <f t="shared" si="100"/>
        <v>10.018320908829187</v>
      </c>
      <c r="AR180">
        <f t="shared" si="101"/>
        <v>11.036915996724504</v>
      </c>
      <c r="AS180">
        <f t="shared" si="102"/>
        <v>11.881761166255602</v>
      </c>
      <c r="AT180">
        <f t="shared" si="103"/>
        <v>12.605559921951802</v>
      </c>
      <c r="AU180">
        <f t="shared" si="104"/>
        <v>0.99449684597792798</v>
      </c>
      <c r="AV180">
        <f t="shared" si="105"/>
        <v>13996.545009177982</v>
      </c>
      <c r="AW180">
        <f t="shared" si="106"/>
        <v>13042.333042744018</v>
      </c>
      <c r="AX180">
        <f t="shared" si="107"/>
        <v>12153.157490331772</v>
      </c>
      <c r="AY180">
        <f t="shared" si="108"/>
        <v>11343.928568250732</v>
      </c>
      <c r="AZ180">
        <f t="shared" si="109"/>
        <v>10626.144774096807</v>
      </c>
      <c r="BA180">
        <f t="shared" si="110"/>
        <v>10010.994621360538</v>
      </c>
      <c r="BB180">
        <f t="shared" si="111"/>
        <v>9514.2661845399871</v>
      </c>
      <c r="BC180">
        <f t="shared" si="112"/>
        <v>9164.5155800550874</v>
      </c>
      <c r="BD180">
        <f t="shared" si="113"/>
        <v>9023.6516223112158</v>
      </c>
      <c r="BE180">
        <f t="shared" si="114"/>
        <v>116367.27520630574</v>
      </c>
      <c r="BF180">
        <f t="shared" si="115"/>
        <v>108433.95691737377</v>
      </c>
      <c r="BG180">
        <f t="shared" si="116"/>
        <v>101041.35137461836</v>
      </c>
      <c r="BH180">
        <f t="shared" si="117"/>
        <v>94313.422116436588</v>
      </c>
      <c r="BI180">
        <f t="shared" si="118"/>
        <v>88345.767651840855</v>
      </c>
      <c r="BJ180">
        <f t="shared" si="119"/>
        <v>83231.409281991509</v>
      </c>
      <c r="BK180">
        <f t="shared" si="120"/>
        <v>79101.609058265458</v>
      </c>
      <c r="BL180">
        <f t="shared" si="121"/>
        <v>76193.782532578</v>
      </c>
      <c r="BM180">
        <f t="shared" si="122"/>
        <v>75022.63958789545</v>
      </c>
      <c r="BO180" s="2">
        <v>120650</v>
      </c>
      <c r="BP180" s="2">
        <v>111958</v>
      </c>
      <c r="BQ180" s="2">
        <v>104361</v>
      </c>
      <c r="BR180" s="2">
        <v>97439.57</v>
      </c>
      <c r="BS180" s="2">
        <v>90776.25</v>
      </c>
      <c r="BT180" s="2">
        <v>83916.59</v>
      </c>
      <c r="BU180" s="2">
        <v>76315.95</v>
      </c>
      <c r="BV180" s="2">
        <v>67247.95</v>
      </c>
      <c r="BW180" s="2">
        <v>55595.54</v>
      </c>
      <c r="BY180">
        <f t="shared" si="123"/>
        <v>0.93504474519658187</v>
      </c>
    </row>
    <row r="181" spans="1:77" x14ac:dyDescent="0.3">
      <c r="A181" s="9" t="s">
        <v>515</v>
      </c>
      <c r="B181" s="3">
        <v>358.32</v>
      </c>
      <c r="C181" s="3">
        <v>889</v>
      </c>
      <c r="E181">
        <v>358.32</v>
      </c>
      <c r="F181">
        <v>417.28440000000001</v>
      </c>
      <c r="G181">
        <v>476.24889999999999</v>
      </c>
      <c r="H181">
        <v>535.2133</v>
      </c>
      <c r="I181">
        <v>594.17780000000005</v>
      </c>
      <c r="J181">
        <v>653.1422</v>
      </c>
      <c r="K181">
        <v>712.10670000000005</v>
      </c>
      <c r="L181">
        <v>771.0711</v>
      </c>
      <c r="M181">
        <v>830.03560000000004</v>
      </c>
      <c r="N181">
        <v>889</v>
      </c>
      <c r="O181">
        <v>4.5599500000000001E-2</v>
      </c>
      <c r="P181">
        <v>3.4829110000000001</v>
      </c>
      <c r="Q181">
        <v>74.225309999999993</v>
      </c>
      <c r="R181">
        <v>698.40229999999997</v>
      </c>
      <c r="S181">
        <v>3805.4870000000001</v>
      </c>
      <c r="T181">
        <v>14220.54</v>
      </c>
      <c r="U181">
        <v>40685.82</v>
      </c>
      <c r="V181">
        <v>96023.360000000001</v>
      </c>
      <c r="W181">
        <v>197082</v>
      </c>
      <c r="X181">
        <v>366185</v>
      </c>
      <c r="AA181">
        <f t="shared" si="84"/>
        <v>2.7908015181960259E-3</v>
      </c>
      <c r="AB181">
        <f t="shared" si="85"/>
        <v>2.3964471233528018E-3</v>
      </c>
      <c r="AC181">
        <f t="shared" si="86"/>
        <v>2.0997423826070779E-3</v>
      </c>
      <c r="AD181">
        <f t="shared" si="87"/>
        <v>1.8684139575754189E-3</v>
      </c>
      <c r="AE181">
        <f t="shared" si="88"/>
        <v>1.6829979174583767E-3</v>
      </c>
      <c r="AF181">
        <f t="shared" si="89"/>
        <v>1.5310601581095204E-3</v>
      </c>
      <c r="AG181">
        <f t="shared" si="90"/>
        <v>1.4042839366628624E-3</v>
      </c>
      <c r="AH181">
        <f t="shared" si="91"/>
        <v>1.2968972640785006E-3</v>
      </c>
      <c r="AI181">
        <f t="shared" si="92"/>
        <v>1.2047676027389668E-3</v>
      </c>
      <c r="AJ181">
        <f t="shared" si="93"/>
        <v>1.1248593925759281E-3</v>
      </c>
      <c r="AK181">
        <f t="shared" si="94"/>
        <v>-3.0878585274341925</v>
      </c>
      <c r="AL181">
        <f t="shared" si="95"/>
        <v>1.2478684383729213</v>
      </c>
      <c r="AM181">
        <f t="shared" si="96"/>
        <v>4.3071051971315031</v>
      </c>
      <c r="AN181">
        <f t="shared" si="97"/>
        <v>6.5487952977616652</v>
      </c>
      <c r="AO181">
        <f t="shared" si="98"/>
        <v>8.2441992515933471</v>
      </c>
      <c r="AP181">
        <f t="shared" si="99"/>
        <v>9.5624426773197566</v>
      </c>
      <c r="AQ181">
        <f t="shared" si="100"/>
        <v>10.613634907775875</v>
      </c>
      <c r="AR181">
        <f t="shared" si="101"/>
        <v>11.472346774182553</v>
      </c>
      <c r="AS181">
        <f t="shared" si="102"/>
        <v>12.191375164769589</v>
      </c>
      <c r="AT181">
        <f t="shared" si="103"/>
        <v>12.810893949160238</v>
      </c>
      <c r="AU181">
        <f t="shared" si="104"/>
        <v>0.99623155513489881</v>
      </c>
      <c r="AV181">
        <f t="shared" si="105"/>
        <v>10994.493842349051</v>
      </c>
      <c r="AW181">
        <f t="shared" si="106"/>
        <v>10310.710745873617</v>
      </c>
      <c r="AX181">
        <f t="shared" si="107"/>
        <v>9690.5086364694271</v>
      </c>
      <c r="AY181">
        <f t="shared" si="108"/>
        <v>9143.7825592730478</v>
      </c>
      <c r="AZ181">
        <f t="shared" si="109"/>
        <v>8676.206832165135</v>
      </c>
      <c r="BA181">
        <f t="shared" si="110"/>
        <v>8291.7144750083535</v>
      </c>
      <c r="BB181">
        <f t="shared" si="111"/>
        <v>7996.4472847604329</v>
      </c>
      <c r="BC181">
        <f t="shared" si="112"/>
        <v>7804.5265784396643</v>
      </c>
      <c r="BD181">
        <f t="shared" si="113"/>
        <v>7752.8802500597849</v>
      </c>
      <c r="BE181">
        <f t="shared" si="114"/>
        <v>91408.221805290013</v>
      </c>
      <c r="BF181">
        <f t="shared" si="115"/>
        <v>85723.249141193257</v>
      </c>
      <c r="BG181">
        <f t="shared" si="116"/>
        <v>80566.888803606824</v>
      </c>
      <c r="BH181">
        <f t="shared" si="117"/>
        <v>76021.408197796118</v>
      </c>
      <c r="BI181">
        <f t="shared" si="118"/>
        <v>72133.983602620938</v>
      </c>
      <c r="BJ181">
        <f t="shared" si="119"/>
        <v>68937.314145219454</v>
      </c>
      <c r="BK181">
        <f t="shared" si="120"/>
        <v>66482.462725498233</v>
      </c>
      <c r="BL181">
        <f t="shared" si="121"/>
        <v>64886.833973147368</v>
      </c>
      <c r="BM181">
        <f t="shared" si="122"/>
        <v>64457.446398997054</v>
      </c>
      <c r="BO181" s="3">
        <v>94711.91</v>
      </c>
      <c r="BP181" s="3">
        <v>88206.58</v>
      </c>
      <c r="BQ181" s="3">
        <v>82696.78</v>
      </c>
      <c r="BR181" s="3">
        <v>77769.56</v>
      </c>
      <c r="BS181" s="3">
        <v>73014.19</v>
      </c>
      <c r="BT181" s="3">
        <v>67982.14</v>
      </c>
      <c r="BU181" s="3">
        <v>62139.3</v>
      </c>
      <c r="BV181" s="3">
        <v>54793.29</v>
      </c>
      <c r="BW181" s="3">
        <v>44938.44</v>
      </c>
      <c r="BY181">
        <f t="shared" si="123"/>
        <v>0.89698011019833179</v>
      </c>
    </row>
    <row r="182" spans="1:77" x14ac:dyDescent="0.3">
      <c r="A182" s="1" t="s">
        <v>518</v>
      </c>
      <c r="B182" s="2">
        <v>263.75</v>
      </c>
      <c r="C182" s="2">
        <v>805</v>
      </c>
      <c r="E182">
        <v>263.75</v>
      </c>
      <c r="F182">
        <v>323.88889999999998</v>
      </c>
      <c r="G182">
        <v>384.02780000000001</v>
      </c>
      <c r="H182">
        <v>444.16669999999999</v>
      </c>
      <c r="I182">
        <v>504.30560000000003</v>
      </c>
      <c r="J182">
        <v>564.44439999999997</v>
      </c>
      <c r="K182">
        <v>624.58330000000001</v>
      </c>
      <c r="L182">
        <v>684.72220000000004</v>
      </c>
      <c r="M182">
        <v>744.86109999999996</v>
      </c>
      <c r="N182">
        <v>805</v>
      </c>
      <c r="O182" s="13">
        <v>4.8086900000000002E-7</v>
      </c>
      <c r="P182">
        <v>3.5104400000000001E-3</v>
      </c>
      <c r="Q182">
        <v>1.0105569999999999</v>
      </c>
      <c r="R182">
        <v>46.170769999999997</v>
      </c>
      <c r="S182">
        <v>685.32209999999998</v>
      </c>
      <c r="T182">
        <v>4940.6909999999998</v>
      </c>
      <c r="U182">
        <v>22011.11</v>
      </c>
      <c r="V182">
        <v>70554.27</v>
      </c>
      <c r="W182">
        <v>180068</v>
      </c>
      <c r="X182">
        <v>393565</v>
      </c>
      <c r="AA182">
        <f t="shared" si="84"/>
        <v>3.7914691943127963E-3</v>
      </c>
      <c r="AB182">
        <f t="shared" si="85"/>
        <v>3.0874784532597447E-3</v>
      </c>
      <c r="AC182">
        <f t="shared" si="86"/>
        <v>2.6039781494985518E-3</v>
      </c>
      <c r="AD182">
        <f t="shared" si="87"/>
        <v>2.2514069604947871E-3</v>
      </c>
      <c r="AE182">
        <f t="shared" si="88"/>
        <v>1.9829246393456663E-3</v>
      </c>
      <c r="AF182">
        <f t="shared" si="89"/>
        <v>1.7716536828073766E-3</v>
      </c>
      <c r="AG182">
        <f t="shared" si="90"/>
        <v>1.6010674636993977E-3</v>
      </c>
      <c r="AH182">
        <f t="shared" si="91"/>
        <v>1.4604462948623544E-3</v>
      </c>
      <c r="AI182">
        <f t="shared" si="92"/>
        <v>1.3425321848597007E-3</v>
      </c>
      <c r="AJ182">
        <f t="shared" si="93"/>
        <v>1.2422360248447205E-3</v>
      </c>
      <c r="AK182">
        <f t="shared" si="94"/>
        <v>-14.547670953206797</v>
      </c>
      <c r="AL182">
        <f t="shared" si="95"/>
        <v>-5.6520138932354289</v>
      </c>
      <c r="AM182">
        <f t="shared" si="96"/>
        <v>1.0501663989634038E-2</v>
      </c>
      <c r="AN182">
        <f t="shared" si="97"/>
        <v>3.8323469138760391</v>
      </c>
      <c r="AO182">
        <f t="shared" si="98"/>
        <v>6.5298889467220276</v>
      </c>
      <c r="AP182">
        <f t="shared" si="99"/>
        <v>8.5052604789423878</v>
      </c>
      <c r="AQ182">
        <f t="shared" si="100"/>
        <v>9.9993026048708664</v>
      </c>
      <c r="AR182">
        <f t="shared" si="101"/>
        <v>11.164137479900173</v>
      </c>
      <c r="AS182">
        <f t="shared" si="102"/>
        <v>12.101089836310067</v>
      </c>
      <c r="AT182">
        <f t="shared" si="103"/>
        <v>12.883001517442144</v>
      </c>
      <c r="AU182">
        <f t="shared" si="104"/>
        <v>0.9937774931291975</v>
      </c>
      <c r="AV182">
        <f t="shared" si="105"/>
        <v>12636.042693778845</v>
      </c>
      <c r="AW182">
        <f t="shared" si="106"/>
        <v>11711.503618872293</v>
      </c>
      <c r="AX182">
        <f t="shared" si="107"/>
        <v>10839.925011131854</v>
      </c>
      <c r="AY182">
        <f t="shared" si="108"/>
        <v>10047.373031119307</v>
      </c>
      <c r="AZ182">
        <f t="shared" si="109"/>
        <v>9349.9436202076995</v>
      </c>
      <c r="BA182">
        <f t="shared" si="110"/>
        <v>8758.2814939040836</v>
      </c>
      <c r="BB182">
        <f t="shared" si="111"/>
        <v>8283.4958965471069</v>
      </c>
      <c r="BC182">
        <f t="shared" si="112"/>
        <v>7946.0579941519054</v>
      </c>
      <c r="BD182">
        <f t="shared" si="113"/>
        <v>7796.0280933516524</v>
      </c>
      <c r="BE182">
        <f t="shared" si="114"/>
        <v>105056.05895607732</v>
      </c>
      <c r="BF182">
        <f t="shared" si="115"/>
        <v>97369.441087304251</v>
      </c>
      <c r="BG182">
        <f t="shared" si="116"/>
        <v>90123.13654255023</v>
      </c>
      <c r="BH182">
        <f t="shared" si="117"/>
        <v>83533.859380725917</v>
      </c>
      <c r="BI182">
        <f t="shared" si="118"/>
        <v>77735.43125840681</v>
      </c>
      <c r="BJ182">
        <f t="shared" si="119"/>
        <v>72816.352340318554</v>
      </c>
      <c r="BK182">
        <f t="shared" si="120"/>
        <v>68868.984883892641</v>
      </c>
      <c r="BL182">
        <f t="shared" si="121"/>
        <v>66063.526163378949</v>
      </c>
      <c r="BM182">
        <f t="shared" si="122"/>
        <v>64816.17756812564</v>
      </c>
      <c r="BO182" s="2">
        <v>109350</v>
      </c>
      <c r="BP182" s="2">
        <v>100702</v>
      </c>
      <c r="BQ182" s="2">
        <v>93249.79</v>
      </c>
      <c r="BR182" s="2">
        <v>86595.21</v>
      </c>
      <c r="BS182" s="2">
        <v>80355.360000000001</v>
      </c>
      <c r="BT182" s="2">
        <v>74125.440000000002</v>
      </c>
      <c r="BU182" s="2">
        <v>67427.05</v>
      </c>
      <c r="BV182" s="2">
        <v>59617.86</v>
      </c>
      <c r="BW182" s="2">
        <v>49676.79</v>
      </c>
      <c r="BY182">
        <f t="shared" si="123"/>
        <v>0.94898490757348386</v>
      </c>
    </row>
    <row r="183" spans="1:77" x14ac:dyDescent="0.3">
      <c r="A183" s="1" t="s">
        <v>521</v>
      </c>
      <c r="B183" s="2">
        <v>286.05</v>
      </c>
      <c r="C183" s="2">
        <v>841</v>
      </c>
      <c r="E183">
        <v>286.05</v>
      </c>
      <c r="F183">
        <v>347.71109999999999</v>
      </c>
      <c r="G183">
        <v>409.37220000000002</v>
      </c>
      <c r="H183">
        <v>471.0333</v>
      </c>
      <c r="I183">
        <v>532.69439999999997</v>
      </c>
      <c r="J183">
        <v>594.35559999999998</v>
      </c>
      <c r="K183">
        <v>656.01670000000001</v>
      </c>
      <c r="L183">
        <v>717.67780000000005</v>
      </c>
      <c r="M183">
        <v>779.33889999999997</v>
      </c>
      <c r="N183">
        <v>841</v>
      </c>
      <c r="O183" s="13">
        <v>3.2492500000000001E-5</v>
      </c>
      <c r="P183">
        <v>4.5587700000000002E-2</v>
      </c>
      <c r="Q183">
        <v>5.0571029999999997</v>
      </c>
      <c r="R183">
        <v>128.24610000000001</v>
      </c>
      <c r="S183">
        <v>1301.73</v>
      </c>
      <c r="T183">
        <v>7283.6319999999996</v>
      </c>
      <c r="U183">
        <v>27283.279999999999</v>
      </c>
      <c r="V183">
        <v>77446.92</v>
      </c>
      <c r="W183">
        <v>181057</v>
      </c>
      <c r="X183">
        <v>370241</v>
      </c>
      <c r="AA183">
        <f t="shared" si="84"/>
        <v>3.4958923265163431E-3</v>
      </c>
      <c r="AB183">
        <f t="shared" si="85"/>
        <v>2.8759507533696795E-3</v>
      </c>
      <c r="AC183">
        <f t="shared" si="86"/>
        <v>2.4427647993683988E-3</v>
      </c>
      <c r="AD183">
        <f t="shared" si="87"/>
        <v>2.1229921536332994E-3</v>
      </c>
      <c r="AE183">
        <f t="shared" si="88"/>
        <v>1.8772489442351939E-3</v>
      </c>
      <c r="AF183">
        <f t="shared" si="89"/>
        <v>1.6824944528157891E-3</v>
      </c>
      <c r="AG183">
        <f t="shared" si="90"/>
        <v>1.5243514380045508E-3</v>
      </c>
      <c r="AH183">
        <f t="shared" si="91"/>
        <v>1.3933829359080076E-3</v>
      </c>
      <c r="AI183">
        <f t="shared" si="92"/>
        <v>1.2831388244574987E-3</v>
      </c>
      <c r="AJ183">
        <f t="shared" si="93"/>
        <v>1.1890606420927466E-3</v>
      </c>
      <c r="AK183">
        <f t="shared" si="94"/>
        <v>-10.334501264490667</v>
      </c>
      <c r="AL183">
        <f t="shared" si="95"/>
        <v>-3.0881173356894269</v>
      </c>
      <c r="AM183">
        <f t="shared" si="96"/>
        <v>1.6207937896974252</v>
      </c>
      <c r="AN183">
        <f t="shared" si="97"/>
        <v>4.8539510742317802</v>
      </c>
      <c r="AO183">
        <f t="shared" si="98"/>
        <v>7.1714494279918153</v>
      </c>
      <c r="AP183">
        <f t="shared" si="99"/>
        <v>8.8933849178798567</v>
      </c>
      <c r="AQ183">
        <f t="shared" si="100"/>
        <v>10.214029339333903</v>
      </c>
      <c r="AR183">
        <f t="shared" si="101"/>
        <v>11.257348077462268</v>
      </c>
      <c r="AS183">
        <f t="shared" si="102"/>
        <v>12.106567177799045</v>
      </c>
      <c r="AT183">
        <f t="shared" si="103"/>
        <v>12.821909423934535</v>
      </c>
      <c r="AU183">
        <f t="shared" si="104"/>
        <v>0.99474464586986644</v>
      </c>
      <c r="AV183">
        <f t="shared" si="105"/>
        <v>11688.817531659419</v>
      </c>
      <c r="AW183">
        <f t="shared" si="106"/>
        <v>10870.415076692283</v>
      </c>
      <c r="AX183">
        <f t="shared" si="107"/>
        <v>10110.8000564023</v>
      </c>
      <c r="AY183">
        <f t="shared" si="108"/>
        <v>9430.5692492429098</v>
      </c>
      <c r="AZ183">
        <f t="shared" si="109"/>
        <v>8841.5701087983871</v>
      </c>
      <c r="BA183">
        <f t="shared" si="110"/>
        <v>8350.9500753503762</v>
      </c>
      <c r="BB183">
        <f t="shared" si="111"/>
        <v>7966.1805810322594</v>
      </c>
      <c r="BC183">
        <f t="shared" si="112"/>
        <v>7703.0790049771513</v>
      </c>
      <c r="BD183">
        <f t="shared" si="113"/>
        <v>7603.6996905618935</v>
      </c>
      <c r="BE183">
        <f t="shared" si="114"/>
        <v>97180.828958216414</v>
      </c>
      <c r="BF183">
        <f t="shared" si="115"/>
        <v>90376.630947619647</v>
      </c>
      <c r="BG183">
        <f t="shared" si="116"/>
        <v>84061.191668928732</v>
      </c>
      <c r="BH183">
        <f t="shared" si="117"/>
        <v>78405.752738205556</v>
      </c>
      <c r="BI183">
        <f t="shared" si="118"/>
        <v>73508.813884549789</v>
      </c>
      <c r="BJ183">
        <f t="shared" si="119"/>
        <v>69429.798926463031</v>
      </c>
      <c r="BK183">
        <f t="shared" si="120"/>
        <v>66230.825350702202</v>
      </c>
      <c r="BL183">
        <f t="shared" si="121"/>
        <v>64043.398847380035</v>
      </c>
      <c r="BM183">
        <f t="shared" si="122"/>
        <v>63217.159227331584</v>
      </c>
      <c r="BO183" s="2">
        <v>101219</v>
      </c>
      <c r="BP183" s="2">
        <v>93325.4</v>
      </c>
      <c r="BQ183" s="2">
        <v>86674.13</v>
      </c>
      <c r="BR183" s="2">
        <v>80837.69</v>
      </c>
      <c r="BS183" s="2">
        <v>75408.17</v>
      </c>
      <c r="BT183" s="2">
        <v>69954.490000000005</v>
      </c>
      <c r="BU183" s="2">
        <v>63967.61</v>
      </c>
      <c r="BV183" s="2">
        <v>56769.67</v>
      </c>
      <c r="BW183" s="2">
        <v>47305.09</v>
      </c>
      <c r="BY183">
        <f t="shared" si="123"/>
        <v>0.93529280438400153</v>
      </c>
    </row>
    <row r="184" spans="1:77" x14ac:dyDescent="0.3">
      <c r="A184" s="1" t="s">
        <v>524</v>
      </c>
      <c r="B184" s="2">
        <v>275.95</v>
      </c>
      <c r="C184" s="2">
        <v>818</v>
      </c>
      <c r="E184">
        <v>275.95</v>
      </c>
      <c r="F184">
        <v>336.17779999999999</v>
      </c>
      <c r="G184">
        <v>396.40559999999999</v>
      </c>
      <c r="H184">
        <v>456.63330000000002</v>
      </c>
      <c r="I184">
        <v>516.86109999999996</v>
      </c>
      <c r="J184">
        <v>577.08889999999997</v>
      </c>
      <c r="K184">
        <v>637.31669999999997</v>
      </c>
      <c r="L184">
        <v>697.5444</v>
      </c>
      <c r="M184">
        <v>757.7722</v>
      </c>
      <c r="N184">
        <v>818</v>
      </c>
      <c r="O184" s="13">
        <v>4.8851799999999999E-9</v>
      </c>
      <c r="P184">
        <v>1.3402999999999999E-4</v>
      </c>
      <c r="Q184">
        <v>0.10022399999999999</v>
      </c>
      <c r="R184">
        <v>9.0876319999999993</v>
      </c>
      <c r="S184">
        <v>220.13900000000001</v>
      </c>
      <c r="T184">
        <v>2246.1880000000001</v>
      </c>
      <c r="U184">
        <v>12777.2</v>
      </c>
      <c r="V184">
        <v>48640.12</v>
      </c>
      <c r="W184">
        <v>140603</v>
      </c>
      <c r="X184">
        <v>339594</v>
      </c>
      <c r="AA184">
        <f t="shared" si="84"/>
        <v>3.623844899438304E-3</v>
      </c>
      <c r="AB184">
        <f t="shared" si="85"/>
        <v>2.9746164083410626E-3</v>
      </c>
      <c r="AC184">
        <f t="shared" si="86"/>
        <v>2.522668700946707E-3</v>
      </c>
      <c r="AD184">
        <f t="shared" si="87"/>
        <v>2.1899410314578458E-3</v>
      </c>
      <c r="AE184">
        <f t="shared" si="88"/>
        <v>1.9347557786801911E-3</v>
      </c>
      <c r="AF184">
        <f t="shared" si="89"/>
        <v>1.732835270267718E-3</v>
      </c>
      <c r="AG184">
        <f t="shared" si="90"/>
        <v>1.5690786072293415E-3</v>
      </c>
      <c r="AH184">
        <f t="shared" si="91"/>
        <v>1.4336004991223497E-3</v>
      </c>
      <c r="AI184">
        <f t="shared" si="92"/>
        <v>1.3196578074518965E-3</v>
      </c>
      <c r="AJ184">
        <f t="shared" si="93"/>
        <v>1.2224938875305623E-3</v>
      </c>
      <c r="AK184">
        <f t="shared" si="94"/>
        <v>-19.137059704638194</v>
      </c>
      <c r="AL184">
        <f t="shared" si="95"/>
        <v>-8.9174469024738681</v>
      </c>
      <c r="AM184">
        <f t="shared" si="96"/>
        <v>-2.3003475980538539</v>
      </c>
      <c r="AN184">
        <f t="shared" si="97"/>
        <v>2.2069143682011871</v>
      </c>
      <c r="AO184">
        <f t="shared" si="98"/>
        <v>5.3942591650211051</v>
      </c>
      <c r="AP184">
        <f t="shared" si="99"/>
        <v>7.7169898361586862</v>
      </c>
      <c r="AQ184">
        <f t="shared" si="100"/>
        <v>9.4554176115955269</v>
      </c>
      <c r="AR184">
        <f t="shared" si="101"/>
        <v>10.792203983742269</v>
      </c>
      <c r="AS184">
        <f t="shared" si="102"/>
        <v>11.853695595257669</v>
      </c>
      <c r="AT184">
        <f t="shared" si="103"/>
        <v>12.735506065418727</v>
      </c>
      <c r="AU184">
        <f t="shared" si="104"/>
        <v>0.99260813170095086</v>
      </c>
      <c r="AV184">
        <f t="shared" si="105"/>
        <v>15741.165001696809</v>
      </c>
      <c r="AW184">
        <f t="shared" si="106"/>
        <v>14641.294105838086</v>
      </c>
      <c r="AX184">
        <f t="shared" si="107"/>
        <v>13546.399592132304</v>
      </c>
      <c r="AY184">
        <f t="shared" si="108"/>
        <v>12490.317375812783</v>
      </c>
      <c r="AZ184">
        <f t="shared" si="109"/>
        <v>11503.193456668716</v>
      </c>
      <c r="BA184">
        <f t="shared" si="110"/>
        <v>10615.920861977009</v>
      </c>
      <c r="BB184">
        <f t="shared" si="111"/>
        <v>9867.1762606179545</v>
      </c>
      <c r="BC184">
        <f t="shared" si="112"/>
        <v>9316.0131286477081</v>
      </c>
      <c r="BD184">
        <f t="shared" si="113"/>
        <v>9075.4929491830899</v>
      </c>
      <c r="BE184">
        <f t="shared" si="114"/>
        <v>130872.04582410726</v>
      </c>
      <c r="BF184">
        <f t="shared" si="115"/>
        <v>121727.71919593784</v>
      </c>
      <c r="BG184">
        <f t="shared" si="116"/>
        <v>112624.76620898797</v>
      </c>
      <c r="BH184">
        <f t="shared" si="117"/>
        <v>103844.49866250748</v>
      </c>
      <c r="BI184">
        <f t="shared" si="118"/>
        <v>95637.550398743711</v>
      </c>
      <c r="BJ184">
        <f t="shared" si="119"/>
        <v>88260.766046476856</v>
      </c>
      <c r="BK184">
        <f t="shared" si="120"/>
        <v>82035.703430777678</v>
      </c>
      <c r="BL184">
        <f t="shared" si="121"/>
        <v>77453.333151577041</v>
      </c>
      <c r="BM184">
        <f t="shared" si="122"/>
        <v>75453.648379508217</v>
      </c>
      <c r="BO184" s="2">
        <v>135619</v>
      </c>
      <c r="BP184" s="2">
        <v>125840</v>
      </c>
      <c r="BQ184" s="2">
        <v>116714</v>
      </c>
      <c r="BR184" s="2">
        <v>108038</v>
      </c>
      <c r="BS184" s="2">
        <v>99589.45</v>
      </c>
      <c r="BT184" s="2">
        <v>91103.13</v>
      </c>
      <c r="BU184" s="2">
        <v>82224.710000000006</v>
      </c>
      <c r="BV184" s="2">
        <v>72411.61</v>
      </c>
      <c r="BW184" s="2">
        <v>60665.51</v>
      </c>
      <c r="BY184">
        <f t="shared" si="123"/>
        <v>0.96571145457542518</v>
      </c>
    </row>
    <row r="185" spans="1:77" x14ac:dyDescent="0.3">
      <c r="A185" s="1" t="s">
        <v>527</v>
      </c>
      <c r="B185" s="2">
        <v>442.1</v>
      </c>
      <c r="C185" s="2">
        <v>843</v>
      </c>
      <c r="E185">
        <v>442.1</v>
      </c>
      <c r="F185">
        <v>486.64440000000002</v>
      </c>
      <c r="G185">
        <v>531.18889999999999</v>
      </c>
      <c r="H185">
        <v>575.73329999999999</v>
      </c>
      <c r="I185">
        <v>620.27779999999996</v>
      </c>
      <c r="J185">
        <v>664.82219999999995</v>
      </c>
      <c r="K185">
        <v>709.36670000000004</v>
      </c>
      <c r="L185">
        <v>753.91110000000003</v>
      </c>
      <c r="M185">
        <v>798.4556</v>
      </c>
      <c r="N185">
        <v>843</v>
      </c>
      <c r="O185">
        <v>36.014000000000003</v>
      </c>
      <c r="P185">
        <v>284.29500000000002</v>
      </c>
      <c r="Q185">
        <v>1459.5730000000001</v>
      </c>
      <c r="R185">
        <v>5458.6030000000001</v>
      </c>
      <c r="S185">
        <v>16096.64</v>
      </c>
      <c r="T185">
        <v>39613.9</v>
      </c>
      <c r="U185">
        <v>84827.839999999997</v>
      </c>
      <c r="V185">
        <v>163111</v>
      </c>
      <c r="W185">
        <v>288659</v>
      </c>
      <c r="X185">
        <v>479904</v>
      </c>
      <c r="AA185">
        <f t="shared" si="84"/>
        <v>2.2619316896629721E-3</v>
      </c>
      <c r="AB185">
        <f t="shared" si="85"/>
        <v>2.0548885387358818E-3</v>
      </c>
      <c r="AC185">
        <f t="shared" si="86"/>
        <v>1.88256945881211E-3</v>
      </c>
      <c r="AD185">
        <f t="shared" si="87"/>
        <v>1.7369153390988502E-3</v>
      </c>
      <c r="AE185">
        <f t="shared" si="88"/>
        <v>1.6121808647673673E-3</v>
      </c>
      <c r="AF185">
        <f t="shared" si="89"/>
        <v>1.5041615637985616E-3</v>
      </c>
      <c r="AG185">
        <f t="shared" si="90"/>
        <v>1.4097081241620166E-3</v>
      </c>
      <c r="AH185">
        <f t="shared" si="91"/>
        <v>1.3264163374169713E-3</v>
      </c>
      <c r="AI185">
        <f t="shared" si="92"/>
        <v>1.2524177925485149E-3</v>
      </c>
      <c r="AJ185">
        <f t="shared" si="93"/>
        <v>1.1862396204033216E-3</v>
      </c>
      <c r="AK185">
        <f t="shared" si="94"/>
        <v>3.5839077517473137</v>
      </c>
      <c r="AL185">
        <f t="shared" si="95"/>
        <v>5.6500124314463731</v>
      </c>
      <c r="AM185">
        <f t="shared" si="96"/>
        <v>7.2858992061725081</v>
      </c>
      <c r="AN185">
        <f t="shared" si="97"/>
        <v>8.6049481751951298</v>
      </c>
      <c r="AO185">
        <f t="shared" si="98"/>
        <v>9.6863658335404121</v>
      </c>
      <c r="AP185">
        <f t="shared" si="99"/>
        <v>10.586935345753949</v>
      </c>
      <c r="AQ185">
        <f t="shared" si="100"/>
        <v>11.348379069787514</v>
      </c>
      <c r="AR185">
        <f t="shared" si="101"/>
        <v>12.002186229621236</v>
      </c>
      <c r="AS185">
        <f t="shared" si="102"/>
        <v>12.573001339632315</v>
      </c>
      <c r="AT185">
        <f t="shared" si="103"/>
        <v>13.081341362881407</v>
      </c>
      <c r="AU185">
        <f t="shared" si="104"/>
        <v>0.99783503294671638</v>
      </c>
      <c r="AV185">
        <f t="shared" si="105"/>
        <v>9979.1017980915112</v>
      </c>
      <c r="AW185">
        <f t="shared" si="106"/>
        <v>9493.3583411064901</v>
      </c>
      <c r="AX185">
        <f t="shared" si="107"/>
        <v>9056.036119124894</v>
      </c>
      <c r="AY185">
        <f t="shared" si="108"/>
        <v>8669.7576122492428</v>
      </c>
      <c r="AZ185">
        <f t="shared" si="109"/>
        <v>8337.1166461594439</v>
      </c>
      <c r="BA185">
        <f t="shared" si="110"/>
        <v>8061.5775027737027</v>
      </c>
      <c r="BB185">
        <f t="shared" si="111"/>
        <v>7849.599406902078</v>
      </c>
      <c r="BC185">
        <f t="shared" si="112"/>
        <v>7713.8693879155235</v>
      </c>
      <c r="BD185">
        <f t="shared" si="113"/>
        <v>7681.3850665715854</v>
      </c>
      <c r="BE185">
        <f t="shared" si="114"/>
        <v>82966.252349332819</v>
      </c>
      <c r="BF185">
        <f t="shared" si="115"/>
        <v>78927.781247959356</v>
      </c>
      <c r="BG185">
        <f t="shared" si="116"/>
        <v>75291.884294404372</v>
      </c>
      <c r="BH185">
        <f t="shared" si="117"/>
        <v>72080.3647882402</v>
      </c>
      <c r="BI185">
        <f t="shared" si="118"/>
        <v>69314.787796169621</v>
      </c>
      <c r="BJ185">
        <f t="shared" si="119"/>
        <v>67023.955358060572</v>
      </c>
      <c r="BK185">
        <f t="shared" si="120"/>
        <v>65261.569468983878</v>
      </c>
      <c r="BL185">
        <f t="shared" si="121"/>
        <v>64133.11009112966</v>
      </c>
      <c r="BM185">
        <f t="shared" si="122"/>
        <v>63863.035443476161</v>
      </c>
      <c r="BO185" s="2">
        <v>84667.08</v>
      </c>
      <c r="BP185" s="2">
        <v>80715.34</v>
      </c>
      <c r="BQ185" s="2">
        <v>76735.539999999994</v>
      </c>
      <c r="BR185" s="2">
        <v>72636.31</v>
      </c>
      <c r="BS185" s="2">
        <v>68307.89</v>
      </c>
      <c r="BT185" s="2">
        <v>63610.52</v>
      </c>
      <c r="BU185" s="2">
        <v>58353.03</v>
      </c>
      <c r="BV185" s="2">
        <v>52248.01</v>
      </c>
      <c r="BW185" s="2">
        <v>44799.73</v>
      </c>
      <c r="BY185">
        <f t="shared" si="123"/>
        <v>0.88664676614425575</v>
      </c>
    </row>
    <row r="186" spans="1:77" x14ac:dyDescent="0.3">
      <c r="A186" s="1" t="s">
        <v>530</v>
      </c>
      <c r="B186" s="2">
        <v>347.57</v>
      </c>
      <c r="C186" s="2">
        <v>815</v>
      </c>
      <c r="E186">
        <v>347.57</v>
      </c>
      <c r="F186">
        <v>399.50670000000002</v>
      </c>
      <c r="G186">
        <v>451.44330000000002</v>
      </c>
      <c r="H186">
        <v>503.38</v>
      </c>
      <c r="I186">
        <v>555.31669999999997</v>
      </c>
      <c r="J186">
        <v>607.25329999999997</v>
      </c>
      <c r="K186">
        <v>659.19</v>
      </c>
      <c r="L186">
        <v>711.12670000000003</v>
      </c>
      <c r="M186">
        <v>763.06330000000003</v>
      </c>
      <c r="N186">
        <v>815</v>
      </c>
      <c r="O186" s="13">
        <v>2.2381399999999999E-5</v>
      </c>
      <c r="P186">
        <v>1.3060799999999999E-2</v>
      </c>
      <c r="Q186">
        <v>1.2421409999999999</v>
      </c>
      <c r="R186">
        <v>35.386200000000002</v>
      </c>
      <c r="S186">
        <v>439.91019999999997</v>
      </c>
      <c r="T186">
        <v>3046.69</v>
      </c>
      <c r="U186">
        <v>13868.28</v>
      </c>
      <c r="V186">
        <v>46618.51</v>
      </c>
      <c r="W186">
        <v>126151</v>
      </c>
      <c r="X186">
        <v>294461</v>
      </c>
      <c r="AA186">
        <f t="shared" si="84"/>
        <v>2.8771182783324223E-3</v>
      </c>
      <c r="AB186">
        <f t="shared" si="85"/>
        <v>2.5030869319588381E-3</v>
      </c>
      <c r="AC186">
        <f t="shared" si="86"/>
        <v>2.2151176017010331E-3</v>
      </c>
      <c r="AD186">
        <f t="shared" si="87"/>
        <v>1.9865707815169453E-3</v>
      </c>
      <c r="AE186">
        <f t="shared" si="88"/>
        <v>1.8007742248702409E-3</v>
      </c>
      <c r="AF186">
        <f t="shared" si="89"/>
        <v>1.6467592683316831E-3</v>
      </c>
      <c r="AG186">
        <f t="shared" si="90"/>
        <v>1.5170133042066779E-3</v>
      </c>
      <c r="AH186">
        <f t="shared" si="91"/>
        <v>1.4062191730390659E-3</v>
      </c>
      <c r="AI186">
        <f t="shared" si="92"/>
        <v>1.3105072672214741E-3</v>
      </c>
      <c r="AJ186">
        <f t="shared" si="93"/>
        <v>1.2269938650306749E-3</v>
      </c>
      <c r="AK186">
        <f t="shared" si="94"/>
        <v>-10.707280301183591</v>
      </c>
      <c r="AL186">
        <f t="shared" si="95"/>
        <v>-4.3381399012671826</v>
      </c>
      <c r="AM186">
        <f t="shared" si="96"/>
        <v>0.21683650363768192</v>
      </c>
      <c r="AN186">
        <f t="shared" si="97"/>
        <v>3.5663219136275885</v>
      </c>
      <c r="AO186">
        <f t="shared" si="98"/>
        <v>6.0865706151738319</v>
      </c>
      <c r="AP186">
        <f t="shared" si="99"/>
        <v>8.0218110343940854</v>
      </c>
      <c r="AQ186">
        <f t="shared" si="100"/>
        <v>9.5373594969674027</v>
      </c>
      <c r="AR186">
        <f t="shared" si="101"/>
        <v>10.749752951547039</v>
      </c>
      <c r="AS186">
        <f t="shared" si="102"/>
        <v>11.745234881108733</v>
      </c>
      <c r="AT186">
        <f t="shared" si="103"/>
        <v>12.592901845460634</v>
      </c>
      <c r="AU186">
        <f t="shared" si="104"/>
        <v>0.99281855741699232</v>
      </c>
      <c r="AV186">
        <f t="shared" si="105"/>
        <v>17028.359953432569</v>
      </c>
      <c r="AW186">
        <f t="shared" si="106"/>
        <v>15817.574742515171</v>
      </c>
      <c r="AX186">
        <f t="shared" si="107"/>
        <v>14655.576512908794</v>
      </c>
      <c r="AY186">
        <f t="shared" si="108"/>
        <v>13564.560867177655</v>
      </c>
      <c r="AZ186">
        <f t="shared" si="109"/>
        <v>12565.275884331166</v>
      </c>
      <c r="BA186">
        <f t="shared" si="110"/>
        <v>11680.890984116815</v>
      </c>
      <c r="BB186">
        <f t="shared" si="111"/>
        <v>10942.758806831562</v>
      </c>
      <c r="BC186">
        <f t="shared" si="112"/>
        <v>10400.816085084416</v>
      </c>
      <c r="BD186">
        <f t="shared" si="113"/>
        <v>10150.071031895886</v>
      </c>
      <c r="BE186">
        <f t="shared" si="114"/>
        <v>141573.7846528384</v>
      </c>
      <c r="BF186">
        <f t="shared" si="115"/>
        <v>131507.31640927112</v>
      </c>
      <c r="BG186">
        <f t="shared" si="116"/>
        <v>121846.46312832371</v>
      </c>
      <c r="BH186">
        <f t="shared" si="117"/>
        <v>112775.75904971502</v>
      </c>
      <c r="BI186">
        <f t="shared" si="118"/>
        <v>104467.70370232931</v>
      </c>
      <c r="BJ186">
        <f t="shared" si="119"/>
        <v>97114.927641947201</v>
      </c>
      <c r="BK186">
        <f t="shared" si="120"/>
        <v>90978.0967199976</v>
      </c>
      <c r="BL186">
        <f t="shared" si="121"/>
        <v>86472.384931391833</v>
      </c>
      <c r="BM186">
        <f t="shared" si="122"/>
        <v>84387.690559182403</v>
      </c>
      <c r="BO186" s="2">
        <v>146500</v>
      </c>
      <c r="BP186" s="2">
        <v>136115</v>
      </c>
      <c r="BQ186" s="2">
        <v>126440</v>
      </c>
      <c r="BR186" s="2">
        <v>117271</v>
      </c>
      <c r="BS186" s="2">
        <v>108379</v>
      </c>
      <c r="BT186" s="2">
        <v>99494.73</v>
      </c>
      <c r="BU186" s="2">
        <v>90252.42</v>
      </c>
      <c r="BV186" s="2">
        <v>80095.509999999995</v>
      </c>
      <c r="BW186" s="2">
        <v>68016.460000000006</v>
      </c>
      <c r="BY186">
        <f t="shared" si="123"/>
        <v>0.96386763214447224</v>
      </c>
    </row>
    <row r="187" spans="1:77" x14ac:dyDescent="0.3">
      <c r="A187" s="1" t="s">
        <v>532</v>
      </c>
      <c r="B187" s="2">
        <v>395.4</v>
      </c>
      <c r="C187" s="2">
        <v>732</v>
      </c>
      <c r="E187">
        <v>395.4</v>
      </c>
      <c r="F187">
        <v>432.8</v>
      </c>
      <c r="G187">
        <v>470.2</v>
      </c>
      <c r="H187">
        <v>507.6</v>
      </c>
      <c r="I187">
        <v>545</v>
      </c>
      <c r="J187">
        <v>582.4</v>
      </c>
      <c r="K187">
        <v>619.79999999999995</v>
      </c>
      <c r="L187">
        <v>657.2</v>
      </c>
      <c r="M187">
        <v>694.6</v>
      </c>
      <c r="N187">
        <v>732</v>
      </c>
      <c r="O187">
        <v>0.46205439999999998</v>
      </c>
      <c r="P187">
        <v>10.159929999999999</v>
      </c>
      <c r="Q187">
        <v>116.828</v>
      </c>
      <c r="R187">
        <v>825.96400000000006</v>
      </c>
      <c r="S187">
        <v>4033.1689999999999</v>
      </c>
      <c r="T187">
        <v>14819.95</v>
      </c>
      <c r="U187">
        <v>43725.32</v>
      </c>
      <c r="V187">
        <v>108952</v>
      </c>
      <c r="W187">
        <v>238828</v>
      </c>
      <c r="X187">
        <v>477064</v>
      </c>
      <c r="AA187">
        <f t="shared" si="84"/>
        <v>2.5290844714213456E-3</v>
      </c>
      <c r="AB187">
        <f t="shared" si="85"/>
        <v>2.3105360443622918E-3</v>
      </c>
      <c r="AC187">
        <f t="shared" si="86"/>
        <v>2.126754572522331E-3</v>
      </c>
      <c r="AD187">
        <f t="shared" si="87"/>
        <v>1.9700551615445231E-3</v>
      </c>
      <c r="AE187">
        <f t="shared" si="88"/>
        <v>1.834862385321101E-3</v>
      </c>
      <c r="AF187">
        <f t="shared" si="89"/>
        <v>1.717032967032967E-3</v>
      </c>
      <c r="AG187">
        <f t="shared" si="90"/>
        <v>1.6134236850596968E-3</v>
      </c>
      <c r="AH187">
        <f t="shared" si="91"/>
        <v>1.5216068167985392E-3</v>
      </c>
      <c r="AI187">
        <f t="shared" si="92"/>
        <v>1.4396775122372588E-3</v>
      </c>
      <c r="AJ187">
        <f t="shared" si="93"/>
        <v>1.366120218579235E-3</v>
      </c>
      <c r="AK187">
        <f t="shared" si="94"/>
        <v>-0.77207264591450897</v>
      </c>
      <c r="AL187">
        <f t="shared" si="95"/>
        <v>2.3184515523628217</v>
      </c>
      <c r="AM187">
        <f t="shared" si="96"/>
        <v>4.7607027676918312</v>
      </c>
      <c r="AN187">
        <f t="shared" si="97"/>
        <v>6.7165511890360792</v>
      </c>
      <c r="AO187">
        <f t="shared" si="98"/>
        <v>8.3023076982850181</v>
      </c>
      <c r="AP187">
        <f t="shared" si="99"/>
        <v>9.6037295250252228</v>
      </c>
      <c r="AQ187">
        <f t="shared" si="100"/>
        <v>10.68568261832772</v>
      </c>
      <c r="AR187">
        <f t="shared" si="101"/>
        <v>11.598662697248793</v>
      </c>
      <c r="AS187">
        <f t="shared" si="102"/>
        <v>12.383498906558319</v>
      </c>
      <c r="AT187">
        <f t="shared" si="103"/>
        <v>13.07540593277799</v>
      </c>
      <c r="AU187">
        <f t="shared" si="104"/>
        <v>0.9952171243409762</v>
      </c>
      <c r="AV187">
        <f t="shared" si="105"/>
        <v>14141.141347323646</v>
      </c>
      <c r="AW187">
        <f t="shared" si="106"/>
        <v>13288.887018250412</v>
      </c>
      <c r="AX187">
        <f t="shared" si="107"/>
        <v>12481.530141943154</v>
      </c>
      <c r="AY187">
        <f t="shared" si="108"/>
        <v>11729.594979455775</v>
      </c>
      <c r="AZ187">
        <f t="shared" si="109"/>
        <v>11044.965218768833</v>
      </c>
      <c r="BA187">
        <f t="shared" si="110"/>
        <v>10442.627076419911</v>
      </c>
      <c r="BB187">
        <f t="shared" si="111"/>
        <v>9943.4896464150261</v>
      </c>
      <c r="BC187">
        <f t="shared" si="112"/>
        <v>9579.4320910229999</v>
      </c>
      <c r="BD187">
        <f t="shared" si="113"/>
        <v>9406.3687203668014</v>
      </c>
      <c r="BE187">
        <f t="shared" si="114"/>
        <v>117569.44916164879</v>
      </c>
      <c r="BF187">
        <f t="shared" si="115"/>
        <v>110483.80666973392</v>
      </c>
      <c r="BG187">
        <f t="shared" si="116"/>
        <v>103771.44160011539</v>
      </c>
      <c r="BH187">
        <f t="shared" si="117"/>
        <v>97519.852659195312</v>
      </c>
      <c r="BI187">
        <f t="shared" si="118"/>
        <v>91827.840828844084</v>
      </c>
      <c r="BJ187">
        <f t="shared" si="119"/>
        <v>86820.001513355135</v>
      </c>
      <c r="BK187">
        <f t="shared" si="120"/>
        <v>82670.172920294528</v>
      </c>
      <c r="BL187">
        <f t="shared" si="121"/>
        <v>79643.398404765219</v>
      </c>
      <c r="BM187">
        <f t="shared" si="122"/>
        <v>78204.549541129585</v>
      </c>
      <c r="BO187" s="2">
        <v>120724</v>
      </c>
      <c r="BP187" s="2">
        <v>113775</v>
      </c>
      <c r="BQ187" s="2">
        <v>107087</v>
      </c>
      <c r="BR187" s="2">
        <v>100536</v>
      </c>
      <c r="BS187" s="2">
        <v>93981.25</v>
      </c>
      <c r="BT187" s="2">
        <v>87241.3</v>
      </c>
      <c r="BU187" s="2">
        <v>80071.83</v>
      </c>
      <c r="BV187" s="2">
        <v>72105.42</v>
      </c>
      <c r="BW187" s="2">
        <v>62716.23</v>
      </c>
      <c r="BY187">
        <f t="shared" si="123"/>
        <v>0.95151307906763583</v>
      </c>
    </row>
    <row r="188" spans="1:77" x14ac:dyDescent="0.3">
      <c r="A188" s="1" t="s">
        <v>535</v>
      </c>
      <c r="B188" s="2">
        <v>244.27</v>
      </c>
      <c r="C188" s="2">
        <v>705</v>
      </c>
      <c r="E188">
        <v>244.27</v>
      </c>
      <c r="F188">
        <v>295.4622</v>
      </c>
      <c r="G188">
        <v>346.65440000000001</v>
      </c>
      <c r="H188">
        <v>397.8467</v>
      </c>
      <c r="I188">
        <v>449.03890000000001</v>
      </c>
      <c r="J188">
        <v>500.23110000000003</v>
      </c>
      <c r="K188">
        <v>551.42330000000004</v>
      </c>
      <c r="L188">
        <v>602.61559999999997</v>
      </c>
      <c r="M188">
        <v>653.80780000000004</v>
      </c>
      <c r="N188">
        <v>705</v>
      </c>
      <c r="O188" s="13">
        <v>5.9014500000000002E-8</v>
      </c>
      <c r="P188">
        <v>7.05344E-4</v>
      </c>
      <c r="Q188">
        <v>0.3234573</v>
      </c>
      <c r="R188">
        <v>21.661339999999999</v>
      </c>
      <c r="S188">
        <v>433.6934</v>
      </c>
      <c r="T188">
        <v>3932.596</v>
      </c>
      <c r="U188">
        <v>20852.240000000002</v>
      </c>
      <c r="V188">
        <v>76280.850000000006</v>
      </c>
      <c r="W188">
        <v>215468</v>
      </c>
      <c r="X188">
        <v>510374</v>
      </c>
      <c r="AA188">
        <f t="shared" si="84"/>
        <v>4.0938305972898839E-3</v>
      </c>
      <c r="AB188">
        <f t="shared" si="85"/>
        <v>3.3845276993131439E-3</v>
      </c>
      <c r="AC188">
        <f t="shared" si="86"/>
        <v>2.8847174592331729E-3</v>
      </c>
      <c r="AD188">
        <f t="shared" si="87"/>
        <v>2.513530965570407E-3</v>
      </c>
      <c r="AE188">
        <f t="shared" si="88"/>
        <v>2.2269785535284359E-3</v>
      </c>
      <c r="AF188">
        <f t="shared" si="89"/>
        <v>1.9990760270602926E-3</v>
      </c>
      <c r="AG188">
        <f t="shared" si="90"/>
        <v>1.813488838792267E-3</v>
      </c>
      <c r="AH188">
        <f t="shared" si="91"/>
        <v>1.6594326466158526E-3</v>
      </c>
      <c r="AI188">
        <f t="shared" si="92"/>
        <v>1.5295014834634888E-3</v>
      </c>
      <c r="AJ188">
        <f t="shared" si="93"/>
        <v>1.4184397163120568E-3</v>
      </c>
      <c r="AK188">
        <f t="shared" si="94"/>
        <v>-16.645482660523534</v>
      </c>
      <c r="AL188">
        <f t="shared" si="95"/>
        <v>-7.2568249308951973</v>
      </c>
      <c r="AM188">
        <f t="shared" si="96"/>
        <v>-1.1286881675707521</v>
      </c>
      <c r="AN188">
        <f t="shared" si="97"/>
        <v>3.0755291048485618</v>
      </c>
      <c r="AO188">
        <f t="shared" si="98"/>
        <v>6.0723378328329751</v>
      </c>
      <c r="AP188">
        <f t="shared" si="99"/>
        <v>8.2770550465861508</v>
      </c>
      <c r="AQ188">
        <f t="shared" si="100"/>
        <v>9.9452166555090802</v>
      </c>
      <c r="AR188">
        <f t="shared" si="101"/>
        <v>11.242177202809062</v>
      </c>
      <c r="AS188">
        <f t="shared" si="102"/>
        <v>12.280567685620579</v>
      </c>
      <c r="AT188">
        <f t="shared" si="103"/>
        <v>13.142899069276337</v>
      </c>
      <c r="AU188">
        <f t="shared" si="104"/>
        <v>0.99285813164682057</v>
      </c>
      <c r="AV188">
        <f t="shared" si="105"/>
        <v>13236.457592953775</v>
      </c>
      <c r="AW188">
        <f t="shared" si="106"/>
        <v>12260.926791623811</v>
      </c>
      <c r="AX188">
        <f t="shared" si="107"/>
        <v>11326.428477860971</v>
      </c>
      <c r="AY188">
        <f t="shared" si="108"/>
        <v>10458.152163610031</v>
      </c>
      <c r="AZ188">
        <f t="shared" si="109"/>
        <v>9673.9481036922862</v>
      </c>
      <c r="BA188">
        <f t="shared" si="110"/>
        <v>8988.5601721265648</v>
      </c>
      <c r="BB188">
        <f t="shared" si="111"/>
        <v>8418.7498663785827</v>
      </c>
      <c r="BC188">
        <f t="shared" si="112"/>
        <v>7991.8508971850551</v>
      </c>
      <c r="BD188">
        <f t="shared" si="113"/>
        <v>7764.4306026571294</v>
      </c>
      <c r="BE188">
        <f t="shared" si="114"/>
        <v>110047.90842781769</v>
      </c>
      <c r="BF188">
        <f t="shared" si="115"/>
        <v>101937.34534556037</v>
      </c>
      <c r="BG188">
        <f t="shared" si="116"/>
        <v>94167.926364936109</v>
      </c>
      <c r="BH188">
        <f t="shared" si="117"/>
        <v>86949.077088253805</v>
      </c>
      <c r="BI188">
        <f t="shared" si="118"/>
        <v>80429.204534097662</v>
      </c>
      <c r="BJ188">
        <f t="shared" si="119"/>
        <v>74730.889271060267</v>
      </c>
      <c r="BK188">
        <f t="shared" si="120"/>
        <v>69993.486389071535</v>
      </c>
      <c r="BL188">
        <f t="shared" si="121"/>
        <v>66444.248359196543</v>
      </c>
      <c r="BM188">
        <f t="shared" si="122"/>
        <v>64553.476030491373</v>
      </c>
      <c r="BO188" s="2">
        <v>113997</v>
      </c>
      <c r="BP188" s="2">
        <v>105584</v>
      </c>
      <c r="BQ188" s="2">
        <v>97797.3</v>
      </c>
      <c r="BR188" s="2">
        <v>90486.83</v>
      </c>
      <c r="BS188" s="2">
        <v>83490.259999999995</v>
      </c>
      <c r="BT188" s="2">
        <v>76614.23</v>
      </c>
      <c r="BU188" s="2">
        <v>69599.98</v>
      </c>
      <c r="BV188" s="2">
        <v>62049</v>
      </c>
      <c r="BW188" s="2">
        <v>53228.12</v>
      </c>
      <c r="BY188">
        <f t="shared" si="123"/>
        <v>0.97034487770265709</v>
      </c>
    </row>
    <row r="189" spans="1:77" x14ac:dyDescent="0.3">
      <c r="A189" s="1" t="s">
        <v>538</v>
      </c>
      <c r="B189" s="2">
        <v>259.35000000000002</v>
      </c>
      <c r="C189" s="2">
        <v>707</v>
      </c>
      <c r="E189">
        <v>259.35000000000002</v>
      </c>
      <c r="F189">
        <v>309.08890000000002</v>
      </c>
      <c r="G189">
        <v>358.82780000000002</v>
      </c>
      <c r="H189">
        <v>408.56670000000003</v>
      </c>
      <c r="I189">
        <v>458.30560000000003</v>
      </c>
      <c r="J189">
        <v>508.0444</v>
      </c>
      <c r="K189">
        <v>557.78330000000005</v>
      </c>
      <c r="L189">
        <v>607.5222</v>
      </c>
      <c r="M189">
        <v>657.26110000000006</v>
      </c>
      <c r="N189">
        <v>707</v>
      </c>
      <c r="O189" s="13">
        <v>4.7650299999999999E-7</v>
      </c>
      <c r="P189">
        <v>1.7731999999999999E-3</v>
      </c>
      <c r="Q189">
        <v>0.47102830000000001</v>
      </c>
      <c r="R189">
        <v>24.559989999999999</v>
      </c>
      <c r="S189">
        <v>442.04860000000002</v>
      </c>
      <c r="T189">
        <v>3858.7629999999999</v>
      </c>
      <c r="U189">
        <v>20319.189999999999</v>
      </c>
      <c r="V189">
        <v>74849.25</v>
      </c>
      <c r="W189">
        <v>214537</v>
      </c>
      <c r="X189">
        <v>518852</v>
      </c>
      <c r="AA189">
        <f t="shared" si="84"/>
        <v>3.8557933294775396E-3</v>
      </c>
      <c r="AB189">
        <f t="shared" si="85"/>
        <v>3.2353151471955152E-3</v>
      </c>
      <c r="AC189">
        <f t="shared" si="86"/>
        <v>2.7868520777933033E-3</v>
      </c>
      <c r="AD189">
        <f t="shared" si="87"/>
        <v>2.4475807744488232E-3</v>
      </c>
      <c r="AE189">
        <f t="shared" si="88"/>
        <v>2.1819502096417759E-3</v>
      </c>
      <c r="AF189">
        <f t="shared" si="89"/>
        <v>1.9683319016999302E-3</v>
      </c>
      <c r="AG189">
        <f t="shared" si="90"/>
        <v>1.7928109357164331E-3</v>
      </c>
      <c r="AH189">
        <f t="shared" si="91"/>
        <v>1.6460303837456474E-3</v>
      </c>
      <c r="AI189">
        <f t="shared" si="92"/>
        <v>1.5214653658949236E-3</v>
      </c>
      <c r="AJ189">
        <f t="shared" si="93"/>
        <v>1.4144271570014145E-3</v>
      </c>
      <c r="AK189">
        <f t="shared" si="94"/>
        <v>-14.556791817964314</v>
      </c>
      <c r="AL189">
        <f t="shared" si="95"/>
        <v>-6.3349694550933755</v>
      </c>
      <c r="AM189">
        <f t="shared" si="96"/>
        <v>-0.75283710184505614</v>
      </c>
      <c r="AN189">
        <f t="shared" si="97"/>
        <v>3.2011186961127351</v>
      </c>
      <c r="AO189">
        <f t="shared" si="98"/>
        <v>6.0914198307842486</v>
      </c>
      <c r="AP189">
        <f t="shared" si="99"/>
        <v>8.2581019447773283</v>
      </c>
      <c r="AQ189">
        <f t="shared" si="100"/>
        <v>9.9193210386931749</v>
      </c>
      <c r="AR189">
        <f t="shared" si="101"/>
        <v>11.223231369757494</v>
      </c>
      <c r="AS189">
        <f t="shared" si="102"/>
        <v>12.276237496647294</v>
      </c>
      <c r="AT189">
        <f t="shared" si="103"/>
        <v>13.159373957704611</v>
      </c>
      <c r="AU189">
        <f t="shared" si="104"/>
        <v>0.99436748974767986</v>
      </c>
      <c r="AV189">
        <f t="shared" si="105"/>
        <v>13250.783988298066</v>
      </c>
      <c r="AW189">
        <f t="shared" si="106"/>
        <v>12447.250920101709</v>
      </c>
      <c r="AX189">
        <f t="shared" si="107"/>
        <v>11654.25946427049</v>
      </c>
      <c r="AY189">
        <f t="shared" si="108"/>
        <v>10880.905729997652</v>
      </c>
      <c r="AZ189">
        <f t="shared" si="109"/>
        <v>10142.77350508237</v>
      </c>
      <c r="BA189">
        <f t="shared" si="110"/>
        <v>9464.50519234288</v>
      </c>
      <c r="BB189">
        <f t="shared" si="111"/>
        <v>8883.3998343584481</v>
      </c>
      <c r="BC189">
        <f t="shared" si="112"/>
        <v>8453.4658691391287</v>
      </c>
      <c r="BD189">
        <f t="shared" si="113"/>
        <v>8250.6655351075424</v>
      </c>
      <c r="BE189">
        <f t="shared" si="114"/>
        <v>110167.01807871013</v>
      </c>
      <c r="BF189">
        <f t="shared" si="115"/>
        <v>103486.4441497256</v>
      </c>
      <c r="BG189">
        <f t="shared" si="116"/>
        <v>96893.513185944859</v>
      </c>
      <c r="BH189">
        <f t="shared" si="117"/>
        <v>90463.850239200474</v>
      </c>
      <c r="BI189">
        <f t="shared" si="118"/>
        <v>84327.018921254828</v>
      </c>
      <c r="BJ189">
        <f t="shared" si="119"/>
        <v>78687.896169138709</v>
      </c>
      <c r="BK189">
        <f t="shared" si="120"/>
        <v>73856.586222856131</v>
      </c>
      <c r="BL189">
        <f t="shared" si="121"/>
        <v>70282.115236022713</v>
      </c>
      <c r="BM189">
        <f t="shared" si="122"/>
        <v>68596.033258884112</v>
      </c>
      <c r="BO189" s="2">
        <v>113430</v>
      </c>
      <c r="BP189" s="2">
        <v>106557</v>
      </c>
      <c r="BQ189" s="2">
        <v>99948.98</v>
      </c>
      <c r="BR189" s="2">
        <v>93533.55</v>
      </c>
      <c r="BS189" s="2">
        <v>87215.42</v>
      </c>
      <c r="BT189" s="2">
        <v>80862.92</v>
      </c>
      <c r="BU189" s="2">
        <v>74276.11</v>
      </c>
      <c r="BV189" s="2">
        <v>67115.740000000005</v>
      </c>
      <c r="BW189" s="2">
        <v>58711.4</v>
      </c>
      <c r="BY189">
        <f t="shared" si="123"/>
        <v>0.97073119169632449</v>
      </c>
    </row>
    <row r="190" spans="1:77" x14ac:dyDescent="0.3">
      <c r="A190" s="1" t="s">
        <v>541</v>
      </c>
      <c r="B190" s="2">
        <v>259.35000000000002</v>
      </c>
      <c r="C190" s="2">
        <v>740</v>
      </c>
      <c r="E190">
        <v>259.35000000000002</v>
      </c>
      <c r="F190">
        <v>312.75560000000002</v>
      </c>
      <c r="G190">
        <v>366.16109999999998</v>
      </c>
      <c r="H190">
        <v>419.56670000000003</v>
      </c>
      <c r="I190">
        <v>472.97219999999999</v>
      </c>
      <c r="J190">
        <v>526.37779999999998</v>
      </c>
      <c r="K190">
        <v>579.78330000000005</v>
      </c>
      <c r="L190">
        <v>633.18889999999999</v>
      </c>
      <c r="M190">
        <v>686.59439999999995</v>
      </c>
      <c r="N190">
        <v>740</v>
      </c>
      <c r="O190" s="13">
        <v>1.4016099999999999E-6</v>
      </c>
      <c r="P190">
        <v>5.3073599999999997E-3</v>
      </c>
      <c r="Q190">
        <v>1.1902999999999999</v>
      </c>
      <c r="R190">
        <v>49.944000000000003</v>
      </c>
      <c r="S190">
        <v>729.29060000000004</v>
      </c>
      <c r="T190">
        <v>5318.3909999999996</v>
      </c>
      <c r="U190">
        <v>24202.400000000001</v>
      </c>
      <c r="V190">
        <v>79393</v>
      </c>
      <c r="W190">
        <v>207114</v>
      </c>
      <c r="X190">
        <v>461714</v>
      </c>
      <c r="AA190">
        <f t="shared" si="84"/>
        <v>3.8557933294775396E-3</v>
      </c>
      <c r="AB190">
        <f t="shared" si="85"/>
        <v>3.1973847950284504E-3</v>
      </c>
      <c r="AC190">
        <f t="shared" si="86"/>
        <v>2.7310383325809323E-3</v>
      </c>
      <c r="AD190">
        <f t="shared" si="87"/>
        <v>2.3834112669094088E-3</v>
      </c>
      <c r="AE190">
        <f t="shared" si="88"/>
        <v>2.1142891696383E-3</v>
      </c>
      <c r="AF190">
        <f t="shared" si="89"/>
        <v>1.8997761683718424E-3</v>
      </c>
      <c r="AG190">
        <f t="shared" si="90"/>
        <v>1.7247823454038774E-3</v>
      </c>
      <c r="AH190">
        <f t="shared" si="91"/>
        <v>1.5793075336601762E-3</v>
      </c>
      <c r="AI190">
        <f t="shared" si="92"/>
        <v>1.4564639618383139E-3</v>
      </c>
      <c r="AJ190">
        <f t="shared" si="93"/>
        <v>1.3513513513513514E-3</v>
      </c>
      <c r="AK190">
        <f t="shared" si="94"/>
        <v>-13.47788898208654</v>
      </c>
      <c r="AL190">
        <f t="shared" si="95"/>
        <v>-5.2386607425020726</v>
      </c>
      <c r="AM190">
        <f t="shared" si="96"/>
        <v>0.17420537619169696</v>
      </c>
      <c r="AN190">
        <f t="shared" si="97"/>
        <v>3.9109023777594429</v>
      </c>
      <c r="AO190">
        <f t="shared" si="98"/>
        <v>6.59207228083541</v>
      </c>
      <c r="AP190">
        <f t="shared" si="99"/>
        <v>8.5789260929813747</v>
      </c>
      <c r="AQ190">
        <f t="shared" si="100"/>
        <v>10.094207080781125</v>
      </c>
      <c r="AR190">
        <f t="shared" si="101"/>
        <v>11.282165482139732</v>
      </c>
      <c r="AS190">
        <f t="shared" si="102"/>
        <v>12.241024645292029</v>
      </c>
      <c r="AT190">
        <f t="shared" si="103"/>
        <v>13.042700930755737</v>
      </c>
      <c r="AU190">
        <f t="shared" si="104"/>
        <v>0.99355656260083181</v>
      </c>
      <c r="AV190">
        <f t="shared" si="105"/>
        <v>12513.853950083565</v>
      </c>
      <c r="AW190">
        <f t="shared" si="106"/>
        <v>11606.962965443156</v>
      </c>
      <c r="AX190">
        <f t="shared" si="107"/>
        <v>10749.15439725453</v>
      </c>
      <c r="AY190">
        <f t="shared" si="108"/>
        <v>9962.6523806962032</v>
      </c>
      <c r="AZ190">
        <f t="shared" si="109"/>
        <v>9262.1603372095469</v>
      </c>
      <c r="BA190">
        <f t="shared" si="110"/>
        <v>8659.0541431690563</v>
      </c>
      <c r="BB190">
        <f t="shared" si="111"/>
        <v>8166.0762239140258</v>
      </c>
      <c r="BC190">
        <f t="shared" si="112"/>
        <v>7805.52982082576</v>
      </c>
      <c r="BD190">
        <f t="shared" si="113"/>
        <v>7626.8326107564726</v>
      </c>
      <c r="BE190">
        <f t="shared" si="114"/>
        <v>104040.18174099475</v>
      </c>
      <c r="BF190">
        <f t="shared" si="115"/>
        <v>96500.290094694399</v>
      </c>
      <c r="BG190">
        <f t="shared" si="116"/>
        <v>89368.469658774164</v>
      </c>
      <c r="BH190">
        <f t="shared" si="117"/>
        <v>82829.491893108236</v>
      </c>
      <c r="BI190">
        <f t="shared" si="118"/>
        <v>77005.601043560178</v>
      </c>
      <c r="BJ190">
        <f t="shared" si="119"/>
        <v>71991.376146307535</v>
      </c>
      <c r="BK190">
        <f t="shared" si="120"/>
        <v>67892.75772562121</v>
      </c>
      <c r="BL190">
        <f t="shared" si="121"/>
        <v>64895.174930345369</v>
      </c>
      <c r="BM190">
        <f t="shared" si="122"/>
        <v>63409.486325829312</v>
      </c>
      <c r="BO190" s="2">
        <v>107786</v>
      </c>
      <c r="BP190" s="2">
        <v>99740.17</v>
      </c>
      <c r="BQ190" s="2">
        <v>92563.74</v>
      </c>
      <c r="BR190" s="2">
        <v>85978.67</v>
      </c>
      <c r="BS190" s="2">
        <v>79707.87</v>
      </c>
      <c r="BT190" s="2">
        <v>73448.789999999994</v>
      </c>
      <c r="BU190" s="2">
        <v>66832.91</v>
      </c>
      <c r="BV190" s="2">
        <v>59348.32</v>
      </c>
      <c r="BW190" s="2">
        <v>50149.98</v>
      </c>
      <c r="BY190">
        <f t="shared" si="123"/>
        <v>0.95709865021074947</v>
      </c>
    </row>
    <row r="191" spans="1:77" x14ac:dyDescent="0.3">
      <c r="A191" s="1" t="s">
        <v>544</v>
      </c>
      <c r="B191" s="2">
        <v>263.95</v>
      </c>
      <c r="C191" s="2">
        <v>708</v>
      </c>
      <c r="E191">
        <v>263.95</v>
      </c>
      <c r="F191">
        <v>313.28890000000001</v>
      </c>
      <c r="G191">
        <v>362.62779999999998</v>
      </c>
      <c r="H191">
        <v>411.9667</v>
      </c>
      <c r="I191">
        <v>461.30560000000003</v>
      </c>
      <c r="J191">
        <v>510.64440000000002</v>
      </c>
      <c r="K191">
        <v>559.98329999999999</v>
      </c>
      <c r="L191">
        <v>609.32219999999995</v>
      </c>
      <c r="M191">
        <v>658.66110000000003</v>
      </c>
      <c r="N191">
        <v>708</v>
      </c>
      <c r="O191" s="13">
        <v>2.8878000000000001E-6</v>
      </c>
      <c r="P191">
        <v>4.4534300000000004E-3</v>
      </c>
      <c r="Q191">
        <v>0.72922509999999996</v>
      </c>
      <c r="R191">
        <v>29.27054</v>
      </c>
      <c r="S191">
        <v>462.2364</v>
      </c>
      <c r="T191">
        <v>3827.8829999999998</v>
      </c>
      <c r="U191">
        <v>19998.47</v>
      </c>
      <c r="V191">
        <v>74682.61</v>
      </c>
      <c r="W191">
        <v>217748</v>
      </c>
      <c r="X191">
        <v>529045</v>
      </c>
      <c r="AA191">
        <f t="shared" si="84"/>
        <v>3.7885963250615649E-3</v>
      </c>
      <c r="AB191">
        <f t="shared" si="85"/>
        <v>3.191942006244077E-3</v>
      </c>
      <c r="AC191">
        <f t="shared" si="86"/>
        <v>2.7576484759304172E-3</v>
      </c>
      <c r="AD191">
        <f t="shared" si="87"/>
        <v>2.4273806596504036E-3</v>
      </c>
      <c r="AE191">
        <f t="shared" si="88"/>
        <v>2.1677603740340458E-3</v>
      </c>
      <c r="AF191">
        <f t="shared" si="89"/>
        <v>1.9583099315296517E-3</v>
      </c>
      <c r="AG191">
        <f t="shared" si="90"/>
        <v>1.7857675398534206E-3</v>
      </c>
      <c r="AH191">
        <f t="shared" si="91"/>
        <v>1.6411678419069584E-3</v>
      </c>
      <c r="AI191">
        <f t="shared" si="92"/>
        <v>1.5182314546889136E-3</v>
      </c>
      <c r="AJ191">
        <f t="shared" si="93"/>
        <v>1.4124293785310734E-3</v>
      </c>
      <c r="AK191">
        <f t="shared" si="94"/>
        <v>-12.755015591409293</v>
      </c>
      <c r="AL191">
        <f t="shared" si="95"/>
        <v>-5.4140806931905052</v>
      </c>
      <c r="AM191">
        <f t="shared" si="96"/>
        <v>-0.31577281548642944</v>
      </c>
      <c r="AN191">
        <f t="shared" si="97"/>
        <v>3.3765815494574278</v>
      </c>
      <c r="AO191">
        <f t="shared" si="98"/>
        <v>6.1360764485256034</v>
      </c>
      <c r="AP191">
        <f t="shared" si="99"/>
        <v>8.2500671878424257</v>
      </c>
      <c r="AQ191">
        <f t="shared" si="100"/>
        <v>9.9034110496098542</v>
      </c>
      <c r="AR191">
        <f t="shared" si="101"/>
        <v>11.221002546161182</v>
      </c>
      <c r="AS191">
        <f t="shared" si="102"/>
        <v>12.291093709827562</v>
      </c>
      <c r="AT191">
        <f t="shared" si="103"/>
        <v>13.178828773385087</v>
      </c>
      <c r="AU191">
        <f t="shared" si="104"/>
        <v>0.99669848568246844</v>
      </c>
      <c r="AV191">
        <f t="shared" si="105"/>
        <v>12303.497463603086</v>
      </c>
      <c r="AW191">
        <f t="shared" si="106"/>
        <v>11739.313440893133</v>
      </c>
      <c r="AX191">
        <f t="shared" si="107"/>
        <v>11179.879427952914</v>
      </c>
      <c r="AY191">
        <f t="shared" si="108"/>
        <v>10628.964884299898</v>
      </c>
      <c r="AZ191">
        <f t="shared" si="109"/>
        <v>10093.035440937165</v>
      </c>
      <c r="BA191">
        <f t="shared" si="110"/>
        <v>9582.2472709771082</v>
      </c>
      <c r="BB191">
        <f t="shared" si="111"/>
        <v>9111.993422276475</v>
      </c>
      <c r="BC191">
        <f t="shared" si="112"/>
        <v>8704.4298916025837</v>
      </c>
      <c r="BD191">
        <f t="shared" si="113"/>
        <v>8390.5259310144647</v>
      </c>
      <c r="BE191">
        <f t="shared" si="114"/>
        <v>102291.27791239605</v>
      </c>
      <c r="BF191">
        <f t="shared" si="115"/>
        <v>97600.651947585502</v>
      </c>
      <c r="BG191">
        <f t="shared" si="116"/>
        <v>92949.517564000533</v>
      </c>
      <c r="BH191">
        <f t="shared" si="117"/>
        <v>88369.214048069349</v>
      </c>
      <c r="BI191">
        <f t="shared" si="118"/>
        <v>83913.496655951589</v>
      </c>
      <c r="BJ191">
        <f t="shared" si="119"/>
        <v>79666.803810903672</v>
      </c>
      <c r="BK191">
        <f t="shared" si="120"/>
        <v>75757.113312806614</v>
      </c>
      <c r="BL191">
        <f t="shared" si="121"/>
        <v>72368.630118783884</v>
      </c>
      <c r="BM191">
        <f t="shared" si="122"/>
        <v>69758.832590454258</v>
      </c>
      <c r="BO191" s="2">
        <v>104745</v>
      </c>
      <c r="BP191" s="2">
        <v>99717.33</v>
      </c>
      <c r="BQ191" s="2">
        <v>95101.31</v>
      </c>
      <c r="BR191" s="2">
        <v>90673.53</v>
      </c>
      <c r="BS191" s="2">
        <v>86188.83</v>
      </c>
      <c r="BT191" s="2">
        <v>81357.62</v>
      </c>
      <c r="BU191" s="2">
        <v>75809.31</v>
      </c>
      <c r="BV191" s="2">
        <v>69020.92</v>
      </c>
      <c r="BW191" s="2">
        <v>60140.03</v>
      </c>
      <c r="BY191">
        <f t="shared" si="123"/>
        <v>0.9640631797479855</v>
      </c>
    </row>
    <row r="192" spans="1:77" x14ac:dyDescent="0.3">
      <c r="A192" s="1" t="s">
        <v>547</v>
      </c>
      <c r="B192" s="2">
        <v>263.95</v>
      </c>
      <c r="C192" s="2">
        <v>740</v>
      </c>
      <c r="E192">
        <v>263.95</v>
      </c>
      <c r="F192">
        <v>316.84440000000001</v>
      </c>
      <c r="G192">
        <v>369.7389</v>
      </c>
      <c r="H192">
        <v>422.63330000000002</v>
      </c>
      <c r="I192">
        <v>475.52780000000001</v>
      </c>
      <c r="J192">
        <v>528.42219999999998</v>
      </c>
      <c r="K192">
        <v>581.31669999999997</v>
      </c>
      <c r="L192">
        <v>634.21109999999999</v>
      </c>
      <c r="M192">
        <v>687.10559999999998</v>
      </c>
      <c r="N192">
        <v>740</v>
      </c>
      <c r="O192" s="13">
        <v>2.2952300000000001E-7</v>
      </c>
      <c r="P192">
        <v>1.1171899999999999E-3</v>
      </c>
      <c r="Q192">
        <v>0.34053109999999998</v>
      </c>
      <c r="R192">
        <v>18.911850000000001</v>
      </c>
      <c r="S192">
        <v>346.97050000000002</v>
      </c>
      <c r="T192">
        <v>3012.636</v>
      </c>
      <c r="U192">
        <v>15610.73</v>
      </c>
      <c r="V192">
        <v>56592.44</v>
      </c>
      <c r="W192">
        <v>161281</v>
      </c>
      <c r="X192">
        <v>397361</v>
      </c>
      <c r="AA192">
        <f t="shared" si="84"/>
        <v>3.7885963250615649E-3</v>
      </c>
      <c r="AB192">
        <f t="shared" si="85"/>
        <v>3.1561233211001992E-3</v>
      </c>
      <c r="AC192">
        <f t="shared" si="86"/>
        <v>2.7046112810959299E-3</v>
      </c>
      <c r="AD192">
        <f t="shared" si="87"/>
        <v>2.366117388289091E-3</v>
      </c>
      <c r="AE192">
        <f t="shared" si="88"/>
        <v>2.1029264745405E-3</v>
      </c>
      <c r="AF192">
        <f t="shared" si="89"/>
        <v>1.8924261698316234E-3</v>
      </c>
      <c r="AG192">
        <f t="shared" si="90"/>
        <v>1.720232706199564E-3</v>
      </c>
      <c r="AH192">
        <f t="shared" si="91"/>
        <v>1.5767620591944859E-3</v>
      </c>
      <c r="AI192">
        <f t="shared" si="92"/>
        <v>1.4553803665695638E-3</v>
      </c>
      <c r="AJ192">
        <f t="shared" si="93"/>
        <v>1.3513513513513514E-3</v>
      </c>
      <c r="AK192">
        <f t="shared" si="94"/>
        <v>-15.287262594602362</v>
      </c>
      <c r="AL192">
        <f t="shared" si="95"/>
        <v>-6.7969386748821128</v>
      </c>
      <c r="AM192">
        <f t="shared" si="96"/>
        <v>-1.0772488212932823</v>
      </c>
      <c r="AN192">
        <f t="shared" si="97"/>
        <v>2.939788709720152</v>
      </c>
      <c r="AO192">
        <f t="shared" si="98"/>
        <v>5.849239761923708</v>
      </c>
      <c r="AP192">
        <f t="shared" si="99"/>
        <v>8.0105707220081115</v>
      </c>
      <c r="AQ192">
        <f t="shared" si="100"/>
        <v>9.6557137773103321</v>
      </c>
      <c r="AR192">
        <f t="shared" si="101"/>
        <v>10.943630686365561</v>
      </c>
      <c r="AS192">
        <f t="shared" si="102"/>
        <v>11.990903464242743</v>
      </c>
      <c r="AT192">
        <f t="shared" si="103"/>
        <v>12.892600466387689</v>
      </c>
      <c r="AU192">
        <f t="shared" si="104"/>
        <v>0.99443997520366068</v>
      </c>
      <c r="AV192">
        <f t="shared" si="105"/>
        <v>13424.009983893126</v>
      </c>
      <c r="AW192">
        <f t="shared" si="106"/>
        <v>12667.856771958392</v>
      </c>
      <c r="AX192">
        <f t="shared" si="107"/>
        <v>11867.385546319891</v>
      </c>
      <c r="AY192">
        <f t="shared" si="108"/>
        <v>11054.526962062084</v>
      </c>
      <c r="AZ192">
        <f t="shared" si="109"/>
        <v>10267.590648258392</v>
      </c>
      <c r="BA192">
        <f t="shared" si="110"/>
        <v>9554.038931567924</v>
      </c>
      <c r="BB192">
        <f t="shared" si="111"/>
        <v>8976.8669476317536</v>
      </c>
      <c r="BC192">
        <f t="shared" si="112"/>
        <v>8627.9302523266706</v>
      </c>
      <c r="BD192">
        <f t="shared" si="113"/>
        <v>8667.7452463962727</v>
      </c>
      <c r="BE192">
        <f t="shared" si="114"/>
        <v>111607.21900608744</v>
      </c>
      <c r="BF192">
        <f t="shared" si="115"/>
        <v>105320.56120206208</v>
      </c>
      <c r="BG192">
        <f t="shared" si="116"/>
        <v>98665.443432103566</v>
      </c>
      <c r="BH192">
        <f t="shared" si="117"/>
        <v>91907.337162584168</v>
      </c>
      <c r="BI192">
        <f t="shared" si="118"/>
        <v>85364.748649620276</v>
      </c>
      <c r="BJ192">
        <f t="shared" si="119"/>
        <v>79432.279677055718</v>
      </c>
      <c r="BK192">
        <f t="shared" si="120"/>
        <v>74633.671802610406</v>
      </c>
      <c r="BL192">
        <f t="shared" si="121"/>
        <v>71732.612117843935</v>
      </c>
      <c r="BM192">
        <f t="shared" si="122"/>
        <v>72063.633978538608</v>
      </c>
      <c r="BO192" s="2">
        <v>114651</v>
      </c>
      <c r="BP192" s="2">
        <v>108061</v>
      </c>
      <c r="BQ192" s="2">
        <v>101562</v>
      </c>
      <c r="BR192" s="2">
        <v>95100.17</v>
      </c>
      <c r="BS192" s="2">
        <v>88599.27</v>
      </c>
      <c r="BT192" s="2">
        <v>81941.5</v>
      </c>
      <c r="BU192" s="2">
        <v>74936.61</v>
      </c>
      <c r="BV192" s="2">
        <v>67248</v>
      </c>
      <c r="BW192" s="2">
        <v>58191.21</v>
      </c>
      <c r="BY192">
        <f t="shared" si="123"/>
        <v>0.94310602412313849</v>
      </c>
    </row>
    <row r="193" spans="1:77" x14ac:dyDescent="0.3">
      <c r="A193" s="1" t="s">
        <v>550</v>
      </c>
      <c r="B193" s="2">
        <v>263.95</v>
      </c>
      <c r="C193" s="2">
        <v>732</v>
      </c>
      <c r="E193">
        <v>263.95</v>
      </c>
      <c r="F193">
        <v>315.9556</v>
      </c>
      <c r="G193">
        <v>367.96109999999999</v>
      </c>
      <c r="H193">
        <v>419.9667</v>
      </c>
      <c r="I193">
        <v>471.97219999999999</v>
      </c>
      <c r="J193">
        <v>523.9778</v>
      </c>
      <c r="K193">
        <v>575.98329999999999</v>
      </c>
      <c r="L193">
        <v>627.98889999999994</v>
      </c>
      <c r="M193">
        <v>679.99440000000004</v>
      </c>
      <c r="N193">
        <v>732</v>
      </c>
      <c r="O193" s="13">
        <v>5.4414900000000002E-8</v>
      </c>
      <c r="P193">
        <v>5.0718599999999996E-4</v>
      </c>
      <c r="Q193">
        <v>0.2169751</v>
      </c>
      <c r="R193">
        <v>14.497350000000001</v>
      </c>
      <c r="S193">
        <v>296.8272</v>
      </c>
      <c r="T193">
        <v>2773.3879999999999</v>
      </c>
      <c r="U193">
        <v>15163.65</v>
      </c>
      <c r="V193">
        <v>57094.99</v>
      </c>
      <c r="W193">
        <v>165601</v>
      </c>
      <c r="X193">
        <v>402003</v>
      </c>
      <c r="AA193">
        <f t="shared" si="84"/>
        <v>3.7885963250615649E-3</v>
      </c>
      <c r="AB193">
        <f t="shared" si="85"/>
        <v>3.1650016647908757E-3</v>
      </c>
      <c r="AC193">
        <f t="shared" si="86"/>
        <v>2.7176785806977966E-3</v>
      </c>
      <c r="AD193">
        <f t="shared" si="87"/>
        <v>2.381141171430973E-3</v>
      </c>
      <c r="AE193">
        <f t="shared" si="88"/>
        <v>2.1187688596913125E-3</v>
      </c>
      <c r="AF193">
        <f t="shared" si="89"/>
        <v>1.9084778019221424E-3</v>
      </c>
      <c r="AG193">
        <f t="shared" si="90"/>
        <v>1.7361614477364189E-3</v>
      </c>
      <c r="AH193">
        <f t="shared" si="91"/>
        <v>1.5923848335535869E-3</v>
      </c>
      <c r="AI193">
        <f t="shared" si="92"/>
        <v>1.4706003461204974E-3</v>
      </c>
      <c r="AJ193">
        <f t="shared" si="93"/>
        <v>1.366120218579235E-3</v>
      </c>
      <c r="AK193">
        <f t="shared" si="94"/>
        <v>-16.726627823528641</v>
      </c>
      <c r="AL193">
        <f t="shared" si="95"/>
        <v>-7.5866327577458739</v>
      </c>
      <c r="AM193">
        <f t="shared" si="96"/>
        <v>-1.5279726785693446</v>
      </c>
      <c r="AN193">
        <f t="shared" si="97"/>
        <v>2.6739658741034473</v>
      </c>
      <c r="AO193">
        <f t="shared" si="98"/>
        <v>5.6931501512990037</v>
      </c>
      <c r="AP193">
        <f t="shared" si="99"/>
        <v>7.9278249564913361</v>
      </c>
      <c r="AQ193">
        <f t="shared" si="100"/>
        <v>9.6266563953885846</v>
      </c>
      <c r="AR193">
        <f t="shared" si="101"/>
        <v>10.952471650989049</v>
      </c>
      <c r="AS193">
        <f t="shared" si="102"/>
        <v>12.017336559562407</v>
      </c>
      <c r="AT193">
        <f t="shared" si="103"/>
        <v>12.90421483025988</v>
      </c>
      <c r="AU193">
        <f t="shared" si="104"/>
        <v>0.9924334260312494</v>
      </c>
      <c r="AV193">
        <f t="shared" si="105"/>
        <v>14656.948893397021</v>
      </c>
      <c r="AW193">
        <f t="shared" si="106"/>
        <v>13544.259830587773</v>
      </c>
      <c r="AX193">
        <f t="shared" si="107"/>
        <v>12485.799310772272</v>
      </c>
      <c r="AY193">
        <f t="shared" si="108"/>
        <v>11507.251878739969</v>
      </c>
      <c r="AZ193">
        <f t="shared" si="109"/>
        <v>10626.58026878758</v>
      </c>
      <c r="BA193">
        <f t="shared" si="110"/>
        <v>9858.7940008656296</v>
      </c>
      <c r="BB193">
        <f t="shared" si="111"/>
        <v>9221.3553861722285</v>
      </c>
      <c r="BC193">
        <f t="shared" si="112"/>
        <v>8743.846864391604</v>
      </c>
      <c r="BD193">
        <f t="shared" si="113"/>
        <v>8488.4876346194887</v>
      </c>
      <c r="BE193">
        <f t="shared" si="114"/>
        <v>121857.87309970283</v>
      </c>
      <c r="BF193">
        <f t="shared" si="115"/>
        <v>112606.97623150675</v>
      </c>
      <c r="BG193">
        <f t="shared" si="116"/>
        <v>103806.93546976068</v>
      </c>
      <c r="BH193">
        <f t="shared" si="117"/>
        <v>95671.292119844104</v>
      </c>
      <c r="BI193">
        <f t="shared" si="118"/>
        <v>88349.388354699942</v>
      </c>
      <c r="BJ193">
        <f t="shared" si="119"/>
        <v>81966.01332319685</v>
      </c>
      <c r="BK193">
        <f t="shared" si="120"/>
        <v>76666.348680635914</v>
      </c>
      <c r="BL193">
        <f t="shared" si="121"/>
        <v>72696.342830551803</v>
      </c>
      <c r="BM193">
        <f t="shared" si="122"/>
        <v>70573.286194226428</v>
      </c>
      <c r="BO193" s="2">
        <v>126374</v>
      </c>
      <c r="BP193" s="2">
        <v>116658</v>
      </c>
      <c r="BQ193" s="2">
        <v>107798</v>
      </c>
      <c r="BR193" s="2">
        <v>99597.74</v>
      </c>
      <c r="BS193" s="2">
        <v>91852.84</v>
      </c>
      <c r="BT193" s="2">
        <v>84326.29</v>
      </c>
      <c r="BU193" s="2">
        <v>76709</v>
      </c>
      <c r="BV193" s="2">
        <v>68532.02</v>
      </c>
      <c r="BW193" s="2">
        <v>58936.99</v>
      </c>
      <c r="BY193">
        <f t="shared" si="123"/>
        <v>0.97297783356605916</v>
      </c>
    </row>
    <row r="194" spans="1:77" x14ac:dyDescent="0.3">
      <c r="A194" s="1" t="s">
        <v>553</v>
      </c>
      <c r="B194" s="2">
        <v>263.95</v>
      </c>
      <c r="C194" s="2">
        <v>765</v>
      </c>
      <c r="E194">
        <v>263.95</v>
      </c>
      <c r="F194">
        <v>319.62220000000002</v>
      </c>
      <c r="G194">
        <v>375.2944</v>
      </c>
      <c r="H194">
        <v>430.9667</v>
      </c>
      <c r="I194">
        <v>486.63889999999998</v>
      </c>
      <c r="J194">
        <v>542.31110000000001</v>
      </c>
      <c r="K194">
        <v>597.98329999999999</v>
      </c>
      <c r="L194">
        <v>653.65560000000005</v>
      </c>
      <c r="M194">
        <v>709.32780000000002</v>
      </c>
      <c r="N194">
        <v>765</v>
      </c>
      <c r="O194" s="13">
        <v>1.5468500000000001E-7</v>
      </c>
      <c r="P194">
        <v>1.3115799999999999E-3</v>
      </c>
      <c r="Q194">
        <v>0.47480129999999998</v>
      </c>
      <c r="R194">
        <v>26.911180000000002</v>
      </c>
      <c r="S194">
        <v>478.05020000000002</v>
      </c>
      <c r="T194">
        <v>3974.5659999999998</v>
      </c>
      <c r="U194">
        <v>19779.810000000001</v>
      </c>
      <c r="V194">
        <v>69059.570000000007</v>
      </c>
      <c r="W194">
        <v>188442</v>
      </c>
      <c r="X194">
        <v>434988</v>
      </c>
      <c r="AA194">
        <f t="shared" si="84"/>
        <v>3.7885963250615649E-3</v>
      </c>
      <c r="AB194">
        <f t="shared" si="85"/>
        <v>3.1286938141343121E-3</v>
      </c>
      <c r="AC194">
        <f t="shared" si="86"/>
        <v>2.6645747978120645E-3</v>
      </c>
      <c r="AD194">
        <f t="shared" si="87"/>
        <v>2.3203648913013466E-3</v>
      </c>
      <c r="AE194">
        <f t="shared" si="88"/>
        <v>2.0549117631163479E-3</v>
      </c>
      <c r="AF194">
        <f t="shared" si="89"/>
        <v>1.8439600443361753E-3</v>
      </c>
      <c r="AG194">
        <f t="shared" si="90"/>
        <v>1.6722875036811228E-3</v>
      </c>
      <c r="AH194">
        <f t="shared" si="91"/>
        <v>1.5298576192110951E-3</v>
      </c>
      <c r="AI194">
        <f t="shared" si="92"/>
        <v>1.4097854334765958E-3</v>
      </c>
      <c r="AJ194">
        <f t="shared" si="93"/>
        <v>1.30718954248366E-3</v>
      </c>
      <c r="AK194">
        <f t="shared" si="94"/>
        <v>-15.681875045930164</v>
      </c>
      <c r="AL194">
        <f t="shared" si="95"/>
        <v>-6.6365227616614293</v>
      </c>
      <c r="AM194">
        <f t="shared" si="96"/>
        <v>-0.74485887825542718</v>
      </c>
      <c r="AN194">
        <f t="shared" si="97"/>
        <v>3.2925418136473739</v>
      </c>
      <c r="AO194">
        <f t="shared" si="98"/>
        <v>6.169715747897647</v>
      </c>
      <c r="AP194">
        <f t="shared" si="99"/>
        <v>8.2876708387376645</v>
      </c>
      <c r="AQ194">
        <f t="shared" si="100"/>
        <v>9.8924169994682831</v>
      </c>
      <c r="AR194">
        <f t="shared" si="101"/>
        <v>11.142724744454862</v>
      </c>
      <c r="AS194">
        <f t="shared" si="102"/>
        <v>12.146545546215521</v>
      </c>
      <c r="AT194">
        <f t="shared" si="103"/>
        <v>12.983073723483418</v>
      </c>
      <c r="AU194">
        <f t="shared" si="104"/>
        <v>0.99305811346757367</v>
      </c>
      <c r="AV194">
        <f t="shared" si="105"/>
        <v>13707.103904724936</v>
      </c>
      <c r="AW194">
        <f t="shared" si="106"/>
        <v>12694.295377277314</v>
      </c>
      <c r="AX194">
        <f t="shared" si="107"/>
        <v>11729.472672155895</v>
      </c>
      <c r="AY194">
        <f t="shared" si="108"/>
        <v>10838.726798672804</v>
      </c>
      <c r="AZ194">
        <f t="shared" si="109"/>
        <v>10039.999214450985</v>
      </c>
      <c r="BA194">
        <f t="shared" si="110"/>
        <v>9347.7160331371197</v>
      </c>
      <c r="BB194">
        <f t="shared" si="111"/>
        <v>8778.4087562725454</v>
      </c>
      <c r="BC194">
        <f t="shared" si="112"/>
        <v>8360.144321685646</v>
      </c>
      <c r="BD194">
        <f t="shared" si="113"/>
        <v>8153.622617551976</v>
      </c>
      <c r="BE194">
        <f t="shared" si="114"/>
        <v>113960.86186388312</v>
      </c>
      <c r="BF194">
        <f t="shared" si="115"/>
        <v>105540.37176668359</v>
      </c>
      <c r="BG194">
        <f t="shared" si="116"/>
        <v>97518.835796304105</v>
      </c>
      <c r="BH194">
        <f t="shared" si="117"/>
        <v>90113.174604165688</v>
      </c>
      <c r="BI194">
        <f t="shared" si="118"/>
        <v>83472.553468945494</v>
      </c>
      <c r="BJ194">
        <f t="shared" si="119"/>
        <v>77716.911099502016</v>
      </c>
      <c r="BK194">
        <f t="shared" si="120"/>
        <v>72983.690399649946</v>
      </c>
      <c r="BL194">
        <f t="shared" si="121"/>
        <v>69506.239890494457</v>
      </c>
      <c r="BM194">
        <f t="shared" si="122"/>
        <v>67789.218442327125</v>
      </c>
      <c r="BO194" s="2">
        <v>118093</v>
      </c>
      <c r="BP194" s="2">
        <v>109253</v>
      </c>
      <c r="BQ194" s="2">
        <v>101200</v>
      </c>
      <c r="BR194" s="2">
        <v>93714.67</v>
      </c>
      <c r="BS194" s="2">
        <v>86570.95</v>
      </c>
      <c r="BT194" s="2">
        <v>79509.929999999993</v>
      </c>
      <c r="BU194" s="2">
        <v>72200.58</v>
      </c>
      <c r="BV194" s="2">
        <v>64152.91</v>
      </c>
      <c r="BW194" s="2">
        <v>54492.81</v>
      </c>
      <c r="BY194">
        <f t="shared" si="123"/>
        <v>0.96365255543440254</v>
      </c>
    </row>
    <row r="195" spans="1:77" x14ac:dyDescent="0.3">
      <c r="A195" s="1" t="s">
        <v>556</v>
      </c>
      <c r="B195" s="2">
        <v>326.64999999999998</v>
      </c>
      <c r="C195" s="2">
        <v>757.8</v>
      </c>
      <c r="E195">
        <v>326.64999999999998</v>
      </c>
      <c r="F195">
        <v>374.55560000000003</v>
      </c>
      <c r="G195">
        <v>422.46109999999999</v>
      </c>
      <c r="H195">
        <v>470.36669999999998</v>
      </c>
      <c r="I195">
        <v>518.2722</v>
      </c>
      <c r="J195">
        <v>566.17780000000005</v>
      </c>
      <c r="K195">
        <v>614.08330000000001</v>
      </c>
      <c r="L195">
        <v>661.98889999999994</v>
      </c>
      <c r="M195">
        <v>709.89440000000002</v>
      </c>
      <c r="N195">
        <v>757.8</v>
      </c>
      <c r="O195" s="13">
        <v>4.7291500000000002E-4</v>
      </c>
      <c r="P195">
        <v>0.1449917</v>
      </c>
      <c r="Q195">
        <v>8.3148280000000003</v>
      </c>
      <c r="R195">
        <v>157.7758</v>
      </c>
      <c r="S195">
        <v>1409.617</v>
      </c>
      <c r="T195">
        <v>7457.8389999999999</v>
      </c>
      <c r="U195">
        <v>27290.01</v>
      </c>
      <c r="V195">
        <v>77008.92</v>
      </c>
      <c r="W195">
        <v>181287</v>
      </c>
      <c r="X195">
        <v>377407</v>
      </c>
      <c r="AA195">
        <f t="shared" ref="AA195:AA204" si="124">1/E195</f>
        <v>3.0613806826878926E-3</v>
      </c>
      <c r="AB195">
        <f t="shared" ref="AB195:AB205" si="125">1/F195</f>
        <v>2.6698305939091551E-3</v>
      </c>
      <c r="AC195">
        <f t="shared" ref="AC195:AC205" si="126">1/G195</f>
        <v>2.3670818449319951E-3</v>
      </c>
      <c r="AD195">
        <f t="shared" ref="AD195:AD205" si="127">1/H195</f>
        <v>2.1260008414711331E-3</v>
      </c>
      <c r="AE195">
        <f t="shared" ref="AE195:AE205" si="128">1/I195</f>
        <v>1.9294880180723566E-3</v>
      </c>
      <c r="AF195">
        <f t="shared" ref="AF195:AF205" si="129">1/J195</f>
        <v>1.7662296190348683E-3</v>
      </c>
      <c r="AG195">
        <f t="shared" ref="AG195:AG205" si="130">1/K195</f>
        <v>1.628443567835178E-3</v>
      </c>
      <c r="AH195">
        <f t="shared" ref="AH195:AH205" si="131">1/L195</f>
        <v>1.5105993469074785E-3</v>
      </c>
      <c r="AI195">
        <f t="shared" ref="AI195:AI204" si="132">1/M195</f>
        <v>1.4086602176323689E-3</v>
      </c>
      <c r="AJ195">
        <f t="shared" ref="AJ195:AJ205" si="133">1/N195</f>
        <v>1.3196093956188968E-3</v>
      </c>
      <c r="AK195">
        <f t="shared" ref="AK195:AK204" si="134">LN(O195)</f>
        <v>-7.6565948896379563</v>
      </c>
      <c r="AL195">
        <f t="shared" ref="AL195:AL205" si="135">LN(P195)</f>
        <v>-1.9310787795792232</v>
      </c>
      <c r="AM195">
        <f t="shared" ref="AM195:AM205" si="136">LN(Q195)</f>
        <v>2.1180404269228252</v>
      </c>
      <c r="AN195">
        <f t="shared" ref="AN195:AN205" si="137">LN(R195)</f>
        <v>5.0611750379692531</v>
      </c>
      <c r="AO195">
        <f t="shared" ref="AO195:AO205" si="138">LN(S195)</f>
        <v>7.2510733152681022</v>
      </c>
      <c r="AP195">
        <f t="shared" ref="AP195:AP205" si="139">LN(T195)</f>
        <v>8.9170209729487659</v>
      </c>
      <c r="AQ195">
        <f t="shared" ref="AQ195:AQ205" si="140">LN(U195)</f>
        <v>10.214275980136909</v>
      </c>
      <c r="AR195">
        <f t="shared" ref="AR195:AR205" si="141">LN(V195)</f>
        <v>11.251676538282249</v>
      </c>
      <c r="AS195">
        <f t="shared" ref="AS195:AS205" si="142">LN(W195)</f>
        <v>12.107836689814643</v>
      </c>
      <c r="AT195">
        <f t="shared" ref="AT195:AT204" si="143">LN(X195)</f>
        <v>12.8410794597043</v>
      </c>
      <c r="AU195">
        <f t="shared" ref="AU195:AU205" si="144">RSQ(AK195:AT195, AA195:AJ195)</f>
        <v>0.99058335430659017</v>
      </c>
      <c r="AV195">
        <f t="shared" ref="AV195:AV204" si="145">-SLOPE(AK195:AL195, AA195:AB195)</f>
        <v>14622.691385198958</v>
      </c>
      <c r="AW195">
        <f t="shared" ref="AW195:AW205" si="146">-SLOPE(AL195:AM195, AB195:AC195)</f>
        <v>13374.520027521308</v>
      </c>
      <c r="AX195">
        <f t="shared" ref="AX195:AX205" si="147">-SLOPE(AM195:AN195, AC195:AD195)</f>
        <v>12208.073505568544</v>
      </c>
      <c r="AY195">
        <f t="shared" ref="AY195:AY205" si="148">-SLOPE(AN195:AO195, AD195:AE195)</f>
        <v>11143.793262055811</v>
      </c>
      <c r="AZ195">
        <f t="shared" ref="AZ195:AZ205" si="149">-SLOPE(AO195:AP195, AE195:AF195)</f>
        <v>10204.361107927562</v>
      </c>
      <c r="BA195">
        <f t="shared" ref="BA195:BA205" si="150">-SLOPE(AP195:AQ195, AF195:AG195)</f>
        <v>9414.9951747151827</v>
      </c>
      <c r="BB195">
        <f t="shared" ref="BB195:BB205" si="151">-SLOPE(AQ195:AR195, AG195:AH195)</f>
        <v>8803.1517369172634</v>
      </c>
      <c r="BC195">
        <f t="shared" ref="BC195:BC205" si="152">-SLOPE(AR195:AS195, AH195:AI195)</f>
        <v>8398.7391065684005</v>
      </c>
      <c r="BD195">
        <f t="shared" ref="BD195:BD205" si="153">-SLOPE(AS195:AT195, AI195:AJ195)</f>
        <v>8233.9809258439836</v>
      </c>
      <c r="BE195">
        <f t="shared" ref="BE195:BE205" si="154">AV195*8.314</f>
        <v>121573.05617654414</v>
      </c>
      <c r="BF195">
        <f t="shared" ref="BF195:BF205" si="155">AW195*8.314</f>
        <v>111195.75950881216</v>
      </c>
      <c r="BG195">
        <f t="shared" ref="BG195:BG205" si="156">AX195*8.314</f>
        <v>101497.92312529687</v>
      </c>
      <c r="BH195">
        <f t="shared" ref="BH195:BH205" si="157">AY195*8.314</f>
        <v>92649.497180732011</v>
      </c>
      <c r="BI195">
        <f t="shared" ref="BI195:BI205" si="158">AZ195*8.314</f>
        <v>84839.058251309747</v>
      </c>
      <c r="BJ195">
        <f t="shared" ref="BJ195:BJ205" si="159">BA195*8.314</f>
        <v>78276.269882582026</v>
      </c>
      <c r="BK195">
        <f t="shared" ref="BK195:BK205" si="160">BB195*8.314</f>
        <v>73189.403540730127</v>
      </c>
      <c r="BL195">
        <f t="shared" ref="BL195:BL205" si="161">BC195*8.314</f>
        <v>69827.116932009681</v>
      </c>
      <c r="BM195">
        <f t="shared" ref="BM195:BM205" si="162">BD195*8.314</f>
        <v>68457.317417466882</v>
      </c>
      <c r="BO195" s="2">
        <v>126499</v>
      </c>
      <c r="BP195" s="2">
        <v>116062</v>
      </c>
      <c r="BQ195" s="2">
        <v>106170</v>
      </c>
      <c r="BR195" s="2">
        <v>96872.86</v>
      </c>
      <c r="BS195" s="2">
        <v>88179.94</v>
      </c>
      <c r="BT195" s="2">
        <v>80050.45</v>
      </c>
      <c r="BU195" s="2">
        <v>72369.34</v>
      </c>
      <c r="BV195" s="2">
        <v>64883.78</v>
      </c>
      <c r="BW195" s="2">
        <v>57012.77</v>
      </c>
      <c r="BY195">
        <f t="shared" ref="BY195:BY205" si="163">RSQ(BE195:BM195, BO195:BW195)</f>
        <v>0.97609571101936021</v>
      </c>
    </row>
    <row r="196" spans="1:77" x14ac:dyDescent="0.3">
      <c r="A196" s="1" t="s">
        <v>559</v>
      </c>
      <c r="B196" s="2">
        <v>329.25</v>
      </c>
      <c r="C196" s="2">
        <v>765.9</v>
      </c>
      <c r="E196">
        <v>329.25</v>
      </c>
      <c r="F196">
        <v>377.76670000000001</v>
      </c>
      <c r="G196">
        <v>426.2833</v>
      </c>
      <c r="H196">
        <v>474.8</v>
      </c>
      <c r="I196">
        <v>523.31669999999997</v>
      </c>
      <c r="J196">
        <v>571.83330000000001</v>
      </c>
      <c r="K196">
        <v>620.35</v>
      </c>
      <c r="L196">
        <v>668.86670000000004</v>
      </c>
      <c r="M196">
        <v>717.38329999999996</v>
      </c>
      <c r="N196">
        <v>765.9</v>
      </c>
      <c r="O196">
        <v>2.9445600000000001E-4</v>
      </c>
      <c r="P196">
        <v>0.10414</v>
      </c>
      <c r="Q196">
        <v>6.5560090000000004</v>
      </c>
      <c r="R196">
        <v>132.4298</v>
      </c>
      <c r="S196">
        <v>1234.826</v>
      </c>
      <c r="T196">
        <v>6729.8620000000001</v>
      </c>
      <c r="U196">
        <v>25148.37</v>
      </c>
      <c r="V196">
        <v>72054.19</v>
      </c>
      <c r="W196">
        <v>171588</v>
      </c>
      <c r="X196">
        <v>360545</v>
      </c>
      <c r="AA196">
        <f t="shared" si="124"/>
        <v>3.0372057706909645E-3</v>
      </c>
      <c r="AB196">
        <f t="shared" si="125"/>
        <v>2.6471364469128696E-3</v>
      </c>
      <c r="AC196">
        <f t="shared" si="126"/>
        <v>2.3458577898782334E-3</v>
      </c>
      <c r="AD196">
        <f t="shared" si="127"/>
        <v>2.1061499578770007E-3</v>
      </c>
      <c r="AE196">
        <f t="shared" si="128"/>
        <v>1.9108887600949866E-3</v>
      </c>
      <c r="AF196">
        <f t="shared" si="129"/>
        <v>1.7487613960222323E-3</v>
      </c>
      <c r="AG196">
        <f t="shared" si="130"/>
        <v>1.6119932296284356E-3</v>
      </c>
      <c r="AH196">
        <f t="shared" si="131"/>
        <v>1.4950662067643671E-3</v>
      </c>
      <c r="AI196">
        <f t="shared" si="132"/>
        <v>1.393954947097319E-3</v>
      </c>
      <c r="AJ196">
        <f t="shared" si="133"/>
        <v>1.3056534795665231E-3</v>
      </c>
      <c r="AK196">
        <f t="shared" si="134"/>
        <v>-8.1303809718072824</v>
      </c>
      <c r="AL196">
        <f t="shared" si="135"/>
        <v>-2.2620191312473841</v>
      </c>
      <c r="AM196">
        <f t="shared" si="136"/>
        <v>1.8803820336689265</v>
      </c>
      <c r="AN196">
        <f t="shared" si="137"/>
        <v>4.8860526937059117</v>
      </c>
      <c r="AO196">
        <f t="shared" si="138"/>
        <v>7.1186853484477934</v>
      </c>
      <c r="AP196">
        <f t="shared" si="139"/>
        <v>8.8143099172279449</v>
      </c>
      <c r="AQ196">
        <f t="shared" si="140"/>
        <v>10.132548362294353</v>
      </c>
      <c r="AR196">
        <f t="shared" si="141"/>
        <v>11.185173753796468</v>
      </c>
      <c r="AS196">
        <f t="shared" si="142"/>
        <v>12.052851533520847</v>
      </c>
      <c r="AT196">
        <f t="shared" si="143"/>
        <v>12.795372054546627</v>
      </c>
      <c r="AU196">
        <f t="shared" si="144"/>
        <v>0.99037291961197937</v>
      </c>
      <c r="AV196">
        <f t="shared" si="145"/>
        <v>15044.407449734061</v>
      </c>
      <c r="AW196">
        <f t="shared" si="146"/>
        <v>13749.401320652074</v>
      </c>
      <c r="AX196">
        <f t="shared" si="147"/>
        <v>12538.892179465911</v>
      </c>
      <c r="AY196">
        <f t="shared" si="148"/>
        <v>11434.082552511796</v>
      </c>
      <c r="AZ196">
        <f t="shared" si="149"/>
        <v>10458.595798913026</v>
      </c>
      <c r="BA196">
        <f t="shared" si="150"/>
        <v>9638.4888371669931</v>
      </c>
      <c r="BB196">
        <f t="shared" si="151"/>
        <v>9002.4133491008924</v>
      </c>
      <c r="BC196">
        <f t="shared" si="152"/>
        <v>8581.415982567898</v>
      </c>
      <c r="BD196">
        <f t="shared" si="153"/>
        <v>8408.9261683767581</v>
      </c>
      <c r="BE196">
        <f t="shared" si="154"/>
        <v>125079.20353708898</v>
      </c>
      <c r="BF196">
        <f t="shared" si="155"/>
        <v>114312.52257990134</v>
      </c>
      <c r="BG196">
        <f t="shared" si="156"/>
        <v>104248.34958007958</v>
      </c>
      <c r="BH196">
        <f t="shared" si="157"/>
        <v>95062.962341583072</v>
      </c>
      <c r="BI196">
        <f t="shared" si="158"/>
        <v>86952.765472162893</v>
      </c>
      <c r="BJ196">
        <f t="shared" si="159"/>
        <v>80134.396192206375</v>
      </c>
      <c r="BK196">
        <f t="shared" si="160"/>
        <v>74846.064584424821</v>
      </c>
      <c r="BL196">
        <f t="shared" si="161"/>
        <v>71345.892479069502</v>
      </c>
      <c r="BM196">
        <f t="shared" si="162"/>
        <v>69911.812163884373</v>
      </c>
      <c r="BO196" s="2">
        <v>130207</v>
      </c>
      <c r="BP196" s="2">
        <v>119358</v>
      </c>
      <c r="BQ196" s="2">
        <v>109088</v>
      </c>
      <c r="BR196" s="2">
        <v>99451.19</v>
      </c>
      <c r="BS196" s="2">
        <v>90456.06</v>
      </c>
      <c r="BT196" s="2">
        <v>82060.47</v>
      </c>
      <c r="BU196" s="2">
        <v>74144.98</v>
      </c>
      <c r="BV196" s="2">
        <v>66447.070000000007</v>
      </c>
      <c r="BW196" s="2">
        <v>58361.94</v>
      </c>
      <c r="BY196">
        <f t="shared" si="163"/>
        <v>0.97685153406543412</v>
      </c>
    </row>
    <row r="197" spans="1:77" x14ac:dyDescent="0.3">
      <c r="A197" s="1" t="s">
        <v>562</v>
      </c>
      <c r="B197" s="2">
        <v>332.15</v>
      </c>
      <c r="C197" s="2">
        <v>773.7</v>
      </c>
      <c r="E197" s="2">
        <v>332.15</v>
      </c>
      <c r="F197">
        <v>381.21109999999999</v>
      </c>
      <c r="G197">
        <v>430.2722</v>
      </c>
      <c r="H197">
        <v>479.33330000000001</v>
      </c>
      <c r="I197">
        <v>528.39440000000002</v>
      </c>
      <c r="J197">
        <v>577.4556</v>
      </c>
      <c r="K197">
        <v>626.51670000000001</v>
      </c>
      <c r="L197">
        <v>675.57780000000002</v>
      </c>
      <c r="M197">
        <v>724.63890000000004</v>
      </c>
      <c r="N197">
        <v>773.7</v>
      </c>
      <c r="O197">
        <v>1.65174E-4</v>
      </c>
      <c r="P197">
        <v>7.0233500000000004E-2</v>
      </c>
      <c r="Q197">
        <v>4.9894210000000001</v>
      </c>
      <c r="R197">
        <v>109.2462</v>
      </c>
      <c r="S197">
        <v>1075.415</v>
      </c>
      <c r="T197">
        <v>6079.4949999999999</v>
      </c>
      <c r="U197">
        <v>23286.97</v>
      </c>
      <c r="V197">
        <v>67854.11</v>
      </c>
      <c r="W197">
        <v>163496</v>
      </c>
      <c r="X197">
        <v>346549</v>
      </c>
      <c r="AA197">
        <f t="shared" si="124"/>
        <v>3.0106879421947915E-3</v>
      </c>
      <c r="AB197">
        <f t="shared" si="125"/>
        <v>2.6232184739636388E-3</v>
      </c>
      <c r="AC197">
        <f t="shared" si="126"/>
        <v>2.3241101795561043E-3</v>
      </c>
      <c r="AD197">
        <f t="shared" si="127"/>
        <v>2.0862310212956202E-3</v>
      </c>
      <c r="AE197">
        <f t="shared" si="128"/>
        <v>1.8925257345649385E-3</v>
      </c>
      <c r="AF197">
        <f t="shared" si="129"/>
        <v>1.7317348727763659E-3</v>
      </c>
      <c r="AG197">
        <f t="shared" si="130"/>
        <v>1.5961266475418771E-3</v>
      </c>
      <c r="AH197">
        <f t="shared" si="131"/>
        <v>1.480214417939725E-3</v>
      </c>
      <c r="AI197">
        <f t="shared" si="132"/>
        <v>1.379997678843904E-3</v>
      </c>
      <c r="AJ197">
        <f t="shared" si="133"/>
        <v>1.2924906294429364E-3</v>
      </c>
      <c r="AK197">
        <f t="shared" si="134"/>
        <v>-8.7085110942516071</v>
      </c>
      <c r="AL197">
        <f t="shared" si="135"/>
        <v>-2.6559298738006789</v>
      </c>
      <c r="AM197">
        <f t="shared" si="136"/>
        <v>1.6073198709670584</v>
      </c>
      <c r="AN197">
        <f t="shared" si="137"/>
        <v>4.6936040507620751</v>
      </c>
      <c r="AO197">
        <f t="shared" si="138"/>
        <v>6.980461912576609</v>
      </c>
      <c r="AP197">
        <f t="shared" si="139"/>
        <v>8.7126769123000791</v>
      </c>
      <c r="AQ197">
        <f t="shared" si="140"/>
        <v>10.055649255659979</v>
      </c>
      <c r="AR197">
        <f t="shared" si="141"/>
        <v>11.125115238225783</v>
      </c>
      <c r="AS197">
        <f t="shared" si="142"/>
        <v>12.004543804188373</v>
      </c>
      <c r="AT197">
        <f t="shared" si="143"/>
        <v>12.755779501755471</v>
      </c>
      <c r="AU197">
        <f t="shared" si="144"/>
        <v>0.98990420242363963</v>
      </c>
      <c r="AV197">
        <f t="shared" si="145"/>
        <v>15620.795228284001</v>
      </c>
      <c r="AW197">
        <f t="shared" si="146"/>
        <v>14253.198003794123</v>
      </c>
      <c r="AX197">
        <f t="shared" si="147"/>
        <v>12974.168070728809</v>
      </c>
      <c r="AY197">
        <f t="shared" si="148"/>
        <v>11805.861886434048</v>
      </c>
      <c r="AZ197">
        <f t="shared" si="149"/>
        <v>10773.093572949418</v>
      </c>
      <c r="BA197">
        <f t="shared" si="150"/>
        <v>9903.3251193847682</v>
      </c>
      <c r="BB197">
        <f t="shared" si="151"/>
        <v>9226.5154957035484</v>
      </c>
      <c r="BC197">
        <f t="shared" si="152"/>
        <v>8775.2662269497214</v>
      </c>
      <c r="BD197">
        <f t="shared" si="153"/>
        <v>8584.8591937416168</v>
      </c>
      <c r="BE197">
        <f t="shared" si="154"/>
        <v>129871.29152795319</v>
      </c>
      <c r="BF197">
        <f t="shared" si="155"/>
        <v>118501.08820354434</v>
      </c>
      <c r="BG197">
        <f t="shared" si="156"/>
        <v>107867.23334003931</v>
      </c>
      <c r="BH197">
        <f t="shared" si="157"/>
        <v>98153.935723812669</v>
      </c>
      <c r="BI197">
        <f t="shared" si="158"/>
        <v>89567.499965501454</v>
      </c>
      <c r="BJ197">
        <f t="shared" si="159"/>
        <v>82336.245042564959</v>
      </c>
      <c r="BK197">
        <f t="shared" si="160"/>
        <v>76709.249831279303</v>
      </c>
      <c r="BL197">
        <f t="shared" si="161"/>
        <v>72957.563410859977</v>
      </c>
      <c r="BM197">
        <f t="shared" si="162"/>
        <v>71374.5193367678</v>
      </c>
      <c r="BO197" s="2">
        <v>135284</v>
      </c>
      <c r="BP197" s="2">
        <v>123832</v>
      </c>
      <c r="BQ197" s="2">
        <v>112982</v>
      </c>
      <c r="BR197" s="2">
        <v>102802</v>
      </c>
      <c r="BS197" s="2">
        <v>93311.72</v>
      </c>
      <c r="BT197" s="2">
        <v>84473.919999999998</v>
      </c>
      <c r="BU197" s="2">
        <v>76170.3</v>
      </c>
      <c r="BV197" s="2">
        <v>68132.679999999993</v>
      </c>
      <c r="BW197" s="2">
        <v>59736.15</v>
      </c>
      <c r="BY197">
        <f t="shared" si="163"/>
        <v>0.97828885585401415</v>
      </c>
    </row>
    <row r="198" spans="1:77" x14ac:dyDescent="0.3">
      <c r="A198" s="1" t="s">
        <v>565</v>
      </c>
      <c r="B198" s="2">
        <v>334.35</v>
      </c>
      <c r="C198" s="2">
        <v>781.1</v>
      </c>
      <c r="E198" s="2">
        <v>334.35</v>
      </c>
      <c r="F198">
        <v>383.9889</v>
      </c>
      <c r="G198">
        <v>433.62779999999998</v>
      </c>
      <c r="H198">
        <v>483.26670000000001</v>
      </c>
      <c r="I198">
        <v>532.90560000000005</v>
      </c>
      <c r="J198">
        <v>582.5444</v>
      </c>
      <c r="K198">
        <v>632.18330000000003</v>
      </c>
      <c r="L198">
        <v>681.82219999999995</v>
      </c>
      <c r="M198">
        <v>731.46109999999999</v>
      </c>
      <c r="N198">
        <v>781.1</v>
      </c>
      <c r="O198" s="13">
        <v>7.6761099999999999E-5</v>
      </c>
      <c r="P198">
        <v>3.8709399999999998E-2</v>
      </c>
      <c r="Q198">
        <v>3.1877179999999998</v>
      </c>
      <c r="R198">
        <v>78.95702</v>
      </c>
      <c r="S198">
        <v>858.03359999999998</v>
      </c>
      <c r="T198">
        <v>5231.509</v>
      </c>
      <c r="U198">
        <v>21158.69</v>
      </c>
      <c r="V198">
        <v>63911.32</v>
      </c>
      <c r="W198">
        <v>157274</v>
      </c>
      <c r="X198">
        <v>336786</v>
      </c>
      <c r="AA198">
        <f t="shared" si="124"/>
        <v>2.9908778226409448E-3</v>
      </c>
      <c r="AB198">
        <f t="shared" si="125"/>
        <v>2.6042419455354049E-3</v>
      </c>
      <c r="AC198">
        <f t="shared" si="126"/>
        <v>2.3061252069170842E-3</v>
      </c>
      <c r="AD198">
        <f t="shared" si="127"/>
        <v>2.0692507884362814E-3</v>
      </c>
      <c r="AE198">
        <f t="shared" si="128"/>
        <v>1.8765049569754943E-3</v>
      </c>
      <c r="AF198">
        <f t="shared" si="129"/>
        <v>1.7166073521606251E-3</v>
      </c>
      <c r="AG198">
        <f t="shared" si="130"/>
        <v>1.5818197032411326E-3</v>
      </c>
      <c r="AH198">
        <f t="shared" si="131"/>
        <v>1.4666580231620502E-3</v>
      </c>
      <c r="AI198">
        <f t="shared" si="132"/>
        <v>1.3671267002442098E-3</v>
      </c>
      <c r="AJ198">
        <f t="shared" si="133"/>
        <v>1.2802458071949814E-3</v>
      </c>
      <c r="AK198">
        <f t="shared" si="134"/>
        <v>-9.4748125565470467</v>
      </c>
      <c r="AL198">
        <f t="shared" si="135"/>
        <v>-3.2516728143835389</v>
      </c>
      <c r="AM198">
        <f t="shared" si="136"/>
        <v>1.1593053003027702</v>
      </c>
      <c r="AN198">
        <f t="shared" si="137"/>
        <v>4.3689036537848649</v>
      </c>
      <c r="AO198">
        <f t="shared" si="138"/>
        <v>6.7546432595603578</v>
      </c>
      <c r="AP198">
        <f t="shared" si="139"/>
        <v>8.5624550431675139</v>
      </c>
      <c r="AQ198">
        <f t="shared" si="140"/>
        <v>9.959805974793019</v>
      </c>
      <c r="AR198">
        <f t="shared" si="141"/>
        <v>11.065251776475787</v>
      </c>
      <c r="AS198">
        <f t="shared" si="142"/>
        <v>11.965744786128397</v>
      </c>
      <c r="AT198">
        <f t="shared" si="143"/>
        <v>12.727202992790387</v>
      </c>
      <c r="AU198">
        <f t="shared" si="144"/>
        <v>0.99029661419084491</v>
      </c>
      <c r="AV198">
        <f t="shared" si="145"/>
        <v>16095.608583330666</v>
      </c>
      <c r="AW198">
        <f t="shared" si="146"/>
        <v>14796.143735939932</v>
      </c>
      <c r="AX198">
        <f t="shared" si="147"/>
        <v>13549.78884620339</v>
      </c>
      <c r="AY198">
        <f t="shared" si="148"/>
        <v>12377.645667843433</v>
      </c>
      <c r="AZ198">
        <f t="shared" si="149"/>
        <v>11306.059185190772</v>
      </c>
      <c r="BA198">
        <f t="shared" si="150"/>
        <v>10367.054717751853</v>
      </c>
      <c r="BB198">
        <f t="shared" si="151"/>
        <v>9599.076714786117</v>
      </c>
      <c r="BC198">
        <f t="shared" si="152"/>
        <v>9047.3328722450078</v>
      </c>
      <c r="BD198">
        <f t="shared" si="153"/>
        <v>8764.3920307141943</v>
      </c>
      <c r="BE198">
        <f t="shared" si="154"/>
        <v>133818.88976181115</v>
      </c>
      <c r="BF198">
        <f t="shared" si="155"/>
        <v>123015.13902060459</v>
      </c>
      <c r="BG198">
        <f t="shared" si="156"/>
        <v>112652.94446733498</v>
      </c>
      <c r="BH198">
        <f t="shared" si="157"/>
        <v>102907.74608245031</v>
      </c>
      <c r="BI198">
        <f t="shared" si="158"/>
        <v>93998.576065676083</v>
      </c>
      <c r="BJ198">
        <f t="shared" si="159"/>
        <v>86191.69292338891</v>
      </c>
      <c r="BK198">
        <f t="shared" si="160"/>
        <v>79806.723806731781</v>
      </c>
      <c r="BL198">
        <f t="shared" si="161"/>
        <v>75219.525499844996</v>
      </c>
      <c r="BM198">
        <f t="shared" si="162"/>
        <v>72867.155343357808</v>
      </c>
      <c r="BO198" s="2">
        <v>138664</v>
      </c>
      <c r="BP198" s="2">
        <v>128186</v>
      </c>
      <c r="BQ198" s="2">
        <v>117814</v>
      </c>
      <c r="BR198" s="2">
        <v>107705</v>
      </c>
      <c r="BS198" s="2">
        <v>97959.12</v>
      </c>
      <c r="BT198" s="2">
        <v>88612.21</v>
      </c>
      <c r="BU198" s="2">
        <v>79604.679999999993</v>
      </c>
      <c r="BV198" s="2">
        <v>70716.710000000006</v>
      </c>
      <c r="BW198" s="2">
        <v>61367.18</v>
      </c>
      <c r="BY198">
        <f t="shared" si="163"/>
        <v>0.97983384816969543</v>
      </c>
    </row>
    <row r="199" spans="1:77" x14ac:dyDescent="0.3">
      <c r="A199" s="1" t="s">
        <v>568</v>
      </c>
      <c r="B199" s="2">
        <v>336.85</v>
      </c>
      <c r="C199" s="2">
        <v>788.3</v>
      </c>
      <c r="E199">
        <v>336.85</v>
      </c>
      <c r="F199">
        <v>387.0111</v>
      </c>
      <c r="G199">
        <v>437.17219999999998</v>
      </c>
      <c r="H199">
        <v>487.33330000000001</v>
      </c>
      <c r="I199">
        <v>537.49440000000004</v>
      </c>
      <c r="J199">
        <v>587.65560000000005</v>
      </c>
      <c r="K199">
        <v>637.81669999999997</v>
      </c>
      <c r="L199">
        <v>687.9778</v>
      </c>
      <c r="M199">
        <v>738.13890000000004</v>
      </c>
      <c r="N199">
        <v>788.3</v>
      </c>
      <c r="O199" s="13">
        <v>4.9449900000000002E-5</v>
      </c>
      <c r="P199">
        <v>2.84172E-2</v>
      </c>
      <c r="Q199">
        <v>2.5521419999999999</v>
      </c>
      <c r="R199">
        <v>67.055350000000004</v>
      </c>
      <c r="S199">
        <v>759.04269999999997</v>
      </c>
      <c r="T199">
        <v>4762.1030000000001</v>
      </c>
      <c r="U199">
        <v>19654.57</v>
      </c>
      <c r="V199">
        <v>60244.68</v>
      </c>
      <c r="W199">
        <v>149887</v>
      </c>
      <c r="X199">
        <v>323783</v>
      </c>
      <c r="AA199">
        <f t="shared" si="124"/>
        <v>2.9686804215526197E-3</v>
      </c>
      <c r="AB199">
        <f t="shared" si="125"/>
        <v>2.583905216155299E-3</v>
      </c>
      <c r="AC199">
        <f t="shared" si="126"/>
        <v>2.2874281576001402E-3</v>
      </c>
      <c r="AD199">
        <f t="shared" si="127"/>
        <v>2.0519837244858908E-3</v>
      </c>
      <c r="AE199">
        <f t="shared" si="128"/>
        <v>1.860484499931534E-3</v>
      </c>
      <c r="AF199">
        <f t="shared" si="129"/>
        <v>1.7016769686190346E-3</v>
      </c>
      <c r="AG199">
        <f t="shared" si="130"/>
        <v>1.5678485684053115E-3</v>
      </c>
      <c r="AH199">
        <f t="shared" si="131"/>
        <v>1.4535352739579678E-3</v>
      </c>
      <c r="AI199">
        <f t="shared" si="132"/>
        <v>1.3547585691527704E-3</v>
      </c>
      <c r="AJ199">
        <f t="shared" si="133"/>
        <v>1.2685525815045035E-3</v>
      </c>
      <c r="AK199">
        <f t="shared" si="134"/>
        <v>-9.9145505221422887</v>
      </c>
      <c r="AL199">
        <f t="shared" si="135"/>
        <v>-3.5607606833342977</v>
      </c>
      <c r="AM199">
        <f t="shared" si="136"/>
        <v>0.93693300656777834</v>
      </c>
      <c r="AN199">
        <f t="shared" si="137"/>
        <v>4.205518397745136</v>
      </c>
      <c r="AO199">
        <f t="shared" si="138"/>
        <v>6.6320580340477138</v>
      </c>
      <c r="AP199">
        <f t="shared" si="139"/>
        <v>8.4684446563803011</v>
      </c>
      <c r="AQ199">
        <f t="shared" si="140"/>
        <v>9.8860651602317571</v>
      </c>
      <c r="AR199">
        <f t="shared" si="141"/>
        <v>11.00616954869915</v>
      </c>
      <c r="AS199">
        <f t="shared" si="142"/>
        <v>11.917636955846914</v>
      </c>
      <c r="AT199">
        <f t="shared" si="143"/>
        <v>12.687828817303254</v>
      </c>
      <c r="AU199">
        <f t="shared" si="144"/>
        <v>0.99012116758388558</v>
      </c>
      <c r="AV199">
        <f t="shared" si="145"/>
        <v>16512.991870791255</v>
      </c>
      <c r="AW199">
        <f t="shared" si="146"/>
        <v>15170.461120401635</v>
      </c>
      <c r="AX199">
        <f t="shared" si="147"/>
        <v>13882.619129887338</v>
      </c>
      <c r="AY199">
        <f t="shared" si="148"/>
        <v>12671.276564954484</v>
      </c>
      <c r="AZ199">
        <f t="shared" si="149"/>
        <v>11563.599075908875</v>
      </c>
      <c r="BA199">
        <f t="shared" si="150"/>
        <v>10592.822611549749</v>
      </c>
      <c r="BB199">
        <f t="shared" si="151"/>
        <v>9798.5487504548164</v>
      </c>
      <c r="BC199">
        <f t="shared" si="152"/>
        <v>9227.5542998252113</v>
      </c>
      <c r="BD199">
        <f t="shared" si="153"/>
        <v>8934.3197899296156</v>
      </c>
      <c r="BE199">
        <f t="shared" si="154"/>
        <v>137289.0144137585</v>
      </c>
      <c r="BF199">
        <f t="shared" si="155"/>
        <v>126127.2137550192</v>
      </c>
      <c r="BG199">
        <f t="shared" si="156"/>
        <v>115420.09544588333</v>
      </c>
      <c r="BH199">
        <f t="shared" si="157"/>
        <v>105348.99336103158</v>
      </c>
      <c r="BI199">
        <f t="shared" si="158"/>
        <v>96139.76271710638</v>
      </c>
      <c r="BJ199">
        <f t="shared" si="159"/>
        <v>88068.727192424616</v>
      </c>
      <c r="BK199">
        <f t="shared" si="160"/>
        <v>81465.134311281348</v>
      </c>
      <c r="BL199">
        <f t="shared" si="161"/>
        <v>76717.886448746809</v>
      </c>
      <c r="BM199">
        <f t="shared" si="162"/>
        <v>74279.934733474831</v>
      </c>
      <c r="BO199" s="2">
        <v>142310</v>
      </c>
      <c r="BP199" s="2">
        <v>131466</v>
      </c>
      <c r="BQ199" s="2">
        <v>120743</v>
      </c>
      <c r="BR199" s="2">
        <v>110306</v>
      </c>
      <c r="BS199" s="2">
        <v>100261</v>
      </c>
      <c r="BT199" s="2">
        <v>90642.29</v>
      </c>
      <c r="BU199" s="2">
        <v>81390.570000000007</v>
      </c>
      <c r="BV199" s="2">
        <v>72278.27</v>
      </c>
      <c r="BW199" s="2">
        <v>62703.37</v>
      </c>
      <c r="BY199">
        <f t="shared" si="163"/>
        <v>0.980398648502808</v>
      </c>
    </row>
    <row r="200" spans="1:77" x14ac:dyDescent="0.3">
      <c r="A200" s="1" t="s">
        <v>571</v>
      </c>
      <c r="B200" s="2">
        <v>338.65</v>
      </c>
      <c r="C200" s="2">
        <v>795.1</v>
      </c>
      <c r="E200">
        <v>338.65</v>
      </c>
      <c r="F200">
        <v>389.36669999999998</v>
      </c>
      <c r="G200">
        <v>440.08330000000001</v>
      </c>
      <c r="H200">
        <v>490.8</v>
      </c>
      <c r="I200">
        <v>541.51670000000001</v>
      </c>
      <c r="J200">
        <v>592.23329999999999</v>
      </c>
      <c r="K200">
        <v>642.95000000000005</v>
      </c>
      <c r="L200">
        <v>693.66669999999999</v>
      </c>
      <c r="M200">
        <v>744.38329999999996</v>
      </c>
      <c r="N200">
        <v>795.1</v>
      </c>
      <c r="O200" s="13">
        <v>2.55835E-5</v>
      </c>
      <c r="P200">
        <v>1.8234199999999999E-2</v>
      </c>
      <c r="Q200">
        <v>1.8837489999999999</v>
      </c>
      <c r="R200">
        <v>54.315019999999997</v>
      </c>
      <c r="S200">
        <v>654.37239999999997</v>
      </c>
      <c r="T200">
        <v>4281.1750000000002</v>
      </c>
      <c r="U200">
        <v>18174.189999999999</v>
      </c>
      <c r="V200">
        <v>56771.39</v>
      </c>
      <c r="W200">
        <v>143083</v>
      </c>
      <c r="X200">
        <v>311972</v>
      </c>
      <c r="AA200">
        <f t="shared" si="124"/>
        <v>2.9529012254540087E-3</v>
      </c>
      <c r="AB200">
        <f t="shared" si="125"/>
        <v>2.5682730444077525E-3</v>
      </c>
      <c r="AC200">
        <f t="shared" si="126"/>
        <v>2.272297085574481E-3</v>
      </c>
      <c r="AD200">
        <f t="shared" si="127"/>
        <v>2.0374898125509371E-3</v>
      </c>
      <c r="AE200">
        <f t="shared" si="128"/>
        <v>1.8466651166990787E-3</v>
      </c>
      <c r="AF200">
        <f t="shared" si="129"/>
        <v>1.6885237625104837E-3</v>
      </c>
      <c r="AG200">
        <f t="shared" si="130"/>
        <v>1.5553308966482619E-3</v>
      </c>
      <c r="AH200">
        <f t="shared" si="131"/>
        <v>1.4416145390862788E-3</v>
      </c>
      <c r="AI200">
        <f t="shared" si="132"/>
        <v>1.3433939208469616E-3</v>
      </c>
      <c r="AJ200">
        <f t="shared" si="133"/>
        <v>1.2577034335303735E-3</v>
      </c>
      <c r="AK200">
        <f t="shared" si="134"/>
        <v>-10.573562945528318</v>
      </c>
      <c r="AL200">
        <f t="shared" si="135"/>
        <v>-4.0044563273592333</v>
      </c>
      <c r="AM200">
        <f t="shared" si="136"/>
        <v>0.63326394010242193</v>
      </c>
      <c r="AN200">
        <f t="shared" si="137"/>
        <v>3.9948008001080528</v>
      </c>
      <c r="AO200">
        <f t="shared" si="138"/>
        <v>6.4836766083599837</v>
      </c>
      <c r="AP200">
        <f t="shared" si="139"/>
        <v>8.361982783608914</v>
      </c>
      <c r="AQ200">
        <f t="shared" si="140"/>
        <v>9.8077577346960769</v>
      </c>
      <c r="AR200">
        <f t="shared" si="141"/>
        <v>10.946787780628105</v>
      </c>
      <c r="AS200">
        <f t="shared" si="142"/>
        <v>11.871180160444169</v>
      </c>
      <c r="AT200">
        <f t="shared" si="143"/>
        <v>12.650668719174679</v>
      </c>
      <c r="AU200">
        <f t="shared" si="144"/>
        <v>0.98970557617749033</v>
      </c>
      <c r="AV200">
        <f t="shared" si="145"/>
        <v>17079.108972982584</v>
      </c>
      <c r="AW200">
        <f t="shared" si="146"/>
        <v>15669.246535236891</v>
      </c>
      <c r="AX200">
        <f t="shared" si="147"/>
        <v>14316.153059145541</v>
      </c>
      <c r="AY200">
        <f t="shared" si="148"/>
        <v>13042.734312460809</v>
      </c>
      <c r="AZ200">
        <f t="shared" si="149"/>
        <v>11877.387700935675</v>
      </c>
      <c r="BA200">
        <f t="shared" si="150"/>
        <v>10854.747675320012</v>
      </c>
      <c r="BB200">
        <f t="shared" si="151"/>
        <v>10016.413384601945</v>
      </c>
      <c r="BC200">
        <f t="shared" si="152"/>
        <v>9411.3883254507455</v>
      </c>
      <c r="BD200">
        <f t="shared" si="153"/>
        <v>9096.5588263099362</v>
      </c>
      <c r="BE200">
        <f t="shared" si="154"/>
        <v>141995.71200137719</v>
      </c>
      <c r="BF200">
        <f t="shared" si="155"/>
        <v>130274.11569395951</v>
      </c>
      <c r="BG200">
        <f t="shared" si="156"/>
        <v>119024.49653373603</v>
      </c>
      <c r="BH200">
        <f t="shared" si="157"/>
        <v>108437.29307379917</v>
      </c>
      <c r="BI200">
        <f t="shared" si="158"/>
        <v>98748.601345579198</v>
      </c>
      <c r="BJ200">
        <f t="shared" si="159"/>
        <v>90246.372172610572</v>
      </c>
      <c r="BK200">
        <f t="shared" si="160"/>
        <v>83276.460879580569</v>
      </c>
      <c r="BL200">
        <f t="shared" si="161"/>
        <v>78246.282537797495</v>
      </c>
      <c r="BM200">
        <f t="shared" si="162"/>
        <v>75628.79008194081</v>
      </c>
      <c r="BO200" s="2">
        <v>147248</v>
      </c>
      <c r="BP200" s="2">
        <v>135873</v>
      </c>
      <c r="BQ200" s="2">
        <v>124610</v>
      </c>
      <c r="BR200" s="2">
        <v>113647</v>
      </c>
      <c r="BS200" s="2">
        <v>103106</v>
      </c>
      <c r="BT200" s="2">
        <v>93036.14</v>
      </c>
      <c r="BU200" s="2">
        <v>83381.58</v>
      </c>
      <c r="BV200" s="2">
        <v>73913.81</v>
      </c>
      <c r="BW200" s="2">
        <v>64014.23</v>
      </c>
      <c r="BY200">
        <f t="shared" si="163"/>
        <v>0.98149261449367919</v>
      </c>
    </row>
    <row r="201" spans="1:77" x14ac:dyDescent="0.3">
      <c r="A201" s="1" t="s">
        <v>574</v>
      </c>
      <c r="B201" s="2">
        <v>297.82</v>
      </c>
      <c r="C201" s="2">
        <v>669</v>
      </c>
      <c r="E201" s="2">
        <v>297.82</v>
      </c>
      <c r="F201">
        <v>339.06220000000002</v>
      </c>
      <c r="G201">
        <v>380.30439999999999</v>
      </c>
      <c r="H201">
        <v>421.54669999999999</v>
      </c>
      <c r="I201">
        <v>462.78890000000001</v>
      </c>
      <c r="J201">
        <v>504.03109999999998</v>
      </c>
      <c r="K201">
        <v>545.27329999999995</v>
      </c>
      <c r="L201">
        <v>586.51559999999995</v>
      </c>
      <c r="M201">
        <v>627.75779999999997</v>
      </c>
      <c r="N201">
        <v>669</v>
      </c>
      <c r="O201">
        <v>2.284754</v>
      </c>
      <c r="P201">
        <v>60.247549999999997</v>
      </c>
      <c r="Q201">
        <v>667.89260000000002</v>
      </c>
      <c r="R201">
        <v>4141.2870000000003</v>
      </c>
      <c r="S201">
        <v>17173.73</v>
      </c>
      <c r="T201">
        <v>53508.42</v>
      </c>
      <c r="U201">
        <v>135442</v>
      </c>
      <c r="V201">
        <v>293991</v>
      </c>
      <c r="W201">
        <v>568766</v>
      </c>
      <c r="X201">
        <v>1009530</v>
      </c>
      <c r="AA201">
        <f t="shared" si="124"/>
        <v>3.3577328587737561E-3</v>
      </c>
      <c r="AB201">
        <f t="shared" si="125"/>
        <v>2.9493113652893184E-3</v>
      </c>
      <c r="AC201">
        <f t="shared" si="126"/>
        <v>2.6294726014213878E-3</v>
      </c>
      <c r="AD201">
        <f t="shared" si="127"/>
        <v>2.3722164116099119E-3</v>
      </c>
      <c r="AE201">
        <f t="shared" si="128"/>
        <v>2.1608124136080187E-3</v>
      </c>
      <c r="AF201">
        <f t="shared" si="129"/>
        <v>1.9840045584488737E-3</v>
      </c>
      <c r="AG201">
        <f t="shared" si="130"/>
        <v>1.8339427219341202E-3</v>
      </c>
      <c r="AH201">
        <f t="shared" si="131"/>
        <v>1.7049844880511278E-3</v>
      </c>
      <c r="AI201">
        <f t="shared" si="132"/>
        <v>1.5929710471140304E-3</v>
      </c>
      <c r="AJ201">
        <f t="shared" si="133"/>
        <v>1.4947683109118087E-3</v>
      </c>
      <c r="AK201">
        <f t="shared" si="134"/>
        <v>0.82625835990723429</v>
      </c>
      <c r="AL201">
        <f t="shared" si="135"/>
        <v>4.0984619076435509</v>
      </c>
      <c r="AM201">
        <f t="shared" si="136"/>
        <v>6.5041273821672929</v>
      </c>
      <c r="AN201">
        <f t="shared" si="137"/>
        <v>8.3287618880746468</v>
      </c>
      <c r="AO201">
        <f t="shared" si="138"/>
        <v>9.7511361696694614</v>
      </c>
      <c r="AP201">
        <f t="shared" si="139"/>
        <v>10.887594303678235</v>
      </c>
      <c r="AQ201">
        <f t="shared" si="140"/>
        <v>11.816298783384346</v>
      </c>
      <c r="AR201">
        <f t="shared" si="141"/>
        <v>12.591304433607357</v>
      </c>
      <c r="AS201">
        <f t="shared" si="142"/>
        <v>13.251224380719735</v>
      </c>
      <c r="AT201">
        <f t="shared" si="143"/>
        <v>13.824995433975488</v>
      </c>
      <c r="AU201">
        <f t="shared" si="144"/>
        <v>0.99688479076563929</v>
      </c>
      <c r="AV201">
        <f t="shared" si="145"/>
        <v>8011.8299353434959</v>
      </c>
      <c r="AW201">
        <f t="shared" si="146"/>
        <v>7521.494409968087</v>
      </c>
      <c r="AX201">
        <f t="shared" si="147"/>
        <v>7092.6748438764225</v>
      </c>
      <c r="AY201">
        <f t="shared" si="148"/>
        <v>6728.2279192377291</v>
      </c>
      <c r="AZ201">
        <f t="shared" si="149"/>
        <v>6427.6450443100794</v>
      </c>
      <c r="BA201">
        <f t="shared" si="150"/>
        <v>6188.8119009845959</v>
      </c>
      <c r="BB201">
        <f t="shared" si="151"/>
        <v>6009.7415022463556</v>
      </c>
      <c r="BC201">
        <f t="shared" si="152"/>
        <v>5891.4353633950495</v>
      </c>
      <c r="BD201">
        <f t="shared" si="153"/>
        <v>5842.7196170402794</v>
      </c>
      <c r="BE201">
        <f t="shared" si="154"/>
        <v>66610.354082445832</v>
      </c>
      <c r="BF201">
        <f t="shared" si="155"/>
        <v>62533.704524474677</v>
      </c>
      <c r="BG201">
        <f t="shared" si="156"/>
        <v>58968.498651988579</v>
      </c>
      <c r="BH201">
        <f t="shared" si="157"/>
        <v>55938.486920542477</v>
      </c>
      <c r="BI201">
        <f t="shared" si="158"/>
        <v>53439.440898394001</v>
      </c>
      <c r="BJ201">
        <f t="shared" si="159"/>
        <v>51453.782144785931</v>
      </c>
      <c r="BK201">
        <f t="shared" si="160"/>
        <v>49964.9908496762</v>
      </c>
      <c r="BL201">
        <f t="shared" si="161"/>
        <v>48981.393611266445</v>
      </c>
      <c r="BM201">
        <f t="shared" si="162"/>
        <v>48576.370896072884</v>
      </c>
      <c r="BO201" s="2">
        <v>68391.259999999995</v>
      </c>
      <c r="BP201" s="2">
        <v>64397.74</v>
      </c>
      <c r="BQ201" s="2">
        <v>60662.06</v>
      </c>
      <c r="BR201" s="2">
        <v>57084.41</v>
      </c>
      <c r="BS201" s="2">
        <v>53555.43</v>
      </c>
      <c r="BT201" s="2">
        <v>49945.25</v>
      </c>
      <c r="BU201" s="2">
        <v>46084.51</v>
      </c>
      <c r="BV201" s="2">
        <v>41726.31</v>
      </c>
      <c r="BW201" s="2">
        <v>36454.49</v>
      </c>
      <c r="BY201">
        <f t="shared" si="163"/>
        <v>0.91306413126011332</v>
      </c>
    </row>
    <row r="202" spans="1:77" x14ac:dyDescent="0.3">
      <c r="A202" s="1" t="s">
        <v>577</v>
      </c>
      <c r="B202" s="2">
        <v>328.84</v>
      </c>
      <c r="C202" s="2">
        <v>689</v>
      </c>
      <c r="E202">
        <v>328.84</v>
      </c>
      <c r="F202">
        <v>368.8578</v>
      </c>
      <c r="G202">
        <v>408.87560000000002</v>
      </c>
      <c r="H202">
        <v>448.89330000000001</v>
      </c>
      <c r="I202">
        <v>488.91109999999998</v>
      </c>
      <c r="J202">
        <v>528.9289</v>
      </c>
      <c r="K202">
        <v>568.94669999999996</v>
      </c>
      <c r="L202">
        <v>608.96439999999996</v>
      </c>
      <c r="M202">
        <v>648.98220000000003</v>
      </c>
      <c r="N202">
        <v>689</v>
      </c>
      <c r="O202">
        <v>15.88977</v>
      </c>
      <c r="P202">
        <v>209.20169999999999</v>
      </c>
      <c r="Q202">
        <v>1501.3979999999999</v>
      </c>
      <c r="R202">
        <v>7016.7910000000002</v>
      </c>
      <c r="S202">
        <v>24032.39</v>
      </c>
      <c r="T202">
        <v>65433.81</v>
      </c>
      <c r="U202">
        <v>150069</v>
      </c>
      <c r="V202">
        <v>302520</v>
      </c>
      <c r="W202">
        <v>553817</v>
      </c>
      <c r="X202">
        <v>945696</v>
      </c>
      <c r="AA202">
        <f t="shared" si="124"/>
        <v>3.0409925799781052E-3</v>
      </c>
      <c r="AB202">
        <f t="shared" si="125"/>
        <v>2.7110718547906539E-3</v>
      </c>
      <c r="AC202">
        <f t="shared" si="126"/>
        <v>2.4457316601919996E-3</v>
      </c>
      <c r="AD202">
        <f t="shared" si="127"/>
        <v>2.2277008812561917E-3</v>
      </c>
      <c r="AE202">
        <f t="shared" si="128"/>
        <v>2.045361620957266E-3</v>
      </c>
      <c r="AF202">
        <f t="shared" si="129"/>
        <v>1.8906132752436102E-3</v>
      </c>
      <c r="AG202">
        <f t="shared" si="130"/>
        <v>1.7576338873219583E-3</v>
      </c>
      <c r="AH202">
        <f t="shared" si="131"/>
        <v>1.6421321180679857E-3</v>
      </c>
      <c r="AI202">
        <f t="shared" si="132"/>
        <v>1.5408743105743115E-3</v>
      </c>
      <c r="AJ202">
        <f t="shared" si="133"/>
        <v>1.4513788098693759E-3</v>
      </c>
      <c r="AK202">
        <f t="shared" si="134"/>
        <v>2.7656755059315961</v>
      </c>
      <c r="AL202">
        <f t="shared" si="135"/>
        <v>5.343298858352779</v>
      </c>
      <c r="AM202">
        <f t="shared" si="136"/>
        <v>7.3141519530479657</v>
      </c>
      <c r="AN202">
        <f t="shared" si="137"/>
        <v>8.8560612700003905</v>
      </c>
      <c r="AO202">
        <f t="shared" si="138"/>
        <v>10.087157782794366</v>
      </c>
      <c r="AP202">
        <f t="shared" si="139"/>
        <v>11.088794376338122</v>
      </c>
      <c r="AQ202">
        <f t="shared" si="140"/>
        <v>11.918850467310827</v>
      </c>
      <c r="AR202">
        <f t="shared" si="141"/>
        <v>12.619902669969965</v>
      </c>
      <c r="AS202">
        <f t="shared" si="142"/>
        <v>13.224589586250383</v>
      </c>
      <c r="AT202">
        <f t="shared" si="143"/>
        <v>13.759676443323515</v>
      </c>
      <c r="AU202">
        <f t="shared" si="144"/>
        <v>0.99761399555162755</v>
      </c>
      <c r="AV202">
        <f t="shared" si="145"/>
        <v>7812.8567126440821</v>
      </c>
      <c r="AW202">
        <f t="shared" si="146"/>
        <v>7427.6462247879226</v>
      </c>
      <c r="AX202">
        <f t="shared" si="147"/>
        <v>7071.9800409757281</v>
      </c>
      <c r="AY202">
        <f t="shared" si="148"/>
        <v>6751.6809642406351</v>
      </c>
      <c r="AZ202">
        <f t="shared" si="149"/>
        <v>6472.6804601657641</v>
      </c>
      <c r="BA202">
        <f t="shared" si="150"/>
        <v>6241.9906118213876</v>
      </c>
      <c r="BB202">
        <f t="shared" si="151"/>
        <v>6069.623064540423</v>
      </c>
      <c r="BC202">
        <f t="shared" si="152"/>
        <v>5971.7559687256153</v>
      </c>
      <c r="BD202">
        <f t="shared" si="153"/>
        <v>5978.9246706077438</v>
      </c>
      <c r="BE202">
        <f t="shared" si="154"/>
        <v>64956.0907089229</v>
      </c>
      <c r="BF202">
        <f t="shared" si="155"/>
        <v>61753.450712886792</v>
      </c>
      <c r="BG202">
        <f t="shared" si="156"/>
        <v>58796.442060672205</v>
      </c>
      <c r="BH202">
        <f t="shared" si="157"/>
        <v>56133.475536696642</v>
      </c>
      <c r="BI202">
        <f t="shared" si="158"/>
        <v>53813.865345818165</v>
      </c>
      <c r="BJ202">
        <f t="shared" si="159"/>
        <v>51895.909946683016</v>
      </c>
      <c r="BK202">
        <f t="shared" si="160"/>
        <v>50462.846158589076</v>
      </c>
      <c r="BL202">
        <f t="shared" si="161"/>
        <v>49649.179123984766</v>
      </c>
      <c r="BM202">
        <f t="shared" si="162"/>
        <v>49708.779711432784</v>
      </c>
      <c r="BO202" s="2">
        <v>66304.899999999994</v>
      </c>
      <c r="BP202" s="2">
        <v>63239.76</v>
      </c>
      <c r="BQ202" s="2">
        <v>60103.33</v>
      </c>
      <c r="BR202" s="2">
        <v>56865.24</v>
      </c>
      <c r="BS202" s="2">
        <v>53482.67</v>
      </c>
      <c r="BT202" s="2">
        <v>49892.77</v>
      </c>
      <c r="BU202" s="2">
        <v>45998.41</v>
      </c>
      <c r="BV202" s="2">
        <v>41637.61</v>
      </c>
      <c r="BW202" s="2">
        <v>36507.29</v>
      </c>
      <c r="BY202">
        <f t="shared" si="163"/>
        <v>0.8924619746131135</v>
      </c>
    </row>
    <row r="203" spans="1:77" x14ac:dyDescent="0.3">
      <c r="A203" s="1" t="s">
        <v>580</v>
      </c>
      <c r="B203" s="2">
        <v>337.11</v>
      </c>
      <c r="C203" s="2">
        <v>701</v>
      </c>
      <c r="E203" s="2">
        <v>337.11</v>
      </c>
      <c r="F203">
        <v>377.54219999999998</v>
      </c>
      <c r="G203">
        <v>417.9744</v>
      </c>
      <c r="H203">
        <v>458.4067</v>
      </c>
      <c r="I203">
        <v>498.83890000000002</v>
      </c>
      <c r="J203">
        <v>539.27110000000005</v>
      </c>
      <c r="K203">
        <v>579.70330000000001</v>
      </c>
      <c r="L203">
        <v>620.13559999999995</v>
      </c>
      <c r="M203">
        <v>660.56780000000003</v>
      </c>
      <c r="N203">
        <v>701</v>
      </c>
      <c r="O203">
        <v>38.349089999999997</v>
      </c>
      <c r="P203">
        <v>390.53280000000001</v>
      </c>
      <c r="Q203">
        <v>2324.2429999999999</v>
      </c>
      <c r="R203">
        <v>9467.1119999999992</v>
      </c>
      <c r="S203">
        <v>29300.400000000001</v>
      </c>
      <c r="T203">
        <v>74013.5</v>
      </c>
      <c r="U203">
        <v>160471</v>
      </c>
      <c r="V203">
        <v>309718</v>
      </c>
      <c r="W203">
        <v>546860</v>
      </c>
      <c r="X203">
        <v>902574</v>
      </c>
      <c r="AA203">
        <f t="shared" si="124"/>
        <v>2.9663907923229804E-3</v>
      </c>
      <c r="AB203">
        <f t="shared" si="125"/>
        <v>2.6487105282535306E-3</v>
      </c>
      <c r="AC203">
        <f t="shared" si="126"/>
        <v>2.3924910233736802E-3</v>
      </c>
      <c r="AD203">
        <f t="shared" si="127"/>
        <v>2.1814689881277912E-3</v>
      </c>
      <c r="AE203">
        <f t="shared" si="128"/>
        <v>2.0046552103294268E-3</v>
      </c>
      <c r="AF203">
        <f t="shared" si="129"/>
        <v>1.8543548875509922E-3</v>
      </c>
      <c r="AG203">
        <f t="shared" si="130"/>
        <v>1.7250203681779973E-3</v>
      </c>
      <c r="AH203">
        <f t="shared" si="131"/>
        <v>1.6125505453968457E-3</v>
      </c>
      <c r="AI203">
        <f t="shared" si="132"/>
        <v>1.513849146143666E-3</v>
      </c>
      <c r="AJ203">
        <f t="shared" si="133"/>
        <v>1.4265335235378032E-3</v>
      </c>
      <c r="AK203">
        <f t="shared" si="134"/>
        <v>3.6467307987181732</v>
      </c>
      <c r="AL203">
        <f t="shared" si="135"/>
        <v>5.9675119606307296</v>
      </c>
      <c r="AM203">
        <f t="shared" si="136"/>
        <v>7.7511496736072196</v>
      </c>
      <c r="AN203">
        <f t="shared" si="137"/>
        <v>9.1555791766282564</v>
      </c>
      <c r="AO203">
        <f t="shared" si="138"/>
        <v>10.285356446789105</v>
      </c>
      <c r="AP203">
        <f t="shared" si="139"/>
        <v>11.212002787979968</v>
      </c>
      <c r="AQ203">
        <f t="shared" si="140"/>
        <v>11.985868519868387</v>
      </c>
      <c r="AR203">
        <f t="shared" si="141"/>
        <v>12.643417485034377</v>
      </c>
      <c r="AS203">
        <f t="shared" si="142"/>
        <v>13.211948107146418</v>
      </c>
      <c r="AT203">
        <f t="shared" si="143"/>
        <v>13.713005960287646</v>
      </c>
      <c r="AU203">
        <f t="shared" si="144"/>
        <v>0.99813679880423933</v>
      </c>
      <c r="AV203">
        <f t="shared" si="145"/>
        <v>7305.3992469774512</v>
      </c>
      <c r="AW203">
        <f t="shared" si="146"/>
        <v>6961.3658562524161</v>
      </c>
      <c r="AX203">
        <f t="shared" si="147"/>
        <v>6655.3689589077958</v>
      </c>
      <c r="AY203">
        <f t="shared" si="148"/>
        <v>6389.6449938942487</v>
      </c>
      <c r="AZ203">
        <f t="shared" si="149"/>
        <v>6165.2984109480549</v>
      </c>
      <c r="BA203">
        <f t="shared" si="150"/>
        <v>5983.4430563477399</v>
      </c>
      <c r="BB203">
        <f t="shared" si="151"/>
        <v>5846.4479529364598</v>
      </c>
      <c r="BC203">
        <f t="shared" si="152"/>
        <v>5760.1070138195219</v>
      </c>
      <c r="BD203">
        <f t="shared" si="153"/>
        <v>5738.4673920607711</v>
      </c>
      <c r="BE203">
        <f t="shared" si="154"/>
        <v>60737.089339370526</v>
      </c>
      <c r="BF203">
        <f t="shared" si="155"/>
        <v>57876.795728882586</v>
      </c>
      <c r="BG203">
        <f t="shared" si="156"/>
        <v>55332.737524359414</v>
      </c>
      <c r="BH203">
        <f t="shared" si="157"/>
        <v>53123.508479236785</v>
      </c>
      <c r="BI203">
        <f t="shared" si="158"/>
        <v>51258.290988622131</v>
      </c>
      <c r="BJ203">
        <f t="shared" si="159"/>
        <v>49746.34557047511</v>
      </c>
      <c r="BK203">
        <f t="shared" si="160"/>
        <v>48607.36828071373</v>
      </c>
      <c r="BL203">
        <f t="shared" si="161"/>
        <v>47889.529712895506</v>
      </c>
      <c r="BM203">
        <f t="shared" si="162"/>
        <v>47709.617897593249</v>
      </c>
      <c r="BO203" s="2">
        <v>62161.2</v>
      </c>
      <c r="BP203" s="2">
        <v>59149.84</v>
      </c>
      <c r="BQ203" s="2">
        <v>56241.16</v>
      </c>
      <c r="BR203" s="2">
        <v>53354.53</v>
      </c>
      <c r="BS203" s="2">
        <v>50397.37</v>
      </c>
      <c r="BT203" s="2">
        <v>47256.01</v>
      </c>
      <c r="BU203" s="2">
        <v>43779.56</v>
      </c>
      <c r="BV203" s="2">
        <v>39747.33</v>
      </c>
      <c r="BW203" s="2">
        <v>34790.089999999997</v>
      </c>
      <c r="BY203">
        <f t="shared" si="163"/>
        <v>0.89129055371593358</v>
      </c>
    </row>
    <row r="204" spans="1:77" x14ac:dyDescent="0.3">
      <c r="A204" s="1" t="s">
        <v>583</v>
      </c>
      <c r="B204" s="2">
        <v>334.1</v>
      </c>
      <c r="C204" s="2">
        <v>706</v>
      </c>
      <c r="E204" s="2">
        <v>334.1</v>
      </c>
      <c r="F204">
        <v>375.42219999999998</v>
      </c>
      <c r="G204">
        <v>416.74439999999998</v>
      </c>
      <c r="H204">
        <v>458.06670000000003</v>
      </c>
      <c r="I204">
        <v>499.38889999999998</v>
      </c>
      <c r="J204">
        <v>540.71109999999999</v>
      </c>
      <c r="K204">
        <v>582.03330000000005</v>
      </c>
      <c r="L204">
        <v>623.35559999999998</v>
      </c>
      <c r="M204">
        <v>664.67780000000005</v>
      </c>
      <c r="N204">
        <v>706</v>
      </c>
      <c r="O204">
        <v>11.604839999999999</v>
      </c>
      <c r="P204">
        <v>161.70060000000001</v>
      </c>
      <c r="Q204">
        <v>1199.462</v>
      </c>
      <c r="R204">
        <v>5724.5119999999997</v>
      </c>
      <c r="S204">
        <v>19902.060000000001</v>
      </c>
      <c r="T204">
        <v>54834.69</v>
      </c>
      <c r="U204">
        <v>126997</v>
      </c>
      <c r="V204">
        <v>257945</v>
      </c>
      <c r="W204">
        <v>474231</v>
      </c>
      <c r="X204">
        <v>809078</v>
      </c>
      <c r="AA204">
        <f t="shared" si="124"/>
        <v>2.9931158335827594E-3</v>
      </c>
      <c r="AB204">
        <f t="shared" si="125"/>
        <v>2.6636677319561816E-3</v>
      </c>
      <c r="AC204">
        <f t="shared" si="126"/>
        <v>2.3995523395155399E-3</v>
      </c>
      <c r="AD204">
        <f t="shared" si="127"/>
        <v>2.183088183445773E-3</v>
      </c>
      <c r="AE204">
        <f t="shared" si="128"/>
        <v>2.0024473912015265E-3</v>
      </c>
      <c r="AF204">
        <f t="shared" si="129"/>
        <v>1.849416444382222E-3</v>
      </c>
      <c r="AG204">
        <f t="shared" si="130"/>
        <v>1.7181147539152826E-3</v>
      </c>
      <c r="AH204">
        <f t="shared" si="131"/>
        <v>1.6042207690121016E-3</v>
      </c>
      <c r="AI204">
        <f t="shared" si="132"/>
        <v>1.5044883400649155E-3</v>
      </c>
      <c r="AJ204">
        <f t="shared" si="133"/>
        <v>1.4164305949008499E-3</v>
      </c>
      <c r="AK204">
        <f t="shared" si="134"/>
        <v>2.4514222524706502</v>
      </c>
      <c r="AL204">
        <f t="shared" si="135"/>
        <v>5.0857464771513161</v>
      </c>
      <c r="AM204">
        <f t="shared" si="136"/>
        <v>7.0896284019113205</v>
      </c>
      <c r="AN204">
        <f t="shared" si="137"/>
        <v>8.6525125846146178</v>
      </c>
      <c r="AO204">
        <f t="shared" si="138"/>
        <v>9.8985785229429482</v>
      </c>
      <c r="AP204">
        <f t="shared" si="139"/>
        <v>10.912078301854722</v>
      </c>
      <c r="AQ204">
        <f t="shared" si="140"/>
        <v>11.75191874311448</v>
      </c>
      <c r="AR204">
        <f t="shared" si="141"/>
        <v>12.460501662883459</v>
      </c>
      <c r="AS204">
        <f t="shared" si="142"/>
        <v>13.069449823736932</v>
      </c>
      <c r="AT204">
        <f t="shared" si="143"/>
        <v>13.603650606720535</v>
      </c>
      <c r="AU204">
        <f t="shared" si="144"/>
        <v>0.99762577050633339</v>
      </c>
      <c r="AV204">
        <f t="shared" si="145"/>
        <v>7996.1736360727764</v>
      </c>
      <c r="AW204">
        <f t="shared" si="146"/>
        <v>7587.1455512020721</v>
      </c>
      <c r="AX204">
        <f t="shared" si="147"/>
        <v>7220.0599447031591</v>
      </c>
      <c r="AY204">
        <f t="shared" si="148"/>
        <v>6898.0318501012243</v>
      </c>
      <c r="AZ204">
        <f t="shared" si="149"/>
        <v>6622.8419805079757</v>
      </c>
      <c r="BA204">
        <f t="shared" si="150"/>
        <v>6396.2652595948312</v>
      </c>
      <c r="BB204">
        <f t="shared" si="151"/>
        <v>6221.4253050442558</v>
      </c>
      <c r="BC204">
        <f t="shared" si="152"/>
        <v>6105.8190127500529</v>
      </c>
      <c r="BD204">
        <f t="shared" si="153"/>
        <v>6066.4826471345905</v>
      </c>
      <c r="BE204">
        <f t="shared" si="154"/>
        <v>66480.187610309062</v>
      </c>
      <c r="BF204">
        <f t="shared" si="155"/>
        <v>63079.528112694024</v>
      </c>
      <c r="BG204">
        <f t="shared" si="156"/>
        <v>60027.578380262064</v>
      </c>
      <c r="BH204">
        <f t="shared" si="157"/>
        <v>57350.236801741579</v>
      </c>
      <c r="BI204">
        <f t="shared" si="158"/>
        <v>55062.308225943307</v>
      </c>
      <c r="BJ204">
        <f t="shared" si="159"/>
        <v>53178.54936827143</v>
      </c>
      <c r="BK204">
        <f t="shared" si="160"/>
        <v>51724.92998613794</v>
      </c>
      <c r="BL204">
        <f t="shared" si="161"/>
        <v>50763.779272003943</v>
      </c>
      <c r="BM204">
        <f t="shared" si="162"/>
        <v>50436.736728276985</v>
      </c>
      <c r="BO204" s="2">
        <v>67934.83</v>
      </c>
      <c r="BP204" s="2">
        <v>64639.26</v>
      </c>
      <c r="BQ204" s="2">
        <v>61387.57</v>
      </c>
      <c r="BR204" s="2">
        <v>58102.48</v>
      </c>
      <c r="BS204" s="2">
        <v>54693.43</v>
      </c>
      <c r="BT204" s="2">
        <v>51047.46</v>
      </c>
      <c r="BU204" s="2">
        <v>47012.79</v>
      </c>
      <c r="BV204" s="2">
        <v>42365.1</v>
      </c>
      <c r="BW204" s="2">
        <v>36725.15</v>
      </c>
      <c r="BY204">
        <f t="shared" si="163"/>
        <v>0.89827000293472137</v>
      </c>
    </row>
    <row r="205" spans="1:77" x14ac:dyDescent="0.3">
      <c r="A205" s="1" t="s">
        <v>586</v>
      </c>
      <c r="B205" s="2">
        <v>298.55</v>
      </c>
      <c r="C205" s="2">
        <v>856</v>
      </c>
      <c r="E205">
        <v>298.55</v>
      </c>
      <c r="F205">
        <v>360.4889</v>
      </c>
      <c r="G205">
        <v>422.42779999999999</v>
      </c>
      <c r="H205">
        <v>484.36669999999998</v>
      </c>
      <c r="I205">
        <v>546.30560000000003</v>
      </c>
      <c r="J205">
        <v>608.24440000000004</v>
      </c>
      <c r="K205">
        <v>670.18330000000003</v>
      </c>
      <c r="L205">
        <v>732.12220000000002</v>
      </c>
      <c r="M205">
        <v>794.06110000000001</v>
      </c>
      <c r="N205">
        <v>856</v>
      </c>
      <c r="O205" s="13">
        <v>7.8665999999999995E-14</v>
      </c>
      <c r="P205" s="13">
        <v>3.9211800000000003E-8</v>
      </c>
      <c r="Q205">
        <v>2.2645200000000001E-4</v>
      </c>
      <c r="R205">
        <v>9.1057799999999994E-2</v>
      </c>
      <c r="S205">
        <v>6.689476</v>
      </c>
      <c r="T205">
        <v>157.93129999999999</v>
      </c>
      <c r="U205">
        <v>1707.32</v>
      </c>
      <c r="V205">
        <v>10699.76</v>
      </c>
      <c r="W205">
        <v>45924.22</v>
      </c>
      <c r="X205">
        <v>153016</v>
      </c>
      <c r="AA205">
        <f>1/E205</f>
        <v>3.3495226930162453E-3</v>
      </c>
      <c r="AB205">
        <f t="shared" si="125"/>
        <v>2.7740105173834754E-3</v>
      </c>
      <c r="AC205">
        <f t="shared" si="126"/>
        <v>2.3672684420864348E-3</v>
      </c>
      <c r="AD205">
        <f t="shared" si="127"/>
        <v>2.064551506121292E-3</v>
      </c>
      <c r="AE205">
        <f t="shared" si="128"/>
        <v>1.8304773006170905E-3</v>
      </c>
      <c r="AF205">
        <f t="shared" si="129"/>
        <v>1.6440759668317536E-3</v>
      </c>
      <c r="AG205">
        <f t="shared" si="130"/>
        <v>1.4921290936375168E-3</v>
      </c>
      <c r="AH205">
        <f t="shared" si="131"/>
        <v>1.3658921966851981E-3</v>
      </c>
      <c r="AI205">
        <f>1/M205</f>
        <v>1.2593489342318871E-3</v>
      </c>
      <c r="AJ205">
        <f t="shared" si="133"/>
        <v>1.1682242990654205E-3</v>
      </c>
      <c r="AK205">
        <f>LN(O205)</f>
        <v>-30.173565353165365</v>
      </c>
      <c r="AL205">
        <f t="shared" si="135"/>
        <v>-17.054288115039384</v>
      </c>
      <c r="AM205">
        <f t="shared" si="136"/>
        <v>-8.3929775560293152</v>
      </c>
      <c r="AN205">
        <f t="shared" si="137"/>
        <v>-2.3962608092619311</v>
      </c>
      <c r="AO205">
        <f t="shared" si="138"/>
        <v>1.900535545213015</v>
      </c>
      <c r="AP205">
        <f t="shared" si="139"/>
        <v>5.0621601283430504</v>
      </c>
      <c r="AQ205">
        <f t="shared" si="140"/>
        <v>7.4426801686114334</v>
      </c>
      <c r="AR205">
        <f t="shared" si="141"/>
        <v>9.2779765902919014</v>
      </c>
      <c r="AS205">
        <f t="shared" si="142"/>
        <v>10.734747925725701</v>
      </c>
      <c r="AT205">
        <f>LN(X205)</f>
        <v>11.938297770070371</v>
      </c>
      <c r="AU205">
        <f t="shared" si="144"/>
        <v>0.99308800937202757</v>
      </c>
      <c r="AV205">
        <f>-SLOPE(AK205:AL205, AA205:AB205)</f>
        <v>22795.829165041501</v>
      </c>
      <c r="AW205">
        <f t="shared" si="146"/>
        <v>21294.356018331226</v>
      </c>
      <c r="AX205">
        <f t="shared" si="147"/>
        <v>19809.65064821445</v>
      </c>
      <c r="AY205">
        <f t="shared" si="148"/>
        <v>18356.556397231143</v>
      </c>
      <c r="AZ205">
        <f t="shared" si="149"/>
        <v>16961.383907107756</v>
      </c>
      <c r="BA205">
        <f t="shared" si="150"/>
        <v>15666.791887354706</v>
      </c>
      <c r="BB205">
        <f t="shared" si="151"/>
        <v>14538.510261177311</v>
      </c>
      <c r="BC205">
        <f t="shared" si="152"/>
        <v>13673.049819289894</v>
      </c>
      <c r="BD205">
        <f t="shared" si="153"/>
        <v>13207.732926952433</v>
      </c>
      <c r="BE205">
        <f t="shared" si="154"/>
        <v>189524.52367815503</v>
      </c>
      <c r="BF205">
        <f t="shared" si="155"/>
        <v>177041.27593640581</v>
      </c>
      <c r="BG205">
        <f t="shared" si="156"/>
        <v>164697.43548925495</v>
      </c>
      <c r="BH205">
        <f t="shared" si="157"/>
        <v>152616.40988657973</v>
      </c>
      <c r="BI205">
        <f t="shared" si="158"/>
        <v>141016.94580369387</v>
      </c>
      <c r="BJ205">
        <f t="shared" si="159"/>
        <v>130253.70775146702</v>
      </c>
      <c r="BK205">
        <f t="shared" si="160"/>
        <v>120873.17431142817</v>
      </c>
      <c r="BL205">
        <f t="shared" si="161"/>
        <v>113677.73619757617</v>
      </c>
      <c r="BM205">
        <f t="shared" si="162"/>
        <v>109809.09155468253</v>
      </c>
      <c r="BO205" s="2">
        <v>195666</v>
      </c>
      <c r="BP205" s="2">
        <v>182820</v>
      </c>
      <c r="BQ205" s="2">
        <v>170318</v>
      </c>
      <c r="BR205" s="2">
        <v>158241</v>
      </c>
      <c r="BS205" s="2">
        <v>146618</v>
      </c>
      <c r="BT205" s="2">
        <v>135404</v>
      </c>
      <c r="BU205" s="2">
        <v>124427</v>
      </c>
      <c r="BV205" s="2">
        <v>113261</v>
      </c>
      <c r="BW205" s="2">
        <v>100805</v>
      </c>
      <c r="BY205">
        <f t="shared" si="163"/>
        <v>0.98712252453190485</v>
      </c>
    </row>
    <row r="207" spans="1:77" x14ac:dyDescent="0.3">
      <c r="X207" s="2"/>
      <c r="Y207" s="2"/>
      <c r="AB207" s="2"/>
      <c r="AD207" s="2"/>
      <c r="AE207" s="2"/>
    </row>
    <row r="217" spans="4:32" x14ac:dyDescent="0.3">
      <c r="D217" s="13"/>
      <c r="I217" s="13"/>
      <c r="J217" s="13"/>
      <c r="K217" s="13"/>
      <c r="M217" s="13"/>
      <c r="O217" s="13"/>
      <c r="P217" s="13"/>
      <c r="Q217" s="13"/>
      <c r="R217" s="13"/>
      <c r="S217" s="13"/>
      <c r="T217" s="13"/>
      <c r="U217" s="13"/>
      <c r="V217" s="13"/>
      <c r="Y217" s="13"/>
      <c r="Z217" s="13"/>
      <c r="AA217" s="13"/>
      <c r="AF217" s="13"/>
    </row>
    <row r="218" spans="4:32" x14ac:dyDescent="0.3">
      <c r="AF218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2032-E4BB-45DB-BC40-47DB3C21614F}">
  <dimension ref="A1:DE16379"/>
  <sheetViews>
    <sheetView topLeftCell="AE1" zoomScale="70" zoomScaleNormal="70" workbookViewId="0">
      <selection activeCell="AF2" sqref="AF2:AY205"/>
    </sheetView>
  </sheetViews>
  <sheetFormatPr defaultColWidth="8.25" defaultRowHeight="14" x14ac:dyDescent="0.3"/>
  <cols>
    <col min="1" max="1" width="8.25" style="2"/>
    <col min="2" max="2" width="48.08203125" style="2" customWidth="1"/>
    <col min="3" max="3" width="23.83203125" style="2" customWidth="1"/>
    <col min="4" max="4" width="16.08203125" style="2" customWidth="1"/>
    <col min="5" max="5" width="35.08203125" style="2" customWidth="1"/>
    <col min="6" max="6" width="28.33203125" style="2" customWidth="1"/>
    <col min="7" max="7" width="25.08203125" style="2" customWidth="1"/>
    <col min="8" max="8" width="35.83203125" style="2" customWidth="1"/>
    <col min="9" max="9" width="44.33203125" style="2" customWidth="1"/>
    <col min="10" max="10" width="48.83203125" style="2" customWidth="1"/>
    <col min="11" max="11" width="96.33203125" style="2" customWidth="1"/>
    <col min="12" max="12" width="77.08203125" style="2" customWidth="1"/>
    <col min="13" max="14" width="8.25" style="2"/>
    <col min="15" max="15" width="13.58203125" style="2" customWidth="1"/>
    <col min="16" max="16" width="8.25" style="2"/>
    <col min="17" max="17" width="16" style="2" customWidth="1"/>
    <col min="18" max="18" width="8.25" style="2"/>
    <col min="19" max="19" width="10.33203125" style="2" customWidth="1"/>
    <col min="20" max="20" width="19" style="2" customWidth="1"/>
    <col min="21" max="21" width="18.08203125" style="2" customWidth="1"/>
    <col min="22" max="22" width="38.08203125" style="2" customWidth="1"/>
    <col min="23" max="23" width="45.83203125" style="2" customWidth="1"/>
    <col min="24" max="31" width="39.58203125" style="2" customWidth="1"/>
    <col min="32" max="50" width="8.25" style="2"/>
    <col min="51" max="51" width="8.5" style="2" customWidth="1"/>
    <col min="52" max="52" width="63.75" style="2" customWidth="1"/>
    <col min="53" max="53" width="63.33203125" style="2" customWidth="1"/>
    <col min="54" max="55" width="8.25" style="2"/>
    <col min="56" max="56" width="24.33203125" style="2" customWidth="1"/>
    <col min="57" max="57" width="26.58203125" style="2" customWidth="1"/>
    <col min="58" max="16384" width="8.25" style="2"/>
  </cols>
  <sheetData>
    <row r="1" spans="1:67" ht="17.149999999999999" customHeight="1" x14ac:dyDescent="0.45">
      <c r="A1" s="4" t="s">
        <v>0</v>
      </c>
      <c r="B1" s="5" t="s">
        <v>1</v>
      </c>
      <c r="C1" s="4" t="s">
        <v>2</v>
      </c>
      <c r="D1" s="5" t="s">
        <v>627</v>
      </c>
      <c r="E1" s="14" t="s">
        <v>628</v>
      </c>
      <c r="F1" s="14" t="s">
        <v>629</v>
      </c>
      <c r="G1" s="14" t="s">
        <v>630</v>
      </c>
      <c r="H1" s="14" t="s">
        <v>631</v>
      </c>
      <c r="I1" s="14" t="s">
        <v>632</v>
      </c>
      <c r="J1" s="14" t="s">
        <v>633</v>
      </c>
      <c r="K1" s="15" t="s">
        <v>634</v>
      </c>
      <c r="L1" s="4" t="s">
        <v>635</v>
      </c>
      <c r="M1" s="16" t="s">
        <v>636</v>
      </c>
      <c r="N1" s="16" t="s">
        <v>637</v>
      </c>
      <c r="O1" s="16" t="s">
        <v>638</v>
      </c>
      <c r="P1" s="16" t="s">
        <v>639</v>
      </c>
      <c r="Q1" s="16" t="s">
        <v>640</v>
      </c>
      <c r="R1" s="16" t="s">
        <v>641</v>
      </c>
      <c r="S1" s="16" t="s">
        <v>642</v>
      </c>
      <c r="T1" s="16" t="s">
        <v>643</v>
      </c>
      <c r="U1" s="16" t="s">
        <v>644</v>
      </c>
      <c r="V1" s="16" t="s">
        <v>645</v>
      </c>
      <c r="W1" s="16" t="s">
        <v>646</v>
      </c>
      <c r="X1" s="16" t="s">
        <v>647</v>
      </c>
      <c r="Y1" s="16" t="s">
        <v>648</v>
      </c>
      <c r="Z1" s="16" t="s">
        <v>649</v>
      </c>
      <c r="AA1" s="16" t="s">
        <v>650</v>
      </c>
      <c r="AB1" s="16" t="s">
        <v>651</v>
      </c>
      <c r="AC1" s="16" t="s">
        <v>652</v>
      </c>
      <c r="AD1" s="16" t="s">
        <v>653</v>
      </c>
      <c r="AE1" s="16" t="s">
        <v>654</v>
      </c>
      <c r="AF1" s="10" t="s">
        <v>587</v>
      </c>
      <c r="AG1" s="10" t="s">
        <v>588</v>
      </c>
      <c r="AH1" s="10" t="s">
        <v>589</v>
      </c>
      <c r="AI1" s="10" t="s">
        <v>590</v>
      </c>
      <c r="AJ1" s="10" t="s">
        <v>591</v>
      </c>
      <c r="AK1" s="10" t="s">
        <v>592</v>
      </c>
      <c r="AL1" s="10" t="s">
        <v>593</v>
      </c>
      <c r="AM1" s="10" t="s">
        <v>594</v>
      </c>
      <c r="AN1" s="10" t="s">
        <v>595</v>
      </c>
      <c r="AO1" s="10" t="s">
        <v>655</v>
      </c>
      <c r="AP1" s="10" t="s">
        <v>656</v>
      </c>
      <c r="AQ1" s="10" t="s">
        <v>657</v>
      </c>
      <c r="AR1" s="10" t="s">
        <v>658</v>
      </c>
      <c r="AS1" s="10" t="s">
        <v>659</v>
      </c>
      <c r="AT1" s="10" t="s">
        <v>660</v>
      </c>
      <c r="AU1" s="10" t="s">
        <v>661</v>
      </c>
      <c r="AV1" s="10" t="s">
        <v>662</v>
      </c>
      <c r="AW1" s="10" t="s">
        <v>663</v>
      </c>
      <c r="AX1" s="10" t="s">
        <v>664</v>
      </c>
      <c r="AY1" s="10" t="s">
        <v>665</v>
      </c>
      <c r="AZ1" s="10" t="s">
        <v>666</v>
      </c>
      <c r="BA1" s="10" t="s">
        <v>667</v>
      </c>
      <c r="BB1"/>
      <c r="BD1" s="10" t="s">
        <v>668</v>
      </c>
      <c r="BE1" s="10" t="s">
        <v>669</v>
      </c>
      <c r="BK1" s="2" t="s">
        <v>597</v>
      </c>
    </row>
    <row r="2" spans="1:67" x14ac:dyDescent="0.3">
      <c r="A2" s="6">
        <v>1</v>
      </c>
      <c r="B2" s="6" t="s">
        <v>4</v>
      </c>
      <c r="C2" s="6" t="s">
        <v>5</v>
      </c>
      <c r="D2" s="6" t="s">
        <v>6</v>
      </c>
      <c r="E2" s="1">
        <v>314.46555999999998</v>
      </c>
      <c r="F2" s="1">
        <v>622.15</v>
      </c>
      <c r="G2" s="1">
        <v>768</v>
      </c>
      <c r="H2" s="1">
        <v>298.14999999999998</v>
      </c>
      <c r="I2" s="6">
        <f t="shared" ref="I2:I65" si="0">G2/2</f>
        <v>384</v>
      </c>
      <c r="J2" s="2">
        <v>4</v>
      </c>
      <c r="K2" s="2">
        <v>18</v>
      </c>
      <c r="L2" s="6" t="s">
        <v>670</v>
      </c>
      <c r="M2" s="6">
        <v>2</v>
      </c>
      <c r="N2" s="6">
        <v>12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2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>
        <v>263.95</v>
      </c>
      <c r="AG2">
        <v>314.62220000000002</v>
      </c>
      <c r="AH2">
        <v>365.2944</v>
      </c>
      <c r="AI2">
        <v>415.9667</v>
      </c>
      <c r="AJ2">
        <v>466.63889999999998</v>
      </c>
      <c r="AK2">
        <v>517.31110000000001</v>
      </c>
      <c r="AL2">
        <v>567.98329999999999</v>
      </c>
      <c r="AM2">
        <v>618.65560000000005</v>
      </c>
      <c r="AN2">
        <v>669.32780000000002</v>
      </c>
      <c r="AO2">
        <v>720</v>
      </c>
      <c r="AP2" s="13">
        <v>2.8878000000000001E-6</v>
      </c>
      <c r="AQ2">
        <v>5.2382100000000001E-3</v>
      </c>
      <c r="AR2">
        <v>0.91790799999999995</v>
      </c>
      <c r="AS2">
        <v>37.723970000000001</v>
      </c>
      <c r="AT2">
        <v>596.90039999999999</v>
      </c>
      <c r="AU2">
        <v>4900.7070000000003</v>
      </c>
      <c r="AV2">
        <v>25265.119999999999</v>
      </c>
      <c r="AW2">
        <v>92983.09</v>
      </c>
      <c r="AX2">
        <v>267413</v>
      </c>
      <c r="AY2">
        <v>642482</v>
      </c>
      <c r="AZ2" s="2">
        <v>13.2</v>
      </c>
      <c r="BA2" s="2">
        <v>1.0071699999999999</v>
      </c>
      <c r="BB2" s="2">
        <v>1308730</v>
      </c>
      <c r="BC2" s="2">
        <f>G2*0.9-F2</f>
        <v>69.050000000000068</v>
      </c>
      <c r="BD2" s="2">
        <v>695.07500000000005</v>
      </c>
      <c r="BE2" s="2">
        <v>4.2544040000000001</v>
      </c>
      <c r="BG2">
        <v>349</v>
      </c>
      <c r="BH2" s="2">
        <f>BG2+273.15</f>
        <v>622.15</v>
      </c>
      <c r="BK2" s="2" t="s">
        <v>6</v>
      </c>
      <c r="BO2" s="2">
        <f>AF2-F2</f>
        <v>-358.2</v>
      </c>
    </row>
    <row r="3" spans="1:67" x14ac:dyDescent="0.3">
      <c r="A3" s="6">
        <v>2</v>
      </c>
      <c r="B3" s="6" t="s">
        <v>7</v>
      </c>
      <c r="C3" s="6" t="s">
        <v>8</v>
      </c>
      <c r="D3" s="6" t="s">
        <v>9</v>
      </c>
      <c r="E3" s="1">
        <v>370.57308</v>
      </c>
      <c r="F3" s="1">
        <v>673.601</v>
      </c>
      <c r="G3" s="1">
        <v>825</v>
      </c>
      <c r="H3" s="1">
        <v>298.14999999999998</v>
      </c>
      <c r="I3" s="6">
        <f t="shared" si="0"/>
        <v>412.5</v>
      </c>
      <c r="J3" s="2">
        <v>6</v>
      </c>
      <c r="K3" s="2">
        <v>22</v>
      </c>
      <c r="L3" s="6" t="s">
        <v>671</v>
      </c>
      <c r="M3" s="6">
        <v>2</v>
      </c>
      <c r="N3" s="6">
        <v>16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2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>
        <v>300</v>
      </c>
      <c r="AG3">
        <v>352.22219999999999</v>
      </c>
      <c r="AH3">
        <v>404.44439999999997</v>
      </c>
      <c r="AI3">
        <v>456.66669999999999</v>
      </c>
      <c r="AJ3">
        <v>508.88889999999998</v>
      </c>
      <c r="AK3">
        <v>561.11109999999996</v>
      </c>
      <c r="AL3">
        <v>613.33330000000001</v>
      </c>
      <c r="AM3">
        <v>665.55560000000003</v>
      </c>
      <c r="AN3">
        <v>717.77779999999996</v>
      </c>
      <c r="AO3">
        <v>770</v>
      </c>
      <c r="AP3" s="13">
        <v>8.54021E-5</v>
      </c>
      <c r="AQ3">
        <v>5.4683099999999998E-2</v>
      </c>
      <c r="AR3">
        <v>4.6983839999999999</v>
      </c>
      <c r="AS3">
        <v>113.96339999999999</v>
      </c>
      <c r="AT3">
        <v>1201.0509999999999</v>
      </c>
      <c r="AU3">
        <v>7170.1859999999997</v>
      </c>
      <c r="AV3">
        <v>28774.58</v>
      </c>
      <c r="AW3">
        <v>87116.03</v>
      </c>
      <c r="AX3">
        <v>215898</v>
      </c>
      <c r="AY3">
        <v>466189</v>
      </c>
      <c r="AZ3" s="2">
        <v>9.6651699999999998</v>
      </c>
      <c r="BA3" s="2">
        <v>1.0133000000000001</v>
      </c>
      <c r="BB3" s="2">
        <v>966096</v>
      </c>
      <c r="BC3" s="2">
        <f t="shared" ref="BC3:BC66" si="1">G3*0.9-F3</f>
        <v>68.899000000000001</v>
      </c>
      <c r="BD3" s="2">
        <v>749.30050000000006</v>
      </c>
      <c r="BE3" s="2">
        <v>3.4806010000000001</v>
      </c>
      <c r="BG3">
        <v>400.45100000000002</v>
      </c>
      <c r="BH3" s="2">
        <f t="shared" ref="BH3:BH66" si="2">BG3+273.15</f>
        <v>673.601</v>
      </c>
      <c r="BK3" s="2" t="s">
        <v>9</v>
      </c>
    </row>
    <row r="4" spans="1:67" x14ac:dyDescent="0.3">
      <c r="A4" s="6">
        <v>3</v>
      </c>
      <c r="B4" s="6" t="s">
        <v>10</v>
      </c>
      <c r="C4" s="6" t="s">
        <v>11</v>
      </c>
      <c r="D4" s="6" t="s">
        <v>12</v>
      </c>
      <c r="E4" s="1">
        <v>426.68060000000003</v>
      </c>
      <c r="F4" s="1">
        <v>724.19500000000005</v>
      </c>
      <c r="G4" s="1">
        <v>875</v>
      </c>
      <c r="H4" s="1">
        <v>298.14999999999998</v>
      </c>
      <c r="I4" s="6">
        <f t="shared" si="0"/>
        <v>437.5</v>
      </c>
      <c r="J4" s="2">
        <v>8</v>
      </c>
      <c r="K4" s="2">
        <v>26</v>
      </c>
      <c r="L4" s="6" t="s">
        <v>672</v>
      </c>
      <c r="M4" s="6">
        <v>2</v>
      </c>
      <c r="N4" s="6">
        <v>20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2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>
        <v>300</v>
      </c>
      <c r="AG4">
        <v>357.77780000000001</v>
      </c>
      <c r="AH4">
        <v>415.55560000000003</v>
      </c>
      <c r="AI4">
        <v>473.33330000000001</v>
      </c>
      <c r="AJ4">
        <v>531.11109999999996</v>
      </c>
      <c r="AK4">
        <v>588.88890000000004</v>
      </c>
      <c r="AL4">
        <v>646.66669999999999</v>
      </c>
      <c r="AM4">
        <v>704.44439999999997</v>
      </c>
      <c r="AN4">
        <v>762.22220000000004</v>
      </c>
      <c r="AO4">
        <v>820</v>
      </c>
      <c r="AP4" s="13">
        <v>6.4107700000000001E-6</v>
      </c>
      <c r="AQ4">
        <v>1.1780499999999999E-2</v>
      </c>
      <c r="AR4">
        <v>1.801628</v>
      </c>
      <c r="AS4">
        <v>60.853810000000003</v>
      </c>
      <c r="AT4">
        <v>780.75080000000003</v>
      </c>
      <c r="AU4">
        <v>5253.7219999999998</v>
      </c>
      <c r="AV4">
        <v>22707.02</v>
      </c>
      <c r="AW4">
        <v>72036.67</v>
      </c>
      <c r="AX4">
        <v>184015</v>
      </c>
      <c r="AY4">
        <v>405830</v>
      </c>
      <c r="AZ4" s="2">
        <v>8.0020299999999995</v>
      </c>
      <c r="BA4" s="2">
        <v>1.013218</v>
      </c>
      <c r="BB4" s="2">
        <v>799815</v>
      </c>
      <c r="BC4" s="2">
        <f t="shared" si="1"/>
        <v>63.30499999999995</v>
      </c>
      <c r="BD4" s="2">
        <v>799.59750000000008</v>
      </c>
      <c r="BE4" s="2">
        <v>3.109172</v>
      </c>
      <c r="BG4">
        <v>451.04500000000002</v>
      </c>
      <c r="BH4" s="2">
        <f t="shared" si="2"/>
        <v>724.19499999999994</v>
      </c>
      <c r="BK4" s="2" t="s">
        <v>12</v>
      </c>
    </row>
    <row r="5" spans="1:67" x14ac:dyDescent="0.3">
      <c r="A5" s="6">
        <v>4</v>
      </c>
      <c r="B5" s="6" t="s">
        <v>13</v>
      </c>
      <c r="C5" s="6" t="s">
        <v>14</v>
      </c>
      <c r="D5" s="6" t="s">
        <v>15</v>
      </c>
      <c r="E5" s="1">
        <v>482.78811999999999</v>
      </c>
      <c r="F5" s="1">
        <v>752.279</v>
      </c>
      <c r="G5" s="1">
        <v>921</v>
      </c>
      <c r="H5" s="1">
        <v>298.14999999999998</v>
      </c>
      <c r="I5" s="6">
        <f t="shared" si="0"/>
        <v>460.5</v>
      </c>
      <c r="J5" s="2">
        <v>10</v>
      </c>
      <c r="K5" s="2">
        <v>30</v>
      </c>
      <c r="L5" s="6" t="s">
        <v>673</v>
      </c>
      <c r="M5" s="6">
        <v>2</v>
      </c>
      <c r="N5" s="6">
        <v>24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2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>
        <v>300</v>
      </c>
      <c r="AG5">
        <v>363.33330000000001</v>
      </c>
      <c r="AH5">
        <v>426.66669999999999</v>
      </c>
      <c r="AI5">
        <v>490</v>
      </c>
      <c r="AJ5">
        <v>553.33330000000001</v>
      </c>
      <c r="AK5">
        <v>616.66669999999999</v>
      </c>
      <c r="AL5">
        <v>680</v>
      </c>
      <c r="AM5">
        <v>743.33330000000001</v>
      </c>
      <c r="AN5">
        <v>806.66669999999999</v>
      </c>
      <c r="AO5">
        <v>870</v>
      </c>
      <c r="AP5">
        <v>1.4654800000000001E-4</v>
      </c>
      <c r="AQ5">
        <v>0.1219407</v>
      </c>
      <c r="AR5">
        <v>9.9088419999999999</v>
      </c>
      <c r="AS5">
        <v>206.185</v>
      </c>
      <c r="AT5">
        <v>1834.9639999999999</v>
      </c>
      <c r="AU5">
        <v>9380.5499999999993</v>
      </c>
      <c r="AV5">
        <v>32973.599999999999</v>
      </c>
      <c r="AW5">
        <v>89433.54</v>
      </c>
      <c r="AX5">
        <v>202322</v>
      </c>
      <c r="AY5">
        <v>404237</v>
      </c>
      <c r="AZ5" s="2">
        <v>6.6958200000000003</v>
      </c>
      <c r="BA5" s="2">
        <v>1.0132479999999999</v>
      </c>
      <c r="BB5" s="2">
        <v>669403</v>
      </c>
      <c r="BC5" s="2">
        <f t="shared" si="1"/>
        <v>76.620999999999981</v>
      </c>
      <c r="BD5" s="2">
        <v>836.6395</v>
      </c>
      <c r="BE5" s="2">
        <v>2.8423850000000002</v>
      </c>
      <c r="BG5">
        <v>479.12900000000002</v>
      </c>
      <c r="BH5" s="2">
        <f t="shared" si="2"/>
        <v>752.279</v>
      </c>
      <c r="BK5" s="2" t="s">
        <v>15</v>
      </c>
    </row>
    <row r="6" spans="1:67" x14ac:dyDescent="0.3">
      <c r="A6" s="6">
        <v>5</v>
      </c>
      <c r="B6" s="6" t="s">
        <v>16</v>
      </c>
      <c r="C6" s="6" t="s">
        <v>17</v>
      </c>
      <c r="D6" s="6" t="s">
        <v>18</v>
      </c>
      <c r="E6" s="1">
        <v>538.89563999999996</v>
      </c>
      <c r="F6" s="1">
        <v>786.58399999999995</v>
      </c>
      <c r="G6" s="1">
        <v>963</v>
      </c>
      <c r="H6" s="1">
        <v>298.14999999999998</v>
      </c>
      <c r="I6" s="6">
        <f t="shared" si="0"/>
        <v>481.5</v>
      </c>
      <c r="J6" s="2">
        <v>12</v>
      </c>
      <c r="K6" s="2">
        <v>34</v>
      </c>
      <c r="L6" s="6" t="s">
        <v>674</v>
      </c>
      <c r="M6" s="6">
        <v>2</v>
      </c>
      <c r="N6" s="6">
        <v>28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2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>
        <v>300</v>
      </c>
      <c r="AG6">
        <v>368.88889999999998</v>
      </c>
      <c r="AH6">
        <v>437.77780000000001</v>
      </c>
      <c r="AI6">
        <v>506.66669999999999</v>
      </c>
      <c r="AJ6">
        <v>575.55560000000003</v>
      </c>
      <c r="AK6">
        <v>644.44439999999997</v>
      </c>
      <c r="AL6">
        <v>713.33330000000001</v>
      </c>
      <c r="AM6">
        <v>782.22220000000004</v>
      </c>
      <c r="AN6">
        <v>851.11109999999996</v>
      </c>
      <c r="AO6">
        <v>920</v>
      </c>
      <c r="AP6">
        <v>4.6384300000000002E-4</v>
      </c>
      <c r="AQ6">
        <v>0.31652469999999999</v>
      </c>
      <c r="AR6">
        <v>20.507709999999999</v>
      </c>
      <c r="AS6">
        <v>350.20589999999999</v>
      </c>
      <c r="AT6">
        <v>2657.0219999999999</v>
      </c>
      <c r="AU6">
        <v>11985.89</v>
      </c>
      <c r="AV6">
        <v>38234.97</v>
      </c>
      <c r="AW6">
        <v>96172.93</v>
      </c>
      <c r="AX6">
        <v>205040</v>
      </c>
      <c r="AY6">
        <v>390548</v>
      </c>
      <c r="AZ6" s="2">
        <v>5.6442699999999997</v>
      </c>
      <c r="BA6" s="2">
        <v>1.013279</v>
      </c>
      <c r="BB6" s="2">
        <v>564342</v>
      </c>
      <c r="BC6" s="2">
        <f t="shared" si="1"/>
        <v>80.116000000000099</v>
      </c>
      <c r="BD6" s="2">
        <v>874.79199999999992</v>
      </c>
      <c r="BE6" s="2">
        <v>2.5853929999999998</v>
      </c>
      <c r="BG6">
        <v>513.43399999999997</v>
      </c>
      <c r="BH6" s="2">
        <f t="shared" si="2"/>
        <v>786.58399999999995</v>
      </c>
      <c r="BK6" s="2" t="s">
        <v>18</v>
      </c>
    </row>
    <row r="7" spans="1:67" x14ac:dyDescent="0.3">
      <c r="A7" s="6">
        <v>6</v>
      </c>
      <c r="B7" s="6" t="s">
        <v>19</v>
      </c>
      <c r="C7" s="6" t="s">
        <v>20</v>
      </c>
      <c r="D7" s="6" t="s">
        <v>21</v>
      </c>
      <c r="E7" s="1">
        <v>595.00315999999998</v>
      </c>
      <c r="F7" s="1">
        <v>858.99599999999998</v>
      </c>
      <c r="G7" s="1">
        <v>1003</v>
      </c>
      <c r="H7" s="1">
        <v>298.14999999999998</v>
      </c>
      <c r="I7" s="6">
        <f t="shared" si="0"/>
        <v>501.5</v>
      </c>
      <c r="J7" s="2">
        <v>14</v>
      </c>
      <c r="K7" s="2">
        <v>38</v>
      </c>
      <c r="L7" s="6" t="s">
        <v>675</v>
      </c>
      <c r="M7" s="6">
        <v>2</v>
      </c>
      <c r="N7" s="6">
        <v>32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2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>
        <v>300</v>
      </c>
      <c r="AG7">
        <v>373.66669999999999</v>
      </c>
      <c r="AH7">
        <v>447.33330000000001</v>
      </c>
      <c r="AI7">
        <v>521</v>
      </c>
      <c r="AJ7">
        <v>594.66669999999999</v>
      </c>
      <c r="AK7">
        <v>668.33330000000001</v>
      </c>
      <c r="AL7">
        <v>742</v>
      </c>
      <c r="AM7">
        <v>815.66669999999999</v>
      </c>
      <c r="AN7">
        <v>889.33330000000001</v>
      </c>
      <c r="AO7">
        <v>963</v>
      </c>
      <c r="AP7" s="13">
        <v>7.8438399999999999E-8</v>
      </c>
      <c r="AQ7">
        <v>1.21689E-3</v>
      </c>
      <c r="AR7">
        <v>0.55017199999999999</v>
      </c>
      <c r="AS7">
        <v>31.206610000000001</v>
      </c>
      <c r="AT7">
        <v>513.96969999999999</v>
      </c>
      <c r="AU7">
        <v>3887.1759999999999</v>
      </c>
      <c r="AV7">
        <v>17663.34</v>
      </c>
      <c r="AW7">
        <v>56999.38</v>
      </c>
      <c r="AX7">
        <v>145923</v>
      </c>
      <c r="AY7">
        <v>321624</v>
      </c>
      <c r="AZ7" s="2">
        <v>4.78383</v>
      </c>
      <c r="BA7" s="2">
        <v>1.0132890000000001</v>
      </c>
      <c r="BB7" s="2">
        <v>478225</v>
      </c>
      <c r="BC7" s="2">
        <f t="shared" si="1"/>
        <v>43.704000000000065</v>
      </c>
      <c r="BD7" s="2">
        <v>930.99800000000005</v>
      </c>
      <c r="BE7" s="2">
        <v>2.312875</v>
      </c>
      <c r="BG7">
        <v>585.846</v>
      </c>
      <c r="BH7" s="2">
        <f t="shared" si="2"/>
        <v>858.99599999999998</v>
      </c>
      <c r="BK7" s="2" t="s">
        <v>21</v>
      </c>
    </row>
    <row r="8" spans="1:67" x14ac:dyDescent="0.3">
      <c r="A8" s="6">
        <v>7</v>
      </c>
      <c r="B8" s="6" t="s">
        <v>22</v>
      </c>
      <c r="C8" s="6" t="s">
        <v>23</v>
      </c>
      <c r="D8" s="6" t="s">
        <v>24</v>
      </c>
      <c r="E8" s="1">
        <v>651.11068</v>
      </c>
      <c r="F8" s="1">
        <v>849.18299999999999</v>
      </c>
      <c r="G8" s="1">
        <v>1040</v>
      </c>
      <c r="H8" s="1">
        <v>298.14999999999998</v>
      </c>
      <c r="I8" s="6">
        <f t="shared" si="0"/>
        <v>520</v>
      </c>
      <c r="J8" s="2">
        <v>16</v>
      </c>
      <c r="K8" s="2">
        <v>42</v>
      </c>
      <c r="L8" s="6" t="s">
        <v>676</v>
      </c>
      <c r="M8" s="6">
        <v>2</v>
      </c>
      <c r="N8" s="6">
        <v>36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2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>
        <v>300</v>
      </c>
      <c r="AG8">
        <v>371.55560000000003</v>
      </c>
      <c r="AH8">
        <v>443.11110000000002</v>
      </c>
      <c r="AI8">
        <v>514.66669999999999</v>
      </c>
      <c r="AJ8">
        <v>586.22220000000004</v>
      </c>
      <c r="AK8">
        <v>657.77779999999996</v>
      </c>
      <c r="AL8">
        <v>729.33330000000001</v>
      </c>
      <c r="AM8">
        <v>800.88890000000004</v>
      </c>
      <c r="AN8">
        <v>872.44439999999997</v>
      </c>
      <c r="AO8">
        <v>944</v>
      </c>
      <c r="AP8">
        <v>1.7153999999999999E-2</v>
      </c>
      <c r="AQ8">
        <v>2.632171</v>
      </c>
      <c r="AR8">
        <v>67.837549999999993</v>
      </c>
      <c r="AS8">
        <v>639.31179999999995</v>
      </c>
      <c r="AT8">
        <v>3262.6860000000001</v>
      </c>
      <c r="AU8">
        <v>11209.01</v>
      </c>
      <c r="AV8">
        <v>29495.15</v>
      </c>
      <c r="AW8">
        <v>64447.29</v>
      </c>
      <c r="AX8">
        <v>123297</v>
      </c>
      <c r="AY8">
        <v>214276</v>
      </c>
      <c r="AZ8" s="2">
        <v>4.0711700000000004</v>
      </c>
      <c r="BA8" s="2">
        <v>1.010669</v>
      </c>
      <c r="BB8" s="2">
        <v>407095</v>
      </c>
      <c r="BC8" s="2">
        <f t="shared" si="1"/>
        <v>86.817000000000007</v>
      </c>
      <c r="BD8" s="2">
        <v>944.5915</v>
      </c>
      <c r="BE8" s="2">
        <v>2.1518890000000002</v>
      </c>
      <c r="BG8">
        <v>576.03300000000002</v>
      </c>
      <c r="BH8" s="2">
        <f t="shared" si="2"/>
        <v>849.18299999999999</v>
      </c>
      <c r="BK8" s="2" t="s">
        <v>24</v>
      </c>
    </row>
    <row r="9" spans="1:67" x14ac:dyDescent="0.3">
      <c r="A9" s="6">
        <v>8</v>
      </c>
      <c r="B9" s="6" t="s">
        <v>25</v>
      </c>
      <c r="C9" s="6" t="s">
        <v>26</v>
      </c>
      <c r="D9" s="6" t="s">
        <v>27</v>
      </c>
      <c r="E9" s="1">
        <v>707.21820000000002</v>
      </c>
      <c r="F9" s="1">
        <v>877.50199999999995</v>
      </c>
      <c r="G9" s="1">
        <v>1074</v>
      </c>
      <c r="H9" s="1">
        <v>298.14999999999998</v>
      </c>
      <c r="I9" s="6">
        <f t="shared" si="0"/>
        <v>537</v>
      </c>
      <c r="J9" s="2">
        <v>18</v>
      </c>
      <c r="K9" s="2">
        <v>46</v>
      </c>
      <c r="L9" s="6" t="s">
        <v>677</v>
      </c>
      <c r="M9" s="6">
        <v>2</v>
      </c>
      <c r="N9" s="6">
        <v>40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2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>
        <v>300</v>
      </c>
      <c r="AG9">
        <v>366.66669999999999</v>
      </c>
      <c r="AH9">
        <v>433.33330000000001</v>
      </c>
      <c r="AI9">
        <v>500</v>
      </c>
      <c r="AJ9">
        <v>566.66669999999999</v>
      </c>
      <c r="AK9">
        <v>633.33330000000001</v>
      </c>
      <c r="AL9">
        <v>700</v>
      </c>
      <c r="AM9">
        <v>766.66669999999999</v>
      </c>
      <c r="AN9">
        <v>833.33330000000001</v>
      </c>
      <c r="AO9">
        <v>900</v>
      </c>
      <c r="AP9">
        <v>0.19348960000000001</v>
      </c>
      <c r="AQ9">
        <v>8.7193679999999993</v>
      </c>
      <c r="AR9">
        <v>113.78270000000001</v>
      </c>
      <c r="AS9">
        <v>716.37339999999995</v>
      </c>
      <c r="AT9">
        <v>2845.3</v>
      </c>
      <c r="AU9">
        <v>8312.7029999999995</v>
      </c>
      <c r="AV9">
        <v>19620.82</v>
      </c>
      <c r="AW9">
        <v>39738.42</v>
      </c>
      <c r="AX9">
        <v>71901.72</v>
      </c>
      <c r="AY9">
        <v>119538</v>
      </c>
      <c r="AZ9" s="2">
        <v>3.4754499999999999</v>
      </c>
      <c r="BA9" s="2">
        <v>1.0151030000000001</v>
      </c>
      <c r="BB9" s="2">
        <v>347500</v>
      </c>
      <c r="BC9" s="2">
        <f t="shared" si="1"/>
        <v>89.09800000000007</v>
      </c>
      <c r="BD9" s="2">
        <v>975.75099999999998</v>
      </c>
      <c r="BE9" s="2">
        <v>1.9722489999999999</v>
      </c>
      <c r="BG9">
        <v>604.35199999999998</v>
      </c>
      <c r="BH9" s="2">
        <f t="shared" si="2"/>
        <v>877.50199999999995</v>
      </c>
      <c r="BK9" s="2" t="s">
        <v>27</v>
      </c>
    </row>
    <row r="10" spans="1:67" x14ac:dyDescent="0.3">
      <c r="A10" s="6">
        <v>9</v>
      </c>
      <c r="B10" s="6" t="s">
        <v>28</v>
      </c>
      <c r="C10" s="6" t="s">
        <v>29</v>
      </c>
      <c r="D10" s="6" t="s">
        <v>30</v>
      </c>
      <c r="E10" s="1">
        <v>302.36784</v>
      </c>
      <c r="F10" s="1">
        <v>587.80999999999995</v>
      </c>
      <c r="G10" s="1">
        <v>735</v>
      </c>
      <c r="H10" s="1">
        <v>298.14999999999998</v>
      </c>
      <c r="I10" s="6">
        <f t="shared" si="0"/>
        <v>367.5</v>
      </c>
      <c r="J10" s="2">
        <v>3</v>
      </c>
      <c r="K10" s="2">
        <v>15</v>
      </c>
      <c r="L10" s="6" t="s">
        <v>678</v>
      </c>
      <c r="M10" s="6">
        <v>3</v>
      </c>
      <c r="N10" s="6">
        <v>5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3</v>
      </c>
      <c r="V10" s="6">
        <v>0</v>
      </c>
      <c r="W10" s="6">
        <v>0</v>
      </c>
      <c r="X10" s="6">
        <v>2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>
        <v>300</v>
      </c>
      <c r="AG10">
        <v>342.77780000000001</v>
      </c>
      <c r="AH10">
        <v>385.55560000000003</v>
      </c>
      <c r="AI10">
        <v>428.33330000000001</v>
      </c>
      <c r="AJ10">
        <v>471.11110000000002</v>
      </c>
      <c r="AK10">
        <v>513.88890000000004</v>
      </c>
      <c r="AL10">
        <v>556.66669999999999</v>
      </c>
      <c r="AM10">
        <v>599.44439999999997</v>
      </c>
      <c r="AN10">
        <v>642.22220000000004</v>
      </c>
      <c r="AO10">
        <v>685</v>
      </c>
      <c r="AP10">
        <v>1.5733E-2</v>
      </c>
      <c r="AQ10">
        <v>1.2891779999999999</v>
      </c>
      <c r="AR10">
        <v>34.172899999999998</v>
      </c>
      <c r="AS10">
        <v>417.04059999999998</v>
      </c>
      <c r="AT10">
        <v>2929.451</v>
      </c>
      <c r="AU10">
        <v>13732.58</v>
      </c>
      <c r="AV10">
        <v>47564.160000000003</v>
      </c>
      <c r="AW10">
        <v>130862</v>
      </c>
      <c r="AX10">
        <v>301601</v>
      </c>
      <c r="AY10">
        <v>606316</v>
      </c>
      <c r="AZ10" s="2">
        <v>12.042400000000001</v>
      </c>
      <c r="BA10" s="2">
        <v>1.0132920000000001</v>
      </c>
      <c r="BB10" s="2">
        <v>1204600</v>
      </c>
      <c r="BC10" s="2">
        <f t="shared" si="1"/>
        <v>73.690000000000055</v>
      </c>
      <c r="BD10" s="2">
        <v>661.40499999999997</v>
      </c>
      <c r="BE10" s="2">
        <v>4.1866440000000003</v>
      </c>
      <c r="BG10">
        <v>314.66000000000003</v>
      </c>
      <c r="BH10" s="2">
        <f t="shared" si="2"/>
        <v>587.80999999999995</v>
      </c>
      <c r="BK10" s="2" t="s">
        <v>30</v>
      </c>
    </row>
    <row r="11" spans="1:67" x14ac:dyDescent="0.3">
      <c r="A11" s="6">
        <v>10</v>
      </c>
      <c r="B11" s="6" t="s">
        <v>31</v>
      </c>
      <c r="C11" s="6" t="s">
        <v>32</v>
      </c>
      <c r="D11" s="6" t="s">
        <v>33</v>
      </c>
      <c r="E11" s="1">
        <v>386.52911999999998</v>
      </c>
      <c r="F11" s="1">
        <v>646.33199999999999</v>
      </c>
      <c r="G11" s="1">
        <v>778</v>
      </c>
      <c r="H11" s="1">
        <v>298.14999999999998</v>
      </c>
      <c r="I11" s="6">
        <f t="shared" si="0"/>
        <v>389</v>
      </c>
      <c r="J11" s="2">
        <v>3</v>
      </c>
      <c r="K11" s="2">
        <v>21</v>
      </c>
      <c r="L11" s="6" t="s">
        <v>679</v>
      </c>
      <c r="M11" s="6">
        <v>3</v>
      </c>
      <c r="N11" s="6">
        <v>11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3</v>
      </c>
      <c r="V11" s="6">
        <v>0</v>
      </c>
      <c r="W11" s="6">
        <v>0</v>
      </c>
      <c r="X11" s="6">
        <v>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>
        <v>300</v>
      </c>
      <c r="AG11">
        <v>344.44439999999997</v>
      </c>
      <c r="AH11">
        <v>388.88889999999998</v>
      </c>
      <c r="AI11">
        <v>433.33330000000001</v>
      </c>
      <c r="AJ11">
        <v>477.77780000000001</v>
      </c>
      <c r="AK11">
        <v>522.22220000000004</v>
      </c>
      <c r="AL11">
        <v>566.66669999999999</v>
      </c>
      <c r="AM11">
        <v>611.11109999999996</v>
      </c>
      <c r="AN11">
        <v>655.55560000000003</v>
      </c>
      <c r="AO11">
        <v>700</v>
      </c>
      <c r="AP11">
        <v>6.2350199999999995E-4</v>
      </c>
      <c r="AQ11">
        <v>0.1234605</v>
      </c>
      <c r="AR11">
        <v>5.6018350000000003</v>
      </c>
      <c r="AS11">
        <v>95.317430000000002</v>
      </c>
      <c r="AT11">
        <v>824.74969999999996</v>
      </c>
      <c r="AU11">
        <v>4420.348</v>
      </c>
      <c r="AV11">
        <v>16759.45</v>
      </c>
      <c r="AW11">
        <v>49313.07</v>
      </c>
      <c r="AX11">
        <v>120420</v>
      </c>
      <c r="AY11">
        <v>256858</v>
      </c>
      <c r="AZ11" s="2">
        <v>8.0192499999999995</v>
      </c>
      <c r="BA11" s="2">
        <v>1.013266</v>
      </c>
      <c r="BB11" s="2">
        <v>801545</v>
      </c>
      <c r="BC11" s="2">
        <f t="shared" si="1"/>
        <v>53.868000000000052</v>
      </c>
      <c r="BD11" s="2">
        <v>712.16599999999994</v>
      </c>
      <c r="BE11" s="2">
        <v>3.104638</v>
      </c>
      <c r="BG11">
        <v>373.18200000000002</v>
      </c>
      <c r="BH11" s="2">
        <f t="shared" si="2"/>
        <v>646.33199999999999</v>
      </c>
      <c r="BK11" s="2" t="s">
        <v>33</v>
      </c>
    </row>
    <row r="12" spans="1:67" x14ac:dyDescent="0.3">
      <c r="A12" s="6">
        <v>11</v>
      </c>
      <c r="B12" s="6" t="s">
        <v>34</v>
      </c>
      <c r="C12" s="6" t="s">
        <v>35</v>
      </c>
      <c r="D12" s="6" t="s">
        <v>36</v>
      </c>
      <c r="E12" s="1">
        <v>470.69040000000001</v>
      </c>
      <c r="F12" s="1">
        <v>737.5</v>
      </c>
      <c r="G12" s="1">
        <v>850.7</v>
      </c>
      <c r="H12" s="1">
        <v>298.14999999999998</v>
      </c>
      <c r="I12" s="6">
        <f t="shared" si="0"/>
        <v>425.35</v>
      </c>
      <c r="J12" s="2">
        <v>3</v>
      </c>
      <c r="K12" s="2">
        <v>27</v>
      </c>
      <c r="L12" s="6" t="s">
        <v>680</v>
      </c>
      <c r="M12" s="6">
        <v>3</v>
      </c>
      <c r="N12" s="6">
        <v>17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3</v>
      </c>
      <c r="V12" s="6">
        <v>0</v>
      </c>
      <c r="W12" s="6">
        <v>0</v>
      </c>
      <c r="X12" s="6">
        <v>2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>
        <v>283.05</v>
      </c>
      <c r="AG12">
        <v>340.4889</v>
      </c>
      <c r="AH12">
        <v>397.92779999999999</v>
      </c>
      <c r="AI12">
        <v>455.36669999999998</v>
      </c>
      <c r="AJ12">
        <v>512.80560000000003</v>
      </c>
      <c r="AK12">
        <v>570.24440000000004</v>
      </c>
      <c r="AL12">
        <v>627.68330000000003</v>
      </c>
      <c r="AM12">
        <v>685.12220000000002</v>
      </c>
      <c r="AN12">
        <v>742.56110000000001</v>
      </c>
      <c r="AO12">
        <v>800</v>
      </c>
      <c r="AP12" s="13">
        <v>3.3131099999999999E-8</v>
      </c>
      <c r="AQ12">
        <v>2.61857E-4</v>
      </c>
      <c r="AR12">
        <v>0.1072224</v>
      </c>
      <c r="AS12">
        <v>7.3311440000000001</v>
      </c>
      <c r="AT12">
        <v>158.2979</v>
      </c>
      <c r="AU12">
        <v>1573.338</v>
      </c>
      <c r="AV12">
        <v>9134.2980000000007</v>
      </c>
      <c r="AW12">
        <v>36349.129999999997</v>
      </c>
      <c r="AX12">
        <v>111102</v>
      </c>
      <c r="AY12">
        <v>284298</v>
      </c>
      <c r="AZ12" s="2">
        <v>5.9320000000000004</v>
      </c>
      <c r="BA12" s="2">
        <v>1.0152000000000001</v>
      </c>
      <c r="BB12" s="2">
        <v>594381</v>
      </c>
      <c r="BC12" s="2">
        <f t="shared" si="1"/>
        <v>28.130000000000109</v>
      </c>
      <c r="BD12" s="2">
        <v>794.1</v>
      </c>
      <c r="BE12" s="2">
        <v>2.5971299999999999</v>
      </c>
      <c r="BG12">
        <v>464.35</v>
      </c>
      <c r="BH12" s="2">
        <f t="shared" si="2"/>
        <v>737.5</v>
      </c>
      <c r="BK12" s="2" t="s">
        <v>36</v>
      </c>
    </row>
    <row r="13" spans="1:67" x14ac:dyDescent="0.3">
      <c r="A13" s="6">
        <v>12</v>
      </c>
      <c r="B13" s="6" t="s">
        <v>37</v>
      </c>
      <c r="C13" s="6" t="s">
        <v>38</v>
      </c>
      <c r="D13" s="6" t="s">
        <v>39</v>
      </c>
      <c r="E13" s="1">
        <v>554.85167999999999</v>
      </c>
      <c r="F13" s="1">
        <v>782.1</v>
      </c>
      <c r="G13" s="1">
        <v>876.6</v>
      </c>
      <c r="H13" s="1">
        <v>298.14999999999998</v>
      </c>
      <c r="I13" s="6">
        <f t="shared" si="0"/>
        <v>438.3</v>
      </c>
      <c r="J13" s="2">
        <v>3</v>
      </c>
      <c r="K13" s="2">
        <v>33</v>
      </c>
      <c r="L13" s="6" t="s">
        <v>681</v>
      </c>
      <c r="M13" s="6">
        <v>3</v>
      </c>
      <c r="N13" s="6">
        <v>23</v>
      </c>
      <c r="O13" s="6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3</v>
      </c>
      <c r="V13" s="6">
        <v>0</v>
      </c>
      <c r="W13" s="6">
        <v>0</v>
      </c>
      <c r="X13" s="6">
        <v>2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>
        <v>305.05</v>
      </c>
      <c r="AG13">
        <v>363</v>
      </c>
      <c r="AH13">
        <v>420.95</v>
      </c>
      <c r="AI13">
        <v>478.9</v>
      </c>
      <c r="AJ13">
        <v>536.85</v>
      </c>
      <c r="AK13">
        <v>594.79999999999995</v>
      </c>
      <c r="AL13">
        <v>652.75</v>
      </c>
      <c r="AM13">
        <v>710.7</v>
      </c>
      <c r="AN13">
        <v>768.65</v>
      </c>
      <c r="AO13">
        <v>826.6</v>
      </c>
      <c r="AP13" s="13">
        <v>2.0690900000000001E-8</v>
      </c>
      <c r="AQ13">
        <v>1.3669100000000001E-4</v>
      </c>
      <c r="AR13">
        <v>5.5131300000000001E-2</v>
      </c>
      <c r="AS13">
        <v>3.9353120000000001</v>
      </c>
      <c r="AT13">
        <v>90.300420000000003</v>
      </c>
      <c r="AU13">
        <v>955.62810000000002</v>
      </c>
      <c r="AV13">
        <v>5884.6130000000003</v>
      </c>
      <c r="AW13">
        <v>24704.99</v>
      </c>
      <c r="AX13">
        <v>79269.460000000006</v>
      </c>
      <c r="AY13">
        <v>212147</v>
      </c>
      <c r="AZ13" s="2">
        <v>4.5460000000000003</v>
      </c>
      <c r="BA13" s="2">
        <v>1.0095689999999999</v>
      </c>
      <c r="BB13" s="2">
        <v>452933</v>
      </c>
      <c r="BC13" s="2">
        <f t="shared" si="1"/>
        <v>6.8400000000000318</v>
      </c>
      <c r="BD13" s="2">
        <v>829.35</v>
      </c>
      <c r="BE13" s="2">
        <v>2.215706</v>
      </c>
      <c r="BG13">
        <v>508.95</v>
      </c>
      <c r="BH13" s="2">
        <f t="shared" si="2"/>
        <v>782.09999999999991</v>
      </c>
      <c r="BK13" s="2" t="s">
        <v>39</v>
      </c>
    </row>
    <row r="14" spans="1:67" x14ac:dyDescent="0.3">
      <c r="A14" s="6">
        <v>13</v>
      </c>
      <c r="B14" s="6" t="s">
        <v>40</v>
      </c>
      <c r="C14" s="6" t="s">
        <v>41</v>
      </c>
      <c r="D14" s="6" t="s">
        <v>42</v>
      </c>
      <c r="E14" s="1">
        <v>639.01296000000002</v>
      </c>
      <c r="F14" s="1">
        <v>818.9</v>
      </c>
      <c r="G14" s="1">
        <v>896.6</v>
      </c>
      <c r="H14" s="1">
        <v>298.14999999999998</v>
      </c>
      <c r="I14" s="6">
        <f t="shared" si="0"/>
        <v>448.3</v>
      </c>
      <c r="J14" s="2">
        <v>3</v>
      </c>
      <c r="K14" s="2">
        <v>39</v>
      </c>
      <c r="L14" s="6" t="s">
        <v>682</v>
      </c>
      <c r="M14" s="6">
        <v>3</v>
      </c>
      <c r="N14" s="6">
        <v>29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3</v>
      </c>
      <c r="V14" s="6">
        <v>0</v>
      </c>
      <c r="W14" s="6">
        <v>0</v>
      </c>
      <c r="X14" s="6">
        <v>2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>
        <v>318.64999999999998</v>
      </c>
      <c r="AG14">
        <v>374.35559999999998</v>
      </c>
      <c r="AH14">
        <v>430.06110000000001</v>
      </c>
      <c r="AI14">
        <v>485.76670000000001</v>
      </c>
      <c r="AJ14">
        <v>541.47220000000004</v>
      </c>
      <c r="AK14">
        <v>597.17780000000005</v>
      </c>
      <c r="AL14">
        <v>652.88329999999996</v>
      </c>
      <c r="AM14">
        <v>708.58889999999997</v>
      </c>
      <c r="AN14">
        <v>764.2944</v>
      </c>
      <c r="AO14">
        <v>820</v>
      </c>
      <c r="AP14" s="13">
        <v>2.1787399999999999E-9</v>
      </c>
      <c r="AQ14" s="13">
        <v>1.70511E-5</v>
      </c>
      <c r="AR14">
        <v>8.8279299999999995E-3</v>
      </c>
      <c r="AS14">
        <v>0.80822939999999999</v>
      </c>
      <c r="AT14">
        <v>23.161860000000001</v>
      </c>
      <c r="AU14">
        <v>296.16340000000002</v>
      </c>
      <c r="AV14">
        <v>2132.462</v>
      </c>
      <c r="AW14">
        <v>10153.73</v>
      </c>
      <c r="AX14">
        <v>35926.49</v>
      </c>
      <c r="AY14">
        <v>103263</v>
      </c>
      <c r="AZ14" s="2">
        <v>3.5790000000000002</v>
      </c>
      <c r="BA14" s="2">
        <v>1.012872</v>
      </c>
      <c r="BB14" s="2">
        <v>357773</v>
      </c>
      <c r="BC14" s="2">
        <f t="shared" si="1"/>
        <v>-11.959999999999923</v>
      </c>
      <c r="BD14" s="2">
        <v>857.75</v>
      </c>
      <c r="BE14" s="2">
        <v>1.9472449999999999</v>
      </c>
      <c r="BG14">
        <v>545.75</v>
      </c>
      <c r="BH14" s="2">
        <f t="shared" si="2"/>
        <v>818.9</v>
      </c>
      <c r="BK14" s="2" t="s">
        <v>42</v>
      </c>
    </row>
    <row r="15" spans="1:67" x14ac:dyDescent="0.3">
      <c r="A15" s="6">
        <v>14</v>
      </c>
      <c r="B15" s="6" t="s">
        <v>43</v>
      </c>
      <c r="C15" s="6" t="s">
        <v>44</v>
      </c>
      <c r="D15" s="6" t="s">
        <v>45</v>
      </c>
      <c r="E15" s="1">
        <v>807.33551999999997</v>
      </c>
      <c r="F15" s="1">
        <v>876</v>
      </c>
      <c r="G15" s="1">
        <v>925.3</v>
      </c>
      <c r="H15" s="1">
        <v>298.14999999999998</v>
      </c>
      <c r="I15" s="6">
        <f t="shared" si="0"/>
        <v>462.65</v>
      </c>
      <c r="J15" s="2">
        <v>3</v>
      </c>
      <c r="K15" s="2">
        <v>51</v>
      </c>
      <c r="L15" s="6" t="s">
        <v>683</v>
      </c>
      <c r="M15" s="6">
        <v>3</v>
      </c>
      <c r="N15" s="6">
        <v>41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3</v>
      </c>
      <c r="V15" s="6">
        <v>0</v>
      </c>
      <c r="W15" s="6">
        <v>0</v>
      </c>
      <c r="X15" s="6">
        <v>2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>
        <v>339.01</v>
      </c>
      <c r="AG15">
        <v>399.67559999999997</v>
      </c>
      <c r="AH15">
        <v>460.34109999999998</v>
      </c>
      <c r="AI15">
        <v>521.00670000000002</v>
      </c>
      <c r="AJ15">
        <v>581.67219999999998</v>
      </c>
      <c r="AK15">
        <v>642.33780000000002</v>
      </c>
      <c r="AL15">
        <v>703.00329999999997</v>
      </c>
      <c r="AM15">
        <v>763.66890000000001</v>
      </c>
      <c r="AN15">
        <v>824.33439999999996</v>
      </c>
      <c r="AO15">
        <v>885</v>
      </c>
      <c r="AP15" s="13">
        <v>1.9630000000000001E-11</v>
      </c>
      <c r="AQ15" s="13">
        <v>8.9266999999999996E-7</v>
      </c>
      <c r="AR15">
        <v>1.38875E-3</v>
      </c>
      <c r="AS15">
        <v>0.2577585</v>
      </c>
      <c r="AT15">
        <v>11.697150000000001</v>
      </c>
      <c r="AU15">
        <v>201.94970000000001</v>
      </c>
      <c r="AV15">
        <v>1771.42</v>
      </c>
      <c r="AW15">
        <v>9642.8439999999991</v>
      </c>
      <c r="AX15">
        <v>37711.72</v>
      </c>
      <c r="AY15">
        <v>118722</v>
      </c>
      <c r="AZ15" s="2">
        <v>2.3679999999999999</v>
      </c>
      <c r="BA15" s="2">
        <v>1.0114179999999999</v>
      </c>
      <c r="BB15" s="2">
        <v>236379</v>
      </c>
      <c r="BC15" s="2">
        <f t="shared" si="1"/>
        <v>-43.230000000000018</v>
      </c>
      <c r="BD15" s="2">
        <v>900.65</v>
      </c>
      <c r="BE15" s="2">
        <v>1.5590200000000001</v>
      </c>
      <c r="BG15">
        <v>602.85</v>
      </c>
      <c r="BH15" s="2">
        <f t="shared" si="2"/>
        <v>876</v>
      </c>
      <c r="BK15" s="2" t="s">
        <v>45</v>
      </c>
    </row>
    <row r="16" spans="1:67" x14ac:dyDescent="0.3">
      <c r="A16" s="6">
        <v>15</v>
      </c>
      <c r="B16" s="6" t="s">
        <v>46</v>
      </c>
      <c r="C16" s="6" t="s">
        <v>47</v>
      </c>
      <c r="D16" s="6" t="s">
        <v>48</v>
      </c>
      <c r="E16" s="1">
        <v>891.49680000000001</v>
      </c>
      <c r="F16" s="1">
        <v>898.3</v>
      </c>
      <c r="G16" s="1">
        <v>936</v>
      </c>
      <c r="H16" s="1">
        <v>298.14999999999998</v>
      </c>
      <c r="I16" s="6">
        <f t="shared" si="0"/>
        <v>468</v>
      </c>
      <c r="J16" s="2">
        <v>3</v>
      </c>
      <c r="K16" s="2">
        <v>57</v>
      </c>
      <c r="L16" s="6" t="s">
        <v>684</v>
      </c>
      <c r="M16" s="6">
        <v>3</v>
      </c>
      <c r="N16" s="6">
        <v>47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3</v>
      </c>
      <c r="V16" s="6">
        <v>0</v>
      </c>
      <c r="W16" s="6">
        <v>0</v>
      </c>
      <c r="X16" s="6">
        <v>2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>
        <v>346</v>
      </c>
      <c r="AG16">
        <v>406</v>
      </c>
      <c r="AH16">
        <v>466</v>
      </c>
      <c r="AI16">
        <v>526</v>
      </c>
      <c r="AJ16">
        <v>586</v>
      </c>
      <c r="AK16">
        <v>646</v>
      </c>
      <c r="AL16">
        <v>706</v>
      </c>
      <c r="AM16">
        <v>766</v>
      </c>
      <c r="AN16">
        <v>826</v>
      </c>
      <c r="AO16">
        <v>886</v>
      </c>
      <c r="AP16" s="13">
        <v>2.0048E-11</v>
      </c>
      <c r="AQ16" s="13">
        <v>6.0640599999999998E-7</v>
      </c>
      <c r="AR16">
        <v>7.8668200000000003E-4</v>
      </c>
      <c r="AS16">
        <v>0.13680239999999999</v>
      </c>
      <c r="AT16">
        <v>6.19428</v>
      </c>
      <c r="AU16">
        <v>110.4378</v>
      </c>
      <c r="AV16">
        <v>1018.513</v>
      </c>
      <c r="AW16">
        <v>5874.4809999999998</v>
      </c>
      <c r="AX16">
        <v>24356.66</v>
      </c>
      <c r="AY16">
        <v>80887.649999999994</v>
      </c>
      <c r="AZ16" s="2">
        <v>1.9770000000000001</v>
      </c>
      <c r="BA16" s="2">
        <v>1.0149790000000001</v>
      </c>
      <c r="BB16" s="2">
        <v>198039</v>
      </c>
      <c r="BC16" s="2">
        <f t="shared" si="1"/>
        <v>-55.899999999999977</v>
      </c>
      <c r="BD16" s="2">
        <v>917.15</v>
      </c>
      <c r="BE16" s="2">
        <v>1.4241140000000001</v>
      </c>
      <c r="BG16">
        <v>625.15</v>
      </c>
      <c r="BH16" s="2">
        <f t="shared" si="2"/>
        <v>898.3</v>
      </c>
      <c r="BK16" s="2" t="s">
        <v>48</v>
      </c>
    </row>
    <row r="17" spans="1:63" x14ac:dyDescent="0.3">
      <c r="A17" s="6">
        <v>16</v>
      </c>
      <c r="B17" s="6" t="s">
        <v>49</v>
      </c>
      <c r="C17" s="6" t="s">
        <v>50</v>
      </c>
      <c r="D17" s="6" t="s">
        <v>51</v>
      </c>
      <c r="E17" s="1">
        <v>130.18696</v>
      </c>
      <c r="F17" s="1">
        <v>496.15</v>
      </c>
      <c r="G17" s="1">
        <v>677.3</v>
      </c>
      <c r="H17" s="1">
        <v>298.14999999999998</v>
      </c>
      <c r="I17" s="6">
        <f t="shared" si="0"/>
        <v>338.65</v>
      </c>
      <c r="J17" s="2">
        <v>0</v>
      </c>
      <c r="K17" s="2">
        <v>7</v>
      </c>
      <c r="L17" s="6" t="s">
        <v>685</v>
      </c>
      <c r="M17" s="6">
        <v>1</v>
      </c>
      <c r="N17" s="6">
        <v>5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1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>
        <v>265.83</v>
      </c>
      <c r="AG17">
        <v>305.18220000000002</v>
      </c>
      <c r="AH17">
        <v>344.53440000000001</v>
      </c>
      <c r="AI17">
        <v>383.88670000000002</v>
      </c>
      <c r="AJ17">
        <v>423.2389</v>
      </c>
      <c r="AK17">
        <v>462.59109999999998</v>
      </c>
      <c r="AL17">
        <v>501.94330000000002</v>
      </c>
      <c r="AM17">
        <v>541.29560000000004</v>
      </c>
      <c r="AN17">
        <v>580.64779999999996</v>
      </c>
      <c r="AO17">
        <v>620</v>
      </c>
      <c r="AP17">
        <v>4.6521600000000003E-2</v>
      </c>
      <c r="AQ17">
        <v>4.0481109999999996</v>
      </c>
      <c r="AR17">
        <v>106.375</v>
      </c>
      <c r="AS17">
        <v>1244.751</v>
      </c>
      <c r="AT17">
        <v>8256.4390000000003</v>
      </c>
      <c r="AU17">
        <v>36358.31</v>
      </c>
      <c r="AV17">
        <v>118450</v>
      </c>
      <c r="AW17">
        <v>308429</v>
      </c>
      <c r="AX17">
        <v>679880</v>
      </c>
      <c r="AY17">
        <v>1326540</v>
      </c>
      <c r="AZ17" s="2">
        <v>30.43</v>
      </c>
      <c r="BA17" s="2">
        <v>1.011164</v>
      </c>
      <c r="BB17" s="2">
        <v>3036450</v>
      </c>
      <c r="BC17" s="2">
        <f t="shared" si="1"/>
        <v>113.41999999999996</v>
      </c>
      <c r="BD17" s="2">
        <v>586.72499999999991</v>
      </c>
      <c r="BE17" s="2">
        <v>7.5908899999999999</v>
      </c>
      <c r="BG17">
        <v>223</v>
      </c>
      <c r="BH17" s="2">
        <f t="shared" si="2"/>
        <v>496.15</v>
      </c>
      <c r="BK17" s="2" t="s">
        <v>51</v>
      </c>
    </row>
    <row r="18" spans="1:63" x14ac:dyDescent="0.3">
      <c r="A18" s="6">
        <v>17</v>
      </c>
      <c r="B18" s="6" t="s">
        <v>52</v>
      </c>
      <c r="C18" s="6" t="s">
        <v>53</v>
      </c>
      <c r="D18" s="6" t="s">
        <v>54</v>
      </c>
      <c r="E18" s="1">
        <v>158.24072000000001</v>
      </c>
      <c r="F18" s="1">
        <v>528.75</v>
      </c>
      <c r="G18" s="1">
        <v>710.7</v>
      </c>
      <c r="H18" s="1">
        <v>298.14999999999998</v>
      </c>
      <c r="I18" s="6">
        <f t="shared" si="0"/>
        <v>355.35</v>
      </c>
      <c r="J18" s="2">
        <v>0</v>
      </c>
      <c r="K18" s="2">
        <v>9</v>
      </c>
      <c r="L18" s="6" t="s">
        <v>686</v>
      </c>
      <c r="M18" s="6">
        <v>1</v>
      </c>
      <c r="N18" s="6">
        <v>7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1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>
        <v>285.55</v>
      </c>
      <c r="AG18">
        <v>326.0444</v>
      </c>
      <c r="AH18">
        <v>366.53890000000001</v>
      </c>
      <c r="AI18">
        <v>407.0333</v>
      </c>
      <c r="AJ18">
        <v>447.52780000000001</v>
      </c>
      <c r="AK18">
        <v>488.0222</v>
      </c>
      <c r="AL18">
        <v>528.51670000000001</v>
      </c>
      <c r="AM18">
        <v>569.01110000000006</v>
      </c>
      <c r="AN18">
        <v>609.50559999999996</v>
      </c>
      <c r="AO18">
        <v>650</v>
      </c>
      <c r="AP18">
        <v>4.5549300000000001E-2</v>
      </c>
      <c r="AQ18">
        <v>3.6600929999999998</v>
      </c>
      <c r="AR18">
        <v>92.797319999999999</v>
      </c>
      <c r="AS18">
        <v>1068.8520000000001</v>
      </c>
      <c r="AT18">
        <v>7039.1469999999999</v>
      </c>
      <c r="AU18">
        <v>30869.11</v>
      </c>
      <c r="AV18">
        <v>100157</v>
      </c>
      <c r="AW18">
        <v>259338</v>
      </c>
      <c r="AX18">
        <v>567053</v>
      </c>
      <c r="AY18">
        <v>1093950</v>
      </c>
      <c r="AZ18" s="2">
        <v>25.14</v>
      </c>
      <c r="BA18" s="2">
        <v>1.00766</v>
      </c>
      <c r="BB18" s="2">
        <v>2499540</v>
      </c>
      <c r="BC18" s="2">
        <f t="shared" si="1"/>
        <v>110.88000000000011</v>
      </c>
      <c r="BD18" s="2">
        <v>619.72500000000002</v>
      </c>
      <c r="BE18" s="2">
        <v>6.7626299999999997</v>
      </c>
      <c r="BG18">
        <v>255.6</v>
      </c>
      <c r="BH18" s="2">
        <f t="shared" si="2"/>
        <v>528.75</v>
      </c>
      <c r="BK18" s="2" t="s">
        <v>54</v>
      </c>
    </row>
    <row r="19" spans="1:63" x14ac:dyDescent="0.3">
      <c r="A19" s="6">
        <v>18</v>
      </c>
      <c r="B19" s="6" t="s">
        <v>55</v>
      </c>
      <c r="C19" s="6" t="s">
        <v>56</v>
      </c>
      <c r="D19" s="6" t="s">
        <v>57</v>
      </c>
      <c r="E19" s="1">
        <v>186.29447999999999</v>
      </c>
      <c r="F19" s="1">
        <v>557.15</v>
      </c>
      <c r="G19" s="1">
        <v>732</v>
      </c>
      <c r="H19" s="1">
        <v>298.14999999999998</v>
      </c>
      <c r="I19" s="6">
        <f t="shared" si="0"/>
        <v>366</v>
      </c>
      <c r="J19" s="2">
        <v>0</v>
      </c>
      <c r="K19" s="2">
        <v>11</v>
      </c>
      <c r="L19" s="6" t="s">
        <v>687</v>
      </c>
      <c r="M19" s="6">
        <v>1</v>
      </c>
      <c r="N19" s="6">
        <v>9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1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>
        <v>301.63</v>
      </c>
      <c r="AG19">
        <v>343.67110000000002</v>
      </c>
      <c r="AH19">
        <v>385.7122</v>
      </c>
      <c r="AI19">
        <v>427.75330000000002</v>
      </c>
      <c r="AJ19">
        <v>469.7944</v>
      </c>
      <c r="AK19">
        <v>511.8356</v>
      </c>
      <c r="AL19">
        <v>553.87670000000003</v>
      </c>
      <c r="AM19">
        <v>595.91780000000006</v>
      </c>
      <c r="AN19">
        <v>637.95889999999997</v>
      </c>
      <c r="AO19">
        <v>680</v>
      </c>
      <c r="AP19">
        <v>3.5585199999999997E-2</v>
      </c>
      <c r="AQ19">
        <v>3.0966480000000001</v>
      </c>
      <c r="AR19">
        <v>82.650739999999999</v>
      </c>
      <c r="AS19">
        <v>981.24080000000004</v>
      </c>
      <c r="AT19">
        <v>6561.5339999999997</v>
      </c>
      <c r="AU19">
        <v>28928.02</v>
      </c>
      <c r="AV19">
        <v>93831.93</v>
      </c>
      <c r="AW19">
        <v>242482</v>
      </c>
      <c r="AX19">
        <v>530235</v>
      </c>
      <c r="AY19">
        <v>1028950</v>
      </c>
      <c r="AZ19" s="2">
        <v>20.9</v>
      </c>
      <c r="BA19" s="2">
        <v>1.017695</v>
      </c>
      <c r="BB19" s="2">
        <v>2099460</v>
      </c>
      <c r="BC19" s="2">
        <f t="shared" si="1"/>
        <v>101.65000000000009</v>
      </c>
      <c r="BD19" s="2">
        <v>644.57500000000005</v>
      </c>
      <c r="BE19" s="2">
        <v>5.9257980000000003</v>
      </c>
      <c r="BG19">
        <v>284</v>
      </c>
      <c r="BH19" s="2">
        <f t="shared" si="2"/>
        <v>557.15</v>
      </c>
      <c r="BK19" s="2" t="s">
        <v>57</v>
      </c>
    </row>
    <row r="20" spans="1:63" x14ac:dyDescent="0.3">
      <c r="A20" s="6">
        <v>19</v>
      </c>
      <c r="B20" s="6" t="s">
        <v>58</v>
      </c>
      <c r="C20" s="6" t="s">
        <v>59</v>
      </c>
      <c r="D20" s="6" t="s">
        <v>60</v>
      </c>
      <c r="E20" s="1">
        <v>214.34824</v>
      </c>
      <c r="F20" s="1">
        <v>585.25</v>
      </c>
      <c r="G20" s="1">
        <v>754</v>
      </c>
      <c r="H20" s="1">
        <v>298.14999999999998</v>
      </c>
      <c r="I20" s="6">
        <f t="shared" si="0"/>
        <v>377</v>
      </c>
      <c r="J20" s="2">
        <v>0</v>
      </c>
      <c r="K20" s="2">
        <v>13</v>
      </c>
      <c r="L20" s="6" t="s">
        <v>688</v>
      </c>
      <c r="M20" s="6">
        <v>1</v>
      </c>
      <c r="N20" s="6">
        <v>11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1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>
        <v>315.01</v>
      </c>
      <c r="AG20">
        <v>357.7867</v>
      </c>
      <c r="AH20">
        <v>400.56330000000003</v>
      </c>
      <c r="AI20">
        <v>443.34</v>
      </c>
      <c r="AJ20">
        <v>486.11669999999998</v>
      </c>
      <c r="AK20">
        <v>528.89329999999995</v>
      </c>
      <c r="AL20">
        <v>571.66999999999996</v>
      </c>
      <c r="AM20">
        <v>614.44669999999996</v>
      </c>
      <c r="AN20">
        <v>657.22329999999999</v>
      </c>
      <c r="AO20">
        <v>700</v>
      </c>
      <c r="AP20">
        <v>2.2164E-2</v>
      </c>
      <c r="AQ20">
        <v>2.1236820000000001</v>
      </c>
      <c r="AR20">
        <v>60.361069999999998</v>
      </c>
      <c r="AS20">
        <v>743.71579999999994</v>
      </c>
      <c r="AT20">
        <v>5066.9979999999996</v>
      </c>
      <c r="AU20">
        <v>22492.33</v>
      </c>
      <c r="AV20">
        <v>73029.210000000006</v>
      </c>
      <c r="AW20">
        <v>188876</v>
      </c>
      <c r="AX20">
        <v>415608</v>
      </c>
      <c r="AY20">
        <v>820780</v>
      </c>
      <c r="AZ20" s="2">
        <v>17.899999999999999</v>
      </c>
      <c r="BA20" s="2">
        <v>1.0085869999999999</v>
      </c>
      <c r="BB20" s="2">
        <v>1781720</v>
      </c>
      <c r="BC20" s="2">
        <f t="shared" si="1"/>
        <v>93.350000000000023</v>
      </c>
      <c r="BD20" s="2">
        <v>669.625</v>
      </c>
      <c r="BE20" s="2">
        <v>5.1082609999999997</v>
      </c>
      <c r="BG20">
        <v>312.10000000000002</v>
      </c>
      <c r="BH20" s="2">
        <f t="shared" si="2"/>
        <v>585.25</v>
      </c>
      <c r="BK20" s="2" t="s">
        <v>60</v>
      </c>
    </row>
    <row r="21" spans="1:63" x14ac:dyDescent="0.3">
      <c r="A21" s="6">
        <v>20</v>
      </c>
      <c r="B21" s="6" t="s">
        <v>61</v>
      </c>
      <c r="C21" s="6" t="s">
        <v>62</v>
      </c>
      <c r="D21" s="6" t="s">
        <v>63</v>
      </c>
      <c r="E21" s="1">
        <v>242.40199999999999</v>
      </c>
      <c r="F21" s="1">
        <v>610.65</v>
      </c>
      <c r="G21" s="1">
        <v>774</v>
      </c>
      <c r="H21" s="1">
        <v>298.14999999999998</v>
      </c>
      <c r="I21" s="6">
        <f t="shared" si="0"/>
        <v>387</v>
      </c>
      <c r="J21" s="2">
        <v>0</v>
      </c>
      <c r="K21" s="2">
        <v>15</v>
      </c>
      <c r="L21" s="6" t="s">
        <v>689</v>
      </c>
      <c r="M21" s="6">
        <v>1</v>
      </c>
      <c r="N21" s="6">
        <v>13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1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>
        <v>325.68</v>
      </c>
      <c r="AG21">
        <v>368.38220000000001</v>
      </c>
      <c r="AH21">
        <v>411.08440000000002</v>
      </c>
      <c r="AI21">
        <v>453.7867</v>
      </c>
      <c r="AJ21">
        <v>496.4889</v>
      </c>
      <c r="AK21">
        <v>539.19110000000001</v>
      </c>
      <c r="AL21">
        <v>581.89329999999995</v>
      </c>
      <c r="AM21">
        <v>624.59559999999999</v>
      </c>
      <c r="AN21">
        <v>667.29780000000005</v>
      </c>
      <c r="AO21">
        <v>710</v>
      </c>
      <c r="AP21">
        <v>1.12324E-2</v>
      </c>
      <c r="AQ21">
        <v>1.2009019999999999</v>
      </c>
      <c r="AR21">
        <v>37.121070000000003</v>
      </c>
      <c r="AS21">
        <v>485.72480000000002</v>
      </c>
      <c r="AT21">
        <v>3446.8159999999998</v>
      </c>
      <c r="AU21">
        <v>15705.82</v>
      </c>
      <c r="AV21">
        <v>51835.74</v>
      </c>
      <c r="AW21">
        <v>135567</v>
      </c>
      <c r="AX21">
        <v>301417</v>
      </c>
      <c r="AY21">
        <v>603689</v>
      </c>
      <c r="AZ21" s="2">
        <v>15.7</v>
      </c>
      <c r="BA21" s="2">
        <v>1.0113540000000001</v>
      </c>
      <c r="BB21" s="2">
        <v>1566960</v>
      </c>
      <c r="BC21" s="2">
        <f t="shared" si="1"/>
        <v>85.950000000000045</v>
      </c>
      <c r="BD21" s="2">
        <v>692.32500000000005</v>
      </c>
      <c r="BE21" s="2">
        <v>4.5709499999999998</v>
      </c>
      <c r="BG21">
        <v>337.5</v>
      </c>
      <c r="BH21" s="2">
        <f t="shared" si="2"/>
        <v>610.65</v>
      </c>
      <c r="BK21" s="2" t="s">
        <v>63</v>
      </c>
    </row>
    <row r="22" spans="1:63" x14ac:dyDescent="0.3">
      <c r="A22" s="6">
        <v>21</v>
      </c>
      <c r="B22" s="6" t="s">
        <v>64</v>
      </c>
      <c r="C22" s="6" t="s">
        <v>65</v>
      </c>
      <c r="D22" s="6" t="s">
        <v>66</v>
      </c>
      <c r="E22" s="1">
        <v>144.21384</v>
      </c>
      <c r="F22" s="1">
        <v>512.85</v>
      </c>
      <c r="G22" s="1">
        <v>694.26</v>
      </c>
      <c r="H22" s="1">
        <v>298.14999999999998</v>
      </c>
      <c r="I22" s="6">
        <f t="shared" si="0"/>
        <v>347.13</v>
      </c>
      <c r="J22" s="2">
        <v>0</v>
      </c>
      <c r="K22" s="2">
        <v>8</v>
      </c>
      <c r="L22" s="6" t="s">
        <v>690</v>
      </c>
      <c r="M22" s="6">
        <v>1</v>
      </c>
      <c r="N22" s="6">
        <v>6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>
        <v>289.64999999999998</v>
      </c>
      <c r="AG22">
        <v>326.8</v>
      </c>
      <c r="AH22">
        <v>363.95</v>
      </c>
      <c r="AI22">
        <v>401.1</v>
      </c>
      <c r="AJ22">
        <v>438.25</v>
      </c>
      <c r="AK22">
        <v>475.4</v>
      </c>
      <c r="AL22">
        <v>512.54999999999995</v>
      </c>
      <c r="AM22">
        <v>549.70000000000005</v>
      </c>
      <c r="AN22">
        <v>586.85</v>
      </c>
      <c r="AO22">
        <v>624</v>
      </c>
      <c r="AP22">
        <v>0.2764934</v>
      </c>
      <c r="AQ22">
        <v>11.102690000000001</v>
      </c>
      <c r="AR22">
        <v>181.47040000000001</v>
      </c>
      <c r="AS22">
        <v>1573.6479999999999</v>
      </c>
      <c r="AT22">
        <v>8611.8070000000007</v>
      </c>
      <c r="AU22">
        <v>33485.199999999997</v>
      </c>
      <c r="AV22">
        <v>100626</v>
      </c>
      <c r="AW22">
        <v>248597</v>
      </c>
      <c r="AX22">
        <v>529209</v>
      </c>
      <c r="AY22">
        <v>1007370</v>
      </c>
      <c r="AZ22" s="2">
        <v>27.79</v>
      </c>
      <c r="BA22" s="2">
        <v>1.014354</v>
      </c>
      <c r="BB22" s="2">
        <v>2781180</v>
      </c>
      <c r="BC22" s="2">
        <f t="shared" si="1"/>
        <v>111.98400000000004</v>
      </c>
      <c r="BD22" s="2">
        <v>603.55500000000006</v>
      </c>
      <c r="BE22" s="2">
        <v>7.1532419999999997</v>
      </c>
      <c r="BG22">
        <v>239.7</v>
      </c>
      <c r="BH22" s="2">
        <f t="shared" si="2"/>
        <v>512.84999999999991</v>
      </c>
      <c r="BK22" s="2" t="s">
        <v>66</v>
      </c>
    </row>
    <row r="23" spans="1:63" x14ac:dyDescent="0.3">
      <c r="A23" s="6">
        <v>22</v>
      </c>
      <c r="B23" s="6" t="s">
        <v>67</v>
      </c>
      <c r="C23" s="6" t="s">
        <v>68</v>
      </c>
      <c r="D23" s="6" t="s">
        <v>69</v>
      </c>
      <c r="E23" s="1">
        <v>172.26759999999999</v>
      </c>
      <c r="F23" s="1">
        <v>543.15</v>
      </c>
      <c r="G23" s="1">
        <v>722.1</v>
      </c>
      <c r="H23" s="1">
        <v>298.14999999999998</v>
      </c>
      <c r="I23" s="6">
        <f t="shared" si="0"/>
        <v>361.05</v>
      </c>
      <c r="J23" s="2">
        <v>0</v>
      </c>
      <c r="K23" s="2">
        <v>10</v>
      </c>
      <c r="L23" s="6" t="s">
        <v>691</v>
      </c>
      <c r="M23" s="6">
        <v>1</v>
      </c>
      <c r="N23" s="6">
        <v>8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1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>
        <v>304.75</v>
      </c>
      <c r="AG23">
        <v>344.44439999999997</v>
      </c>
      <c r="AH23">
        <v>384.13889999999998</v>
      </c>
      <c r="AI23">
        <v>423.83330000000001</v>
      </c>
      <c r="AJ23">
        <v>463.52780000000001</v>
      </c>
      <c r="AK23">
        <v>503.22219999999999</v>
      </c>
      <c r="AL23">
        <v>542.91669999999999</v>
      </c>
      <c r="AM23">
        <v>582.61109999999996</v>
      </c>
      <c r="AN23">
        <v>622.30560000000003</v>
      </c>
      <c r="AO23">
        <v>662</v>
      </c>
      <c r="AP23">
        <v>0.14857799999999999</v>
      </c>
      <c r="AQ23">
        <v>7.4931239999999999</v>
      </c>
      <c r="AR23">
        <v>142.6678</v>
      </c>
      <c r="AS23">
        <v>1371.4760000000001</v>
      </c>
      <c r="AT23">
        <v>8042.04</v>
      </c>
      <c r="AU23">
        <v>32705.16</v>
      </c>
      <c r="AV23">
        <v>100983</v>
      </c>
      <c r="AW23">
        <v>252898</v>
      </c>
      <c r="AX23">
        <v>539964</v>
      </c>
      <c r="AY23">
        <v>1021920</v>
      </c>
      <c r="AZ23" s="2">
        <v>22.8</v>
      </c>
      <c r="BA23" s="2">
        <v>1.0158560000000001</v>
      </c>
      <c r="BB23" s="2">
        <v>2286090</v>
      </c>
      <c r="BC23" s="2">
        <f t="shared" si="1"/>
        <v>106.74000000000001</v>
      </c>
      <c r="BD23" s="2">
        <v>632.625</v>
      </c>
      <c r="BE23" s="2">
        <v>6.4391369999999997</v>
      </c>
      <c r="BG23">
        <v>270</v>
      </c>
      <c r="BH23" s="2">
        <f t="shared" si="2"/>
        <v>543.15</v>
      </c>
      <c r="BK23" s="2" t="s">
        <v>69</v>
      </c>
    </row>
    <row r="24" spans="1:63" x14ac:dyDescent="0.3">
      <c r="A24" s="6">
        <v>23</v>
      </c>
      <c r="B24" s="6" t="s">
        <v>70</v>
      </c>
      <c r="C24" s="6" t="s">
        <v>71</v>
      </c>
      <c r="D24" s="6" t="s">
        <v>72</v>
      </c>
      <c r="E24" s="1">
        <v>200.32136</v>
      </c>
      <c r="F24" s="1">
        <v>571.85</v>
      </c>
      <c r="G24" s="1">
        <v>743</v>
      </c>
      <c r="H24" s="1">
        <v>298.14999999999998</v>
      </c>
      <c r="I24" s="6">
        <f t="shared" si="0"/>
        <v>371.5</v>
      </c>
      <c r="J24" s="2">
        <v>0</v>
      </c>
      <c r="K24" s="2">
        <v>12</v>
      </c>
      <c r="L24" s="6" t="s">
        <v>692</v>
      </c>
      <c r="M24" s="6">
        <v>1</v>
      </c>
      <c r="N24" s="6">
        <v>10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1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>
        <v>316.98</v>
      </c>
      <c r="AG24">
        <v>357.64890000000003</v>
      </c>
      <c r="AH24">
        <v>398.31779999999998</v>
      </c>
      <c r="AI24">
        <v>438.98669999999998</v>
      </c>
      <c r="AJ24">
        <v>479.65559999999999</v>
      </c>
      <c r="AK24">
        <v>520.32439999999997</v>
      </c>
      <c r="AL24">
        <v>560.99329999999998</v>
      </c>
      <c r="AM24">
        <v>601.66219999999998</v>
      </c>
      <c r="AN24">
        <v>642.33109999999999</v>
      </c>
      <c r="AO24">
        <v>683</v>
      </c>
      <c r="AP24">
        <v>7.9033400000000004E-2</v>
      </c>
      <c r="AQ24">
        <v>4.5253560000000004</v>
      </c>
      <c r="AR24">
        <v>94.180840000000003</v>
      </c>
      <c r="AS24">
        <v>962.79660000000001</v>
      </c>
      <c r="AT24">
        <v>5887.8950000000004</v>
      </c>
      <c r="AU24">
        <v>24645.74</v>
      </c>
      <c r="AV24">
        <v>77707.990000000005</v>
      </c>
      <c r="AW24">
        <v>198071</v>
      </c>
      <c r="AX24">
        <v>430854</v>
      </c>
      <c r="AY24">
        <v>835126</v>
      </c>
      <c r="AZ24" s="2">
        <v>19.3</v>
      </c>
      <c r="BA24" s="2">
        <v>1.016024</v>
      </c>
      <c r="BB24" s="2">
        <v>1935530</v>
      </c>
      <c r="BC24" s="2">
        <f t="shared" si="1"/>
        <v>96.850000000000023</v>
      </c>
      <c r="BD24" s="2">
        <v>657.42499999999995</v>
      </c>
      <c r="BE24" s="2">
        <v>5.5713679999999997</v>
      </c>
      <c r="BG24">
        <v>298.7</v>
      </c>
      <c r="BH24" s="2">
        <f t="shared" si="2"/>
        <v>571.84999999999991</v>
      </c>
      <c r="BK24" s="2" t="s">
        <v>72</v>
      </c>
    </row>
    <row r="25" spans="1:63" x14ac:dyDescent="0.3">
      <c r="A25" s="6">
        <v>24</v>
      </c>
      <c r="B25" s="6" t="s">
        <v>73</v>
      </c>
      <c r="C25" s="6" t="s">
        <v>74</v>
      </c>
      <c r="D25" s="6" t="s">
        <v>75</v>
      </c>
      <c r="E25" s="1">
        <v>228.37512000000001</v>
      </c>
      <c r="F25" s="1">
        <v>599.35</v>
      </c>
      <c r="G25" s="1">
        <v>763</v>
      </c>
      <c r="H25" s="1">
        <v>298.14999999999998</v>
      </c>
      <c r="I25" s="6">
        <f t="shared" si="0"/>
        <v>381.5</v>
      </c>
      <c r="J25">
        <v>0</v>
      </c>
      <c r="K25">
        <v>14</v>
      </c>
      <c r="L25" s="6" t="s">
        <v>693</v>
      </c>
      <c r="M25" s="6">
        <v>1</v>
      </c>
      <c r="N25" s="6">
        <v>12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1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>
        <v>327.37</v>
      </c>
      <c r="AG25">
        <v>368.77330000000001</v>
      </c>
      <c r="AH25">
        <v>410.17669999999998</v>
      </c>
      <c r="AI25">
        <v>451.58</v>
      </c>
      <c r="AJ25">
        <v>492.98329999999999</v>
      </c>
      <c r="AK25">
        <v>534.38670000000002</v>
      </c>
      <c r="AL25">
        <v>575.79</v>
      </c>
      <c r="AM25">
        <v>617.19330000000002</v>
      </c>
      <c r="AN25">
        <v>658.59670000000006</v>
      </c>
      <c r="AO25">
        <v>700</v>
      </c>
      <c r="AP25">
        <v>3.75039E-2</v>
      </c>
      <c r="AQ25">
        <v>2.6306379999999998</v>
      </c>
      <c r="AR25">
        <v>62.071689999999997</v>
      </c>
      <c r="AS25">
        <v>682.38120000000004</v>
      </c>
      <c r="AT25">
        <v>4331.16</v>
      </c>
      <c r="AU25">
        <v>18399.12</v>
      </c>
      <c r="AV25">
        <v>58175.4</v>
      </c>
      <c r="AW25">
        <v>148267</v>
      </c>
      <c r="AX25">
        <v>324238</v>
      </c>
      <c r="AY25">
        <v>640540</v>
      </c>
      <c r="AZ25" s="2">
        <v>16.399999999999999</v>
      </c>
      <c r="BA25" s="2">
        <v>1.012853</v>
      </c>
      <c r="BB25" s="2">
        <v>1639700</v>
      </c>
      <c r="BC25" s="2">
        <f t="shared" si="1"/>
        <v>87.350000000000023</v>
      </c>
      <c r="BD25" s="2">
        <v>681.17499999999995</v>
      </c>
      <c r="BE25" s="2">
        <v>4.7456079999999998</v>
      </c>
      <c r="BG25">
        <v>326.2</v>
      </c>
      <c r="BH25" s="2">
        <f t="shared" si="2"/>
        <v>599.34999999999991</v>
      </c>
      <c r="BK25" s="2" t="s">
        <v>75</v>
      </c>
    </row>
    <row r="26" spans="1:63" x14ac:dyDescent="0.3">
      <c r="A26" s="6">
        <v>25</v>
      </c>
      <c r="B26" s="6" t="s">
        <v>76</v>
      </c>
      <c r="C26" s="6" t="s">
        <v>77</v>
      </c>
      <c r="D26" s="6" t="s">
        <v>78</v>
      </c>
      <c r="E26" s="1">
        <v>256.42887999999999</v>
      </c>
      <c r="F26" s="1">
        <v>623.15</v>
      </c>
      <c r="G26" s="1">
        <v>785</v>
      </c>
      <c r="H26" s="1">
        <v>298.14999999999998</v>
      </c>
      <c r="I26" s="6">
        <f t="shared" si="0"/>
        <v>392.5</v>
      </c>
      <c r="J26">
        <v>0</v>
      </c>
      <c r="K26">
        <v>16</v>
      </c>
      <c r="L26" s="6" t="s">
        <v>694</v>
      </c>
      <c r="M26" s="6">
        <v>1</v>
      </c>
      <c r="N26" s="6">
        <v>14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>
        <v>335.66</v>
      </c>
      <c r="AG26">
        <v>377.80889999999999</v>
      </c>
      <c r="AH26">
        <v>419.95780000000002</v>
      </c>
      <c r="AI26">
        <v>462.10669999999999</v>
      </c>
      <c r="AJ26">
        <v>504.25560000000002</v>
      </c>
      <c r="AK26">
        <v>546.40440000000001</v>
      </c>
      <c r="AL26">
        <v>588.55330000000004</v>
      </c>
      <c r="AM26">
        <v>630.70219999999995</v>
      </c>
      <c r="AN26">
        <v>672.85109999999997</v>
      </c>
      <c r="AO26">
        <v>715</v>
      </c>
      <c r="AP26">
        <v>1.83175E-2</v>
      </c>
      <c r="AQ26">
        <v>1.4642230000000001</v>
      </c>
      <c r="AR26">
        <v>38.272790000000001</v>
      </c>
      <c r="AS26">
        <v>456.05700000000002</v>
      </c>
      <c r="AT26">
        <v>3084.5819999999999</v>
      </c>
      <c r="AU26">
        <v>13774.62</v>
      </c>
      <c r="AV26">
        <v>45275.97</v>
      </c>
      <c r="AW26">
        <v>118829</v>
      </c>
      <c r="AX26">
        <v>265406</v>
      </c>
      <c r="AY26">
        <v>531480</v>
      </c>
      <c r="AZ26" s="2">
        <v>14.9</v>
      </c>
      <c r="BA26" s="2">
        <v>1.0132380000000001</v>
      </c>
      <c r="BB26" s="2">
        <v>1490100</v>
      </c>
      <c r="BC26" s="2">
        <f t="shared" si="1"/>
        <v>83.350000000000023</v>
      </c>
      <c r="BD26" s="2">
        <v>704.07500000000005</v>
      </c>
      <c r="BE26" s="2">
        <v>4.4744840000000003</v>
      </c>
      <c r="BG26">
        <v>350</v>
      </c>
      <c r="BH26" s="2">
        <f t="shared" si="2"/>
        <v>623.15</v>
      </c>
      <c r="BK26" s="2" t="s">
        <v>78</v>
      </c>
    </row>
    <row r="27" spans="1:63" x14ac:dyDescent="0.3">
      <c r="A27" s="6">
        <v>26</v>
      </c>
      <c r="B27" s="6" t="s">
        <v>79</v>
      </c>
      <c r="C27" s="6" t="s">
        <v>80</v>
      </c>
      <c r="D27" s="6" t="s">
        <v>81</v>
      </c>
      <c r="E27" s="1">
        <v>284.48264</v>
      </c>
      <c r="F27" s="1">
        <v>647.15</v>
      </c>
      <c r="G27" s="1">
        <v>803</v>
      </c>
      <c r="H27" s="1">
        <v>298.14999999999998</v>
      </c>
      <c r="I27" s="6">
        <f t="shared" si="0"/>
        <v>401.5</v>
      </c>
      <c r="J27">
        <v>0</v>
      </c>
      <c r="K27">
        <v>18</v>
      </c>
      <c r="L27" s="6" t="s">
        <v>695</v>
      </c>
      <c r="M27" s="6">
        <v>1</v>
      </c>
      <c r="N27" s="6">
        <v>16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>
        <v>342.75</v>
      </c>
      <c r="AG27">
        <v>385</v>
      </c>
      <c r="AH27">
        <v>427.25</v>
      </c>
      <c r="AI27">
        <v>469.5</v>
      </c>
      <c r="AJ27">
        <v>511.75</v>
      </c>
      <c r="AK27">
        <v>554</v>
      </c>
      <c r="AL27">
        <v>596.25</v>
      </c>
      <c r="AM27">
        <v>638.5</v>
      </c>
      <c r="AN27">
        <v>680.75</v>
      </c>
      <c r="AO27">
        <v>723</v>
      </c>
      <c r="AP27">
        <v>7.2505699999999996E-3</v>
      </c>
      <c r="AQ27">
        <v>0.71008159999999998</v>
      </c>
      <c r="AR27">
        <v>21.386959999999998</v>
      </c>
      <c r="AS27">
        <v>280.75549999999998</v>
      </c>
      <c r="AT27">
        <v>2024.9159999999999</v>
      </c>
      <c r="AU27">
        <v>9422.84</v>
      </c>
      <c r="AV27">
        <v>31781.55</v>
      </c>
      <c r="AW27">
        <v>84829.34</v>
      </c>
      <c r="AX27">
        <v>192061</v>
      </c>
      <c r="AY27">
        <v>390686</v>
      </c>
      <c r="AZ27" s="2">
        <v>13.3</v>
      </c>
      <c r="BA27" s="2">
        <v>1.0142519999999999</v>
      </c>
      <c r="BB27" s="2">
        <v>1331100</v>
      </c>
      <c r="BC27" s="2">
        <f t="shared" si="1"/>
        <v>75.550000000000068</v>
      </c>
      <c r="BD27" s="2">
        <v>725.07500000000005</v>
      </c>
      <c r="BE27" s="2">
        <v>4.0380099999999999</v>
      </c>
      <c r="BG27">
        <v>374</v>
      </c>
      <c r="BH27" s="2">
        <f t="shared" si="2"/>
        <v>647.15</v>
      </c>
      <c r="BK27" s="2" t="s">
        <v>81</v>
      </c>
    </row>
    <row r="28" spans="1:63" x14ac:dyDescent="0.3">
      <c r="A28" s="6">
        <v>27</v>
      </c>
      <c r="B28" s="6" t="s">
        <v>82</v>
      </c>
      <c r="C28" s="6" t="s">
        <v>83</v>
      </c>
      <c r="D28" s="6" t="s">
        <v>84</v>
      </c>
      <c r="E28" s="1">
        <v>312.53640000000001</v>
      </c>
      <c r="F28" s="1">
        <v>668.53</v>
      </c>
      <c r="G28" s="1">
        <v>820</v>
      </c>
      <c r="H28" s="1">
        <v>298.14999999999998</v>
      </c>
      <c r="I28" s="6">
        <f t="shared" si="0"/>
        <v>410</v>
      </c>
      <c r="J28">
        <v>0</v>
      </c>
      <c r="K28">
        <v>20</v>
      </c>
      <c r="L28" s="6" t="s">
        <v>696</v>
      </c>
      <c r="M28" s="6">
        <v>1</v>
      </c>
      <c r="N28" s="6">
        <v>18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1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>
        <v>348.23</v>
      </c>
      <c r="AG28">
        <v>393.98219999999998</v>
      </c>
      <c r="AH28">
        <v>439.73439999999999</v>
      </c>
      <c r="AI28">
        <v>485.48669999999998</v>
      </c>
      <c r="AJ28">
        <v>531.23889999999994</v>
      </c>
      <c r="AK28">
        <v>576.99109999999996</v>
      </c>
      <c r="AL28">
        <v>622.74329999999998</v>
      </c>
      <c r="AM28">
        <v>668.49559999999997</v>
      </c>
      <c r="AN28">
        <v>714.24779999999998</v>
      </c>
      <c r="AO28">
        <v>760</v>
      </c>
      <c r="AP28">
        <v>2.8231799999999998E-3</v>
      </c>
      <c r="AQ28">
        <v>0.45018469999999999</v>
      </c>
      <c r="AR28">
        <v>18.078869999999998</v>
      </c>
      <c r="AS28">
        <v>280.4665</v>
      </c>
      <c r="AT28">
        <v>2219.462</v>
      </c>
      <c r="AU28">
        <v>10831.96</v>
      </c>
      <c r="AV28">
        <v>37349.550000000003</v>
      </c>
      <c r="AW28">
        <v>100776</v>
      </c>
      <c r="AX28">
        <v>230705</v>
      </c>
      <c r="AY28">
        <v>479489</v>
      </c>
      <c r="AZ28" s="2">
        <v>12</v>
      </c>
      <c r="BA28" s="2">
        <v>1.0084420000000001</v>
      </c>
      <c r="BB28" s="2">
        <v>1194290</v>
      </c>
      <c r="BC28" s="2">
        <f t="shared" si="1"/>
        <v>69.470000000000027</v>
      </c>
      <c r="BD28" s="2">
        <v>744.26499999999999</v>
      </c>
      <c r="BE28" s="2">
        <v>3.7546930000000001</v>
      </c>
      <c r="BG28">
        <v>395.38</v>
      </c>
      <c r="BH28" s="2">
        <f t="shared" si="2"/>
        <v>668.53</v>
      </c>
      <c r="BK28" s="2" t="s">
        <v>84</v>
      </c>
    </row>
    <row r="29" spans="1:63" x14ac:dyDescent="0.3">
      <c r="A29" s="6">
        <v>28</v>
      </c>
      <c r="B29" s="6" t="s">
        <v>85</v>
      </c>
      <c r="C29" s="6" t="s">
        <v>86</v>
      </c>
      <c r="D29" s="6" t="s">
        <v>87</v>
      </c>
      <c r="E29" s="1">
        <v>268.52659999999997</v>
      </c>
      <c r="F29" s="1">
        <v>604.5</v>
      </c>
      <c r="G29" s="1">
        <v>759.5</v>
      </c>
      <c r="H29" s="1">
        <v>298.14999999999998</v>
      </c>
      <c r="I29" s="6">
        <f t="shared" si="0"/>
        <v>379.75</v>
      </c>
      <c r="J29">
        <v>0</v>
      </c>
      <c r="K29">
        <v>19</v>
      </c>
      <c r="L29" s="6" t="s">
        <v>697</v>
      </c>
      <c r="M29" s="6">
        <v>2</v>
      </c>
      <c r="N29" s="6">
        <v>17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>
        <v>305.04000000000002</v>
      </c>
      <c r="AG29">
        <v>348.92439999999999</v>
      </c>
      <c r="AH29">
        <v>392.80889999999999</v>
      </c>
      <c r="AI29">
        <v>436.69330000000002</v>
      </c>
      <c r="AJ29">
        <v>480.57780000000002</v>
      </c>
      <c r="AK29">
        <v>524.46220000000005</v>
      </c>
      <c r="AL29">
        <v>568.34670000000006</v>
      </c>
      <c r="AM29">
        <v>612.23109999999997</v>
      </c>
      <c r="AN29">
        <v>656.11559999999997</v>
      </c>
      <c r="AO29">
        <v>700</v>
      </c>
      <c r="AP29">
        <v>1.49427E-2</v>
      </c>
      <c r="AQ29">
        <v>1.5835669999999999</v>
      </c>
      <c r="AR29">
        <v>45.057490000000001</v>
      </c>
      <c r="AS29">
        <v>533.95190000000002</v>
      </c>
      <c r="AT29">
        <v>3465.8829999999998</v>
      </c>
      <c r="AU29">
        <v>14743.93</v>
      </c>
      <c r="AV29">
        <v>46451.24</v>
      </c>
      <c r="AW29">
        <v>118139</v>
      </c>
      <c r="AX29">
        <v>258210</v>
      </c>
      <c r="AY29">
        <v>508128</v>
      </c>
      <c r="AZ29" s="2">
        <v>11.43</v>
      </c>
      <c r="BA29" s="2">
        <v>1.014893</v>
      </c>
      <c r="BB29" s="2">
        <v>1145010</v>
      </c>
      <c r="BC29" s="2">
        <f t="shared" si="1"/>
        <v>79.050000000000068</v>
      </c>
      <c r="BD29" s="2">
        <v>682</v>
      </c>
      <c r="BE29" s="2">
        <v>3.8888259999999999</v>
      </c>
      <c r="BG29">
        <v>331.35</v>
      </c>
      <c r="BH29" s="2">
        <f t="shared" si="2"/>
        <v>604.5</v>
      </c>
      <c r="BK29" s="2" t="s">
        <v>87</v>
      </c>
    </row>
    <row r="30" spans="1:63" x14ac:dyDescent="0.3">
      <c r="A30" s="6">
        <v>29</v>
      </c>
      <c r="B30" s="6" t="s">
        <v>88</v>
      </c>
      <c r="C30" s="6" t="s">
        <v>89</v>
      </c>
      <c r="D30" s="6" t="s">
        <v>90</v>
      </c>
      <c r="E30" s="1">
        <v>282.55347999999998</v>
      </c>
      <c r="F30" s="1">
        <v>617.79999999999995</v>
      </c>
      <c r="G30" s="1">
        <v>770.6</v>
      </c>
      <c r="H30" s="1">
        <v>298.14999999999998</v>
      </c>
      <c r="I30" s="6">
        <f t="shared" si="0"/>
        <v>385.3</v>
      </c>
      <c r="J30">
        <v>0</v>
      </c>
      <c r="K30">
        <v>20</v>
      </c>
      <c r="L30" s="6" t="s">
        <v>698</v>
      </c>
      <c r="M30" s="6">
        <v>2</v>
      </c>
      <c r="N30" s="6">
        <v>18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>
        <v>309.58</v>
      </c>
      <c r="AG30">
        <v>355.18220000000002</v>
      </c>
      <c r="AH30">
        <v>400.78440000000001</v>
      </c>
      <c r="AI30">
        <v>446.38670000000002</v>
      </c>
      <c r="AJ30">
        <v>491.9889</v>
      </c>
      <c r="AK30">
        <v>537.59109999999998</v>
      </c>
      <c r="AL30">
        <v>583.19330000000002</v>
      </c>
      <c r="AM30">
        <v>628.79560000000004</v>
      </c>
      <c r="AN30">
        <v>674.39779999999996</v>
      </c>
      <c r="AO30">
        <v>720</v>
      </c>
      <c r="AP30">
        <v>7.11204E-3</v>
      </c>
      <c r="AQ30">
        <v>1.049326</v>
      </c>
      <c r="AR30">
        <v>36.422190000000001</v>
      </c>
      <c r="AS30">
        <v>486.72629999999998</v>
      </c>
      <c r="AT30">
        <v>3395.1469999999999</v>
      </c>
      <c r="AU30">
        <v>15065.42</v>
      </c>
      <c r="AV30">
        <v>48619.83</v>
      </c>
      <c r="AW30">
        <v>125353</v>
      </c>
      <c r="AX30">
        <v>276325</v>
      </c>
      <c r="AY30">
        <v>547703</v>
      </c>
      <c r="AZ30" s="2">
        <v>10.81</v>
      </c>
      <c r="BA30" s="2">
        <v>1.014262</v>
      </c>
      <c r="BB30" s="2">
        <v>1082090</v>
      </c>
      <c r="BC30" s="2">
        <f t="shared" si="1"/>
        <v>75.740000000000123</v>
      </c>
      <c r="BD30" s="2">
        <v>694.2</v>
      </c>
      <c r="BE30" s="2">
        <v>3.7586879999999998</v>
      </c>
      <c r="BG30">
        <v>344.65</v>
      </c>
      <c r="BH30" s="2">
        <f t="shared" si="2"/>
        <v>617.79999999999995</v>
      </c>
      <c r="BK30" s="2" t="s">
        <v>90</v>
      </c>
    </row>
    <row r="31" spans="1:63" x14ac:dyDescent="0.3">
      <c r="A31" s="6">
        <v>30</v>
      </c>
      <c r="B31" s="6" t="s">
        <v>91</v>
      </c>
      <c r="C31" s="6" t="s">
        <v>92</v>
      </c>
      <c r="D31" s="6" t="s">
        <v>93</v>
      </c>
      <c r="E31" s="1">
        <v>240.47283999999999</v>
      </c>
      <c r="F31" s="1">
        <v>575.70000000000005</v>
      </c>
      <c r="G31" s="1">
        <v>735.3</v>
      </c>
      <c r="H31" s="1">
        <v>298.14999999999998</v>
      </c>
      <c r="I31" s="6">
        <f t="shared" si="0"/>
        <v>367.65</v>
      </c>
      <c r="J31">
        <v>0</v>
      </c>
      <c r="K31">
        <v>17</v>
      </c>
      <c r="L31" s="6" t="s">
        <v>699</v>
      </c>
      <c r="M31" s="6">
        <v>2</v>
      </c>
      <c r="N31" s="6">
        <v>15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>
        <v>295.13400000000001</v>
      </c>
      <c r="AG31">
        <v>336.23020000000002</v>
      </c>
      <c r="AH31">
        <v>377.32639999999998</v>
      </c>
      <c r="AI31">
        <v>418.42270000000002</v>
      </c>
      <c r="AJ31">
        <v>459.51889999999997</v>
      </c>
      <c r="AK31">
        <v>500.61509999999998</v>
      </c>
      <c r="AL31">
        <v>541.71130000000005</v>
      </c>
      <c r="AM31">
        <v>582.80759999999998</v>
      </c>
      <c r="AN31">
        <v>623.90380000000005</v>
      </c>
      <c r="AO31">
        <v>665</v>
      </c>
      <c r="AP31">
        <v>3.9615400000000002E-2</v>
      </c>
      <c r="AQ31">
        <v>2.8612310000000001</v>
      </c>
      <c r="AR31">
        <v>64.268690000000007</v>
      </c>
      <c r="AS31">
        <v>656.60180000000003</v>
      </c>
      <c r="AT31">
        <v>3879.6619999999998</v>
      </c>
      <c r="AU31">
        <v>15542.08</v>
      </c>
      <c r="AV31">
        <v>47086.33</v>
      </c>
      <c r="AW31">
        <v>116582</v>
      </c>
      <c r="AX31">
        <v>249638</v>
      </c>
      <c r="AY31">
        <v>482317</v>
      </c>
      <c r="AZ31" s="2">
        <v>12.88</v>
      </c>
      <c r="BA31" s="2">
        <v>1.008421</v>
      </c>
      <c r="BB31" s="2">
        <v>1281930</v>
      </c>
      <c r="BC31" s="2">
        <f t="shared" si="1"/>
        <v>86.069999999999936</v>
      </c>
      <c r="BD31" s="2">
        <v>655.5</v>
      </c>
      <c r="BE31" s="2">
        <v>4.1724160000000001</v>
      </c>
      <c r="BG31">
        <v>302.55</v>
      </c>
      <c r="BH31" s="2">
        <f t="shared" si="2"/>
        <v>575.70000000000005</v>
      </c>
      <c r="BK31" s="2" t="s">
        <v>93</v>
      </c>
    </row>
    <row r="32" spans="1:63" ht="11.5" customHeight="1" x14ac:dyDescent="0.3">
      <c r="A32" s="6">
        <v>31</v>
      </c>
      <c r="B32" s="6" t="s">
        <v>94</v>
      </c>
      <c r="C32" s="6" t="s">
        <v>95</v>
      </c>
      <c r="D32" s="6" t="s">
        <v>96</v>
      </c>
      <c r="E32" s="1">
        <v>254.49972</v>
      </c>
      <c r="F32" s="1">
        <v>590.4</v>
      </c>
      <c r="G32" s="1">
        <v>747.8</v>
      </c>
      <c r="H32" s="1">
        <v>298.14999999999998</v>
      </c>
      <c r="I32" s="6">
        <f t="shared" si="0"/>
        <v>373.9</v>
      </c>
      <c r="J32">
        <v>0</v>
      </c>
      <c r="K32">
        <v>18</v>
      </c>
      <c r="L32" s="6" t="s">
        <v>700</v>
      </c>
      <c r="M32" s="6">
        <v>2</v>
      </c>
      <c r="N32" s="6">
        <v>16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>
        <v>301.31</v>
      </c>
      <c r="AG32">
        <v>344.1644</v>
      </c>
      <c r="AH32">
        <v>387.01889999999997</v>
      </c>
      <c r="AI32">
        <v>429.87329999999997</v>
      </c>
      <c r="AJ32">
        <v>472.7278</v>
      </c>
      <c r="AK32">
        <v>515.58219999999994</v>
      </c>
      <c r="AL32">
        <v>558.43669999999997</v>
      </c>
      <c r="AM32">
        <v>601.29110000000003</v>
      </c>
      <c r="AN32">
        <v>644.14559999999994</v>
      </c>
      <c r="AO32">
        <v>687</v>
      </c>
      <c r="AP32">
        <v>2.8606199999999998E-2</v>
      </c>
      <c r="AQ32">
        <v>2.4591180000000001</v>
      </c>
      <c r="AR32">
        <v>61.127220000000001</v>
      </c>
      <c r="AS32">
        <v>662.53219999999999</v>
      </c>
      <c r="AT32">
        <v>4050.4679999999998</v>
      </c>
      <c r="AU32">
        <v>16543.36</v>
      </c>
      <c r="AV32">
        <v>50676.27</v>
      </c>
      <c r="AW32">
        <v>126345</v>
      </c>
      <c r="AX32">
        <v>272091</v>
      </c>
      <c r="AY32">
        <v>529119</v>
      </c>
      <c r="AZ32" s="2">
        <v>12.12</v>
      </c>
      <c r="BA32" s="2">
        <v>1.017757</v>
      </c>
      <c r="BB32" s="2">
        <v>1217350</v>
      </c>
      <c r="BC32" s="2">
        <f t="shared" si="1"/>
        <v>82.62</v>
      </c>
      <c r="BD32" s="2">
        <v>669.09999999999991</v>
      </c>
      <c r="BE32" s="2">
        <v>4.0482420000000001</v>
      </c>
      <c r="BG32">
        <v>317.25</v>
      </c>
      <c r="BH32" s="2">
        <f t="shared" si="2"/>
        <v>590.4</v>
      </c>
      <c r="BK32" s="2" t="s">
        <v>96</v>
      </c>
    </row>
    <row r="33" spans="1:63" ht="15" customHeight="1" x14ac:dyDescent="0.3">
      <c r="A33" s="6">
        <v>32</v>
      </c>
      <c r="B33" s="6" t="s">
        <v>97</v>
      </c>
      <c r="C33" s="6" t="s">
        <v>98</v>
      </c>
      <c r="D33" s="6" t="s">
        <v>99</v>
      </c>
      <c r="E33" s="1">
        <v>885.44916000000001</v>
      </c>
      <c r="F33" s="1">
        <v>896.8</v>
      </c>
      <c r="G33" s="1">
        <v>935.3</v>
      </c>
      <c r="H33" s="1">
        <v>298.14999999999998</v>
      </c>
      <c r="I33" s="6">
        <f t="shared" si="0"/>
        <v>467.65</v>
      </c>
      <c r="J33">
        <v>3</v>
      </c>
      <c r="K33">
        <v>57</v>
      </c>
      <c r="L33" s="6" t="s">
        <v>701</v>
      </c>
      <c r="M33" s="6">
        <v>3</v>
      </c>
      <c r="N33" s="6">
        <v>41</v>
      </c>
      <c r="O33" s="6">
        <v>1</v>
      </c>
      <c r="P33" s="6">
        <v>3</v>
      </c>
      <c r="Q33" s="6">
        <v>0</v>
      </c>
      <c r="R33" s="6">
        <v>0</v>
      </c>
      <c r="S33" s="6">
        <v>0</v>
      </c>
      <c r="T33" s="6">
        <v>0</v>
      </c>
      <c r="U33" s="6">
        <v>3</v>
      </c>
      <c r="V33" s="6">
        <v>0</v>
      </c>
      <c r="W33" s="6">
        <v>6</v>
      </c>
      <c r="X33" s="6">
        <v>2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>
        <v>278.14999999999998</v>
      </c>
      <c r="AG33">
        <v>343.35559999999998</v>
      </c>
      <c r="AH33">
        <v>408.56110000000001</v>
      </c>
      <c r="AI33">
        <v>473.76670000000001</v>
      </c>
      <c r="AJ33">
        <v>538.97220000000004</v>
      </c>
      <c r="AK33">
        <v>604.17780000000005</v>
      </c>
      <c r="AL33">
        <v>669.38329999999996</v>
      </c>
      <c r="AM33">
        <v>734.58889999999997</v>
      </c>
      <c r="AN33">
        <v>799.7944</v>
      </c>
      <c r="AO33">
        <v>865</v>
      </c>
      <c r="AP33" s="13">
        <v>1.7066999999999999E-19</v>
      </c>
      <c r="AQ33" s="13">
        <v>9.5745000000000005E-12</v>
      </c>
      <c r="AR33" s="13">
        <v>8.0103100000000005E-7</v>
      </c>
      <c r="AS33">
        <v>1.65091E-3</v>
      </c>
      <c r="AT33">
        <v>0.34766279999999999</v>
      </c>
      <c r="AU33">
        <v>16.59825</v>
      </c>
      <c r="AV33">
        <v>291.0335</v>
      </c>
      <c r="AW33">
        <v>2560.4670000000001</v>
      </c>
      <c r="AX33">
        <v>14013.25</v>
      </c>
      <c r="AY33">
        <v>55873.26</v>
      </c>
      <c r="AZ33" s="2">
        <v>2.0019999999999998</v>
      </c>
      <c r="BA33" s="2">
        <v>1.015949</v>
      </c>
      <c r="BB33" s="2">
        <v>200732</v>
      </c>
      <c r="BC33" s="2">
        <f t="shared" si="1"/>
        <v>-55.029999999999973</v>
      </c>
      <c r="BD33" s="2">
        <v>916.05</v>
      </c>
      <c r="BE33" s="2">
        <v>1.434779</v>
      </c>
      <c r="BG33">
        <v>623.65</v>
      </c>
      <c r="BH33" s="2">
        <f t="shared" si="2"/>
        <v>896.8</v>
      </c>
      <c r="BK33" s="2" t="s">
        <v>99</v>
      </c>
    </row>
    <row r="34" spans="1:63" x14ac:dyDescent="0.3">
      <c r="A34" s="6">
        <v>33</v>
      </c>
      <c r="B34" s="6" t="s">
        <v>100</v>
      </c>
      <c r="C34" s="6" t="s">
        <v>77</v>
      </c>
      <c r="D34" s="6" t="s">
        <v>101</v>
      </c>
      <c r="E34" s="1">
        <v>256.42887999999999</v>
      </c>
      <c r="F34" s="1">
        <v>623.15</v>
      </c>
      <c r="G34" s="1">
        <v>785</v>
      </c>
      <c r="H34" s="1">
        <v>298.14999999999998</v>
      </c>
      <c r="I34" s="6">
        <f t="shared" si="0"/>
        <v>392.5</v>
      </c>
      <c r="J34">
        <v>0</v>
      </c>
      <c r="K34">
        <v>16</v>
      </c>
      <c r="L34" s="6" t="s">
        <v>694</v>
      </c>
      <c r="M34" s="6">
        <v>1</v>
      </c>
      <c r="N34" s="6">
        <v>14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1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>
        <v>335.66</v>
      </c>
      <c r="AG34">
        <v>378.36439999999999</v>
      </c>
      <c r="AH34">
        <v>421.06889999999999</v>
      </c>
      <c r="AI34">
        <v>463.77330000000001</v>
      </c>
      <c r="AJ34">
        <v>506.4778</v>
      </c>
      <c r="AK34">
        <v>549.18219999999997</v>
      </c>
      <c r="AL34">
        <v>591.88670000000002</v>
      </c>
      <c r="AM34">
        <v>634.59109999999998</v>
      </c>
      <c r="AN34">
        <v>677.29560000000004</v>
      </c>
      <c r="AO34">
        <v>720</v>
      </c>
      <c r="AP34">
        <v>1.83175E-2</v>
      </c>
      <c r="AQ34">
        <v>1.538354</v>
      </c>
      <c r="AR34">
        <v>41.222540000000002</v>
      </c>
      <c r="AS34">
        <v>496.60140000000001</v>
      </c>
      <c r="AT34">
        <v>3368.873</v>
      </c>
      <c r="AU34">
        <v>15024.37</v>
      </c>
      <c r="AV34">
        <v>49222.69</v>
      </c>
      <c r="AW34">
        <v>128731</v>
      </c>
      <c r="AX34">
        <v>286806</v>
      </c>
      <c r="AY34">
        <v>574186</v>
      </c>
      <c r="AZ34" s="2">
        <v>14.9</v>
      </c>
      <c r="BA34" s="2">
        <v>1.0132380000000001</v>
      </c>
      <c r="BB34" s="2">
        <v>1490100</v>
      </c>
      <c r="BC34" s="2">
        <f t="shared" si="1"/>
        <v>83.350000000000023</v>
      </c>
      <c r="BD34" s="2">
        <v>704.07500000000005</v>
      </c>
      <c r="BE34" s="2">
        <v>4.4744840000000003</v>
      </c>
      <c r="BG34">
        <v>350</v>
      </c>
      <c r="BH34" s="2">
        <f t="shared" si="2"/>
        <v>623.15</v>
      </c>
      <c r="BK34" s="2" t="s">
        <v>101</v>
      </c>
    </row>
    <row r="35" spans="1:63" x14ac:dyDescent="0.3">
      <c r="A35" s="6">
        <v>34</v>
      </c>
      <c r="B35" s="6" t="s">
        <v>102</v>
      </c>
      <c r="C35" s="6" t="s">
        <v>80</v>
      </c>
      <c r="D35" s="6" t="s">
        <v>103</v>
      </c>
      <c r="E35" s="1">
        <v>284.48264</v>
      </c>
      <c r="F35" s="1">
        <v>647.15</v>
      </c>
      <c r="G35" s="1">
        <v>803</v>
      </c>
      <c r="H35" s="1">
        <v>298.14999999999998</v>
      </c>
      <c r="I35" s="6">
        <f t="shared" si="0"/>
        <v>401.5</v>
      </c>
      <c r="J35">
        <v>0</v>
      </c>
      <c r="K35">
        <v>18</v>
      </c>
      <c r="L35" s="6" t="s">
        <v>695</v>
      </c>
      <c r="M35" s="6">
        <v>1</v>
      </c>
      <c r="N35" s="6">
        <v>16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1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>
        <v>342.75</v>
      </c>
      <c r="AG35">
        <v>384.66669999999999</v>
      </c>
      <c r="AH35">
        <v>426.58330000000001</v>
      </c>
      <c r="AI35">
        <v>468.5</v>
      </c>
      <c r="AJ35">
        <v>510.41669999999999</v>
      </c>
      <c r="AK35">
        <v>552.33330000000001</v>
      </c>
      <c r="AL35">
        <v>594.25</v>
      </c>
      <c r="AM35">
        <v>636.16669999999999</v>
      </c>
      <c r="AN35">
        <v>678.08330000000001</v>
      </c>
      <c r="AO35">
        <v>720</v>
      </c>
      <c r="AP35">
        <v>7.2505699999999996E-3</v>
      </c>
      <c r="AQ35">
        <v>0.68841300000000005</v>
      </c>
      <c r="AR35">
        <v>20.41423</v>
      </c>
      <c r="AS35">
        <v>266.19060000000002</v>
      </c>
      <c r="AT35">
        <v>1916.653</v>
      </c>
      <c r="AU35">
        <v>8928.3819999999996</v>
      </c>
      <c r="AV35">
        <v>30181.23</v>
      </c>
      <c r="AW35">
        <v>80744.52</v>
      </c>
      <c r="AX35">
        <v>183086</v>
      </c>
      <c r="AY35">
        <v>372382</v>
      </c>
      <c r="AZ35" s="2">
        <v>13.3</v>
      </c>
      <c r="BA35" s="2">
        <v>1.0142519999999999</v>
      </c>
      <c r="BB35" s="2">
        <v>1331100</v>
      </c>
      <c r="BC35" s="2">
        <f t="shared" si="1"/>
        <v>75.550000000000068</v>
      </c>
      <c r="BD35" s="2">
        <v>725.07500000000005</v>
      </c>
      <c r="BE35" s="2">
        <v>4.0380099999999999</v>
      </c>
      <c r="BG35">
        <v>374</v>
      </c>
      <c r="BH35" s="2">
        <f t="shared" si="2"/>
        <v>647.15</v>
      </c>
      <c r="BK35" s="2" t="s">
        <v>103</v>
      </c>
    </row>
    <row r="36" spans="1:63" x14ac:dyDescent="0.3">
      <c r="A36" s="6">
        <v>35</v>
      </c>
      <c r="B36" s="6" t="s">
        <v>104</v>
      </c>
      <c r="C36" s="6" t="s">
        <v>105</v>
      </c>
      <c r="D36" s="6" t="s">
        <v>106</v>
      </c>
      <c r="E36" s="1">
        <v>282.46676000000002</v>
      </c>
      <c r="F36" s="1">
        <v>633</v>
      </c>
      <c r="G36" s="1">
        <v>781</v>
      </c>
      <c r="H36" s="1">
        <v>298.14999999999998</v>
      </c>
      <c r="I36" s="6">
        <f t="shared" si="0"/>
        <v>390.5</v>
      </c>
      <c r="J36">
        <v>0</v>
      </c>
      <c r="K36">
        <v>18</v>
      </c>
      <c r="L36" s="6" t="s">
        <v>702</v>
      </c>
      <c r="M36" s="6">
        <v>1</v>
      </c>
      <c r="N36" s="6">
        <v>14</v>
      </c>
      <c r="O36" s="6">
        <v>0</v>
      </c>
      <c r="P36" s="6">
        <v>1</v>
      </c>
      <c r="Q36" s="6">
        <v>0</v>
      </c>
      <c r="R36" s="6">
        <v>0</v>
      </c>
      <c r="S36" s="6">
        <v>0</v>
      </c>
      <c r="T36" s="6">
        <v>1</v>
      </c>
      <c r="U36" s="6">
        <v>0</v>
      </c>
      <c r="V36" s="6">
        <v>0</v>
      </c>
      <c r="W36" s="6">
        <v>2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>
        <v>286.52999999999997</v>
      </c>
      <c r="AG36">
        <v>332.47109999999998</v>
      </c>
      <c r="AH36">
        <v>378.41219999999998</v>
      </c>
      <c r="AI36">
        <v>424.35329999999999</v>
      </c>
      <c r="AJ36">
        <v>470.2944</v>
      </c>
      <c r="AK36">
        <v>516.23559999999998</v>
      </c>
      <c r="AL36">
        <v>562.17669999999998</v>
      </c>
      <c r="AM36">
        <v>608.11779999999999</v>
      </c>
      <c r="AN36">
        <v>654.05889999999999</v>
      </c>
      <c r="AO36">
        <v>700</v>
      </c>
      <c r="AP36" s="13">
        <v>1.3990300000000001E-5</v>
      </c>
      <c r="AQ36">
        <v>9.16522E-3</v>
      </c>
      <c r="AR36">
        <v>0.94713610000000004</v>
      </c>
      <c r="AS36">
        <v>29.29421</v>
      </c>
      <c r="AT36">
        <v>397.86989999999997</v>
      </c>
      <c r="AU36">
        <v>3024.1750000000002</v>
      </c>
      <c r="AV36">
        <v>15100.41</v>
      </c>
      <c r="AW36">
        <v>55279.99</v>
      </c>
      <c r="AX36">
        <v>160320</v>
      </c>
      <c r="AY36">
        <v>389573</v>
      </c>
      <c r="AZ36" s="2">
        <v>13.9</v>
      </c>
      <c r="BA36" s="2">
        <v>1.0089030000000001</v>
      </c>
      <c r="BB36" s="2">
        <v>1366660</v>
      </c>
      <c r="BC36" s="2">
        <f t="shared" si="1"/>
        <v>69.899999999999977</v>
      </c>
      <c r="BD36" s="2">
        <v>707</v>
      </c>
      <c r="BE36" s="2">
        <v>4.4035000000000002</v>
      </c>
      <c r="BG36">
        <v>359.85</v>
      </c>
      <c r="BH36" s="2">
        <f t="shared" si="2"/>
        <v>633</v>
      </c>
      <c r="BK36" s="2" t="s">
        <v>106</v>
      </c>
    </row>
    <row r="37" spans="1:63" x14ac:dyDescent="0.3">
      <c r="A37" s="6">
        <v>36</v>
      </c>
      <c r="B37" s="6" t="s">
        <v>107</v>
      </c>
      <c r="C37" s="6" t="s">
        <v>108</v>
      </c>
      <c r="D37" s="7" t="s">
        <v>109</v>
      </c>
      <c r="E37" s="1">
        <v>270.49912</v>
      </c>
      <c r="F37" s="1">
        <v>623.6</v>
      </c>
      <c r="G37" s="1">
        <v>789.3</v>
      </c>
      <c r="H37" s="1">
        <v>298.14999999999998</v>
      </c>
      <c r="I37" s="6">
        <f t="shared" si="0"/>
        <v>394.65</v>
      </c>
      <c r="J37">
        <v>0</v>
      </c>
      <c r="K37">
        <v>18</v>
      </c>
      <c r="L37" s="6" t="s">
        <v>703</v>
      </c>
      <c r="M37" s="6">
        <v>1</v>
      </c>
      <c r="N37" s="6">
        <v>17</v>
      </c>
      <c r="O37" s="6">
        <v>0</v>
      </c>
      <c r="P37" s="6">
        <v>0</v>
      </c>
      <c r="Q37" s="6">
        <v>0</v>
      </c>
      <c r="R37" s="6">
        <v>0</v>
      </c>
      <c r="S37" s="6">
        <v>1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>
        <v>331.05</v>
      </c>
      <c r="AG37">
        <v>373.0444</v>
      </c>
      <c r="AH37">
        <v>415.03890000000001</v>
      </c>
      <c r="AI37">
        <v>457.0333</v>
      </c>
      <c r="AJ37">
        <v>499.02780000000001</v>
      </c>
      <c r="AK37">
        <v>541.0222</v>
      </c>
      <c r="AL37">
        <v>583.01670000000001</v>
      </c>
      <c r="AM37">
        <v>625.01110000000006</v>
      </c>
      <c r="AN37">
        <v>667.00559999999996</v>
      </c>
      <c r="AO37">
        <v>709</v>
      </c>
      <c r="AP37">
        <v>2.9117799999999999E-2</v>
      </c>
      <c r="AQ37">
        <v>2.074951</v>
      </c>
      <c r="AR37">
        <v>48.880510000000001</v>
      </c>
      <c r="AS37">
        <v>530.71130000000005</v>
      </c>
      <c r="AT37">
        <v>3303.9250000000002</v>
      </c>
      <c r="AU37">
        <v>13705.24</v>
      </c>
      <c r="AV37">
        <v>42192.97</v>
      </c>
      <c r="AW37">
        <v>104507</v>
      </c>
      <c r="AX37">
        <v>221843</v>
      </c>
      <c r="AY37">
        <v>425089</v>
      </c>
      <c r="AZ37" s="2">
        <v>12.95</v>
      </c>
      <c r="BA37" s="2">
        <v>1.0165630000000001</v>
      </c>
      <c r="BB37" s="2">
        <v>1299670</v>
      </c>
      <c r="BC37" s="2">
        <f t="shared" si="1"/>
        <v>86.769999999999982</v>
      </c>
      <c r="BD37" s="2">
        <v>706.45</v>
      </c>
      <c r="BE37" s="2">
        <v>4.0947639999999996</v>
      </c>
      <c r="BG37">
        <v>350.45</v>
      </c>
      <c r="BH37" s="2">
        <f t="shared" si="2"/>
        <v>623.59999999999991</v>
      </c>
      <c r="BK37" s="17">
        <v>37165</v>
      </c>
    </row>
    <row r="38" spans="1:63" x14ac:dyDescent="0.3">
      <c r="A38" s="6">
        <v>37</v>
      </c>
      <c r="B38" s="6" t="s">
        <v>110</v>
      </c>
      <c r="C38" s="6" t="s">
        <v>111</v>
      </c>
      <c r="D38" s="6" t="s">
        <v>112</v>
      </c>
      <c r="E38" s="1">
        <v>284.52600000000001</v>
      </c>
      <c r="F38" s="1">
        <v>635.1</v>
      </c>
      <c r="G38" s="1">
        <v>798.8</v>
      </c>
      <c r="H38" s="1">
        <v>298.14999999999998</v>
      </c>
      <c r="I38" s="6">
        <f t="shared" si="0"/>
        <v>399.4</v>
      </c>
      <c r="J38">
        <v>0</v>
      </c>
      <c r="K38">
        <v>19</v>
      </c>
      <c r="L38" s="6" t="s">
        <v>704</v>
      </c>
      <c r="M38" s="6">
        <v>1</v>
      </c>
      <c r="N38" s="6">
        <v>18</v>
      </c>
      <c r="O38" s="6">
        <v>0</v>
      </c>
      <c r="P38" s="6">
        <v>0</v>
      </c>
      <c r="Q38" s="6">
        <v>0</v>
      </c>
      <c r="R38" s="6">
        <v>0</v>
      </c>
      <c r="S38" s="6">
        <v>1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>
        <v>334.85</v>
      </c>
      <c r="AG38">
        <v>378.5333</v>
      </c>
      <c r="AH38">
        <v>422.2167</v>
      </c>
      <c r="AI38">
        <v>465.9</v>
      </c>
      <c r="AJ38">
        <v>509.58330000000001</v>
      </c>
      <c r="AK38">
        <v>553.26670000000001</v>
      </c>
      <c r="AL38">
        <v>596.95000000000005</v>
      </c>
      <c r="AM38">
        <v>640.63329999999996</v>
      </c>
      <c r="AN38">
        <v>684.31669999999997</v>
      </c>
      <c r="AO38">
        <v>728</v>
      </c>
      <c r="AP38">
        <v>1.4297799999999999E-2</v>
      </c>
      <c r="AQ38">
        <v>1.395627</v>
      </c>
      <c r="AR38">
        <v>40.034489999999998</v>
      </c>
      <c r="AS38">
        <v>491.46690000000001</v>
      </c>
      <c r="AT38">
        <v>3297.2559999999999</v>
      </c>
      <c r="AU38">
        <v>14284.74</v>
      </c>
      <c r="AV38">
        <v>45014.51</v>
      </c>
      <c r="AW38">
        <v>112765</v>
      </c>
      <c r="AX38">
        <v>240722</v>
      </c>
      <c r="AY38">
        <v>463677</v>
      </c>
      <c r="AZ38" s="2">
        <v>12.2</v>
      </c>
      <c r="BA38" s="2">
        <v>1.0140560000000001</v>
      </c>
      <c r="BB38" s="2">
        <v>1222590</v>
      </c>
      <c r="BC38" s="2">
        <f t="shared" si="1"/>
        <v>83.819999999999936</v>
      </c>
      <c r="BD38" s="2">
        <v>716.95</v>
      </c>
      <c r="BE38" s="2">
        <v>3.9553970000000001</v>
      </c>
      <c r="BG38">
        <v>361.95</v>
      </c>
      <c r="BH38" s="2">
        <f t="shared" si="2"/>
        <v>635.09999999999991</v>
      </c>
      <c r="BK38" s="2" t="s">
        <v>112</v>
      </c>
    </row>
    <row r="39" spans="1:63" x14ac:dyDescent="0.3">
      <c r="A39" s="6">
        <v>38</v>
      </c>
      <c r="B39" s="6" t="s">
        <v>113</v>
      </c>
      <c r="C39" s="6" t="s">
        <v>114</v>
      </c>
      <c r="D39" s="6" t="s">
        <v>115</v>
      </c>
      <c r="E39" s="1">
        <v>298.55288000000002</v>
      </c>
      <c r="F39" s="1">
        <v>645.5</v>
      </c>
      <c r="G39" s="1">
        <v>807.7</v>
      </c>
      <c r="H39" s="1">
        <v>298.14999999999998</v>
      </c>
      <c r="I39" s="6">
        <f t="shared" si="0"/>
        <v>403.85</v>
      </c>
      <c r="J39">
        <v>0</v>
      </c>
      <c r="K39">
        <v>20</v>
      </c>
      <c r="L39" s="6" t="s">
        <v>705</v>
      </c>
      <c r="M39" s="6">
        <v>1</v>
      </c>
      <c r="N39" s="6">
        <v>19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>
        <v>338.55</v>
      </c>
      <c r="AG39">
        <v>381.71109999999999</v>
      </c>
      <c r="AH39">
        <v>424.87220000000002</v>
      </c>
      <c r="AI39">
        <v>468.0333</v>
      </c>
      <c r="AJ39">
        <v>511.19439999999997</v>
      </c>
      <c r="AK39">
        <v>554.35559999999998</v>
      </c>
      <c r="AL39">
        <v>597.51670000000001</v>
      </c>
      <c r="AM39">
        <v>640.67780000000005</v>
      </c>
      <c r="AN39">
        <v>683.83889999999997</v>
      </c>
      <c r="AO39">
        <v>727</v>
      </c>
      <c r="AP39">
        <v>1.24406E-2</v>
      </c>
      <c r="AQ39">
        <v>1.0804199999999999</v>
      </c>
      <c r="AR39">
        <v>29.565619999999999</v>
      </c>
      <c r="AS39">
        <v>360.5136</v>
      </c>
      <c r="AT39">
        <v>2458.3440000000001</v>
      </c>
      <c r="AU39">
        <v>10953.54</v>
      </c>
      <c r="AV39">
        <v>35639.54</v>
      </c>
      <c r="AW39">
        <v>91975.16</v>
      </c>
      <c r="AX39">
        <v>200725</v>
      </c>
      <c r="AY39">
        <v>390203</v>
      </c>
      <c r="AZ39" s="2">
        <v>11.54</v>
      </c>
      <c r="BA39" s="2">
        <v>1.010877</v>
      </c>
      <c r="BB39" s="2">
        <v>1150900</v>
      </c>
      <c r="BC39" s="2">
        <f t="shared" si="1"/>
        <v>81.430000000000064</v>
      </c>
      <c r="BD39" s="2">
        <v>726.6</v>
      </c>
      <c r="BE39" s="2">
        <v>3.879588</v>
      </c>
      <c r="BG39">
        <v>372.35</v>
      </c>
      <c r="BH39" s="2">
        <f t="shared" si="2"/>
        <v>645.5</v>
      </c>
      <c r="BK39" s="2" t="s">
        <v>115</v>
      </c>
    </row>
    <row r="40" spans="1:63" x14ac:dyDescent="0.3">
      <c r="A40" s="6">
        <v>39</v>
      </c>
      <c r="B40" s="6" t="s">
        <v>116</v>
      </c>
      <c r="C40" s="6" t="s">
        <v>117</v>
      </c>
      <c r="D40" s="6" t="s">
        <v>118</v>
      </c>
      <c r="E40" s="1">
        <v>326.60664000000003</v>
      </c>
      <c r="F40" s="1">
        <v>662.9</v>
      </c>
      <c r="G40" s="1">
        <v>824.4</v>
      </c>
      <c r="H40" s="1">
        <v>298.14999999999998</v>
      </c>
      <c r="I40" s="6">
        <f t="shared" si="0"/>
        <v>412.2</v>
      </c>
      <c r="J40">
        <v>0</v>
      </c>
      <c r="K40">
        <v>22</v>
      </c>
      <c r="L40" s="6" t="s">
        <v>706</v>
      </c>
      <c r="M40" s="6">
        <v>1</v>
      </c>
      <c r="N40" s="6">
        <v>21</v>
      </c>
      <c r="O40" s="6">
        <v>0</v>
      </c>
      <c r="P40" s="6">
        <v>0</v>
      </c>
      <c r="Q40" s="6">
        <v>0</v>
      </c>
      <c r="R40" s="6">
        <v>0</v>
      </c>
      <c r="S40" s="6">
        <v>1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>
        <v>343.92</v>
      </c>
      <c r="AG40">
        <v>390.59559999999999</v>
      </c>
      <c r="AH40">
        <v>437.27109999999999</v>
      </c>
      <c r="AI40">
        <v>483.94670000000002</v>
      </c>
      <c r="AJ40">
        <v>530.62220000000002</v>
      </c>
      <c r="AK40">
        <v>577.29780000000005</v>
      </c>
      <c r="AL40">
        <v>623.97329999999999</v>
      </c>
      <c r="AM40">
        <v>670.64890000000003</v>
      </c>
      <c r="AN40">
        <v>717.32439999999997</v>
      </c>
      <c r="AO40">
        <v>764</v>
      </c>
      <c r="AP40">
        <v>5.4572700000000002E-3</v>
      </c>
      <c r="AQ40">
        <v>0.71811499999999995</v>
      </c>
      <c r="AR40">
        <v>25.442360000000001</v>
      </c>
      <c r="AS40">
        <v>365.4787</v>
      </c>
      <c r="AT40">
        <v>2766.6190000000001</v>
      </c>
      <c r="AU40">
        <v>13160.43</v>
      </c>
      <c r="AV40">
        <v>44505.72</v>
      </c>
      <c r="AW40">
        <v>117095</v>
      </c>
      <c r="AX40">
        <v>256726</v>
      </c>
      <c r="AY40">
        <v>495430</v>
      </c>
      <c r="AZ40" s="2">
        <v>10.35</v>
      </c>
      <c r="BA40" s="2">
        <v>1.011549</v>
      </c>
      <c r="BB40" s="2">
        <v>1033330</v>
      </c>
      <c r="BC40" s="2">
        <f t="shared" si="1"/>
        <v>79.060000000000059</v>
      </c>
      <c r="BD40" s="2">
        <v>743.65</v>
      </c>
      <c r="BE40" s="2">
        <v>3.7668080000000002</v>
      </c>
      <c r="BG40">
        <v>389.75</v>
      </c>
      <c r="BH40" s="2">
        <f t="shared" si="2"/>
        <v>662.9</v>
      </c>
      <c r="BK40" s="2" t="s">
        <v>118</v>
      </c>
    </row>
    <row r="41" spans="1:63" x14ac:dyDescent="0.3">
      <c r="A41" s="6">
        <v>40</v>
      </c>
      <c r="B41" s="6" t="s">
        <v>119</v>
      </c>
      <c r="C41" s="6" t="s">
        <v>120</v>
      </c>
      <c r="D41" s="6" t="s">
        <v>121</v>
      </c>
      <c r="E41" s="1">
        <v>142.28468000000001</v>
      </c>
      <c r="F41" s="1">
        <v>447.27</v>
      </c>
      <c r="G41" s="1">
        <v>617.70000000000005</v>
      </c>
      <c r="H41" s="1">
        <v>298.14999999999998</v>
      </c>
      <c r="I41" s="6">
        <f t="shared" si="0"/>
        <v>308.85000000000002</v>
      </c>
      <c r="J41">
        <v>0</v>
      </c>
      <c r="K41">
        <v>10</v>
      </c>
      <c r="L41" s="6" t="s">
        <v>707</v>
      </c>
      <c r="M41" s="6">
        <v>2</v>
      </c>
      <c r="N41" s="6">
        <v>8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>
        <v>243.51</v>
      </c>
      <c r="AG41">
        <v>278.34219999999999</v>
      </c>
      <c r="AH41">
        <v>313.17439999999999</v>
      </c>
      <c r="AI41">
        <v>348.00670000000002</v>
      </c>
      <c r="AJ41">
        <v>382.83890000000002</v>
      </c>
      <c r="AK41">
        <v>417.67110000000002</v>
      </c>
      <c r="AL41">
        <v>452.50330000000002</v>
      </c>
      <c r="AM41">
        <v>487.3356</v>
      </c>
      <c r="AN41">
        <v>522.16780000000006</v>
      </c>
      <c r="AO41">
        <v>557</v>
      </c>
      <c r="AP41">
        <v>1.39297</v>
      </c>
      <c r="AQ41">
        <v>40.471910000000001</v>
      </c>
      <c r="AR41">
        <v>483.76150000000001</v>
      </c>
      <c r="AS41">
        <v>3180.7159999999999</v>
      </c>
      <c r="AT41">
        <v>13791.07</v>
      </c>
      <c r="AU41">
        <v>44397.34</v>
      </c>
      <c r="AV41">
        <v>115020</v>
      </c>
      <c r="AW41">
        <v>253706</v>
      </c>
      <c r="AX41">
        <v>496171</v>
      </c>
      <c r="AY41">
        <v>886356</v>
      </c>
      <c r="AZ41" s="2">
        <v>21.1</v>
      </c>
      <c r="BA41" s="2">
        <v>1.008383</v>
      </c>
      <c r="BB41" s="2">
        <v>2090800</v>
      </c>
      <c r="BC41" s="2">
        <f t="shared" si="1"/>
        <v>108.66000000000008</v>
      </c>
      <c r="BD41" s="2">
        <v>532.48500000000001</v>
      </c>
      <c r="BE41" s="2">
        <v>5.9412320000000003</v>
      </c>
      <c r="BG41">
        <v>174.12</v>
      </c>
      <c r="BH41" s="2">
        <f t="shared" si="2"/>
        <v>447.27</v>
      </c>
      <c r="BK41" s="2" t="s">
        <v>121</v>
      </c>
    </row>
    <row r="42" spans="1:63" x14ac:dyDescent="0.3">
      <c r="A42" s="6">
        <v>41</v>
      </c>
      <c r="B42" s="6" t="s">
        <v>122</v>
      </c>
      <c r="C42" s="6" t="s">
        <v>123</v>
      </c>
      <c r="D42" s="6" t="s">
        <v>124</v>
      </c>
      <c r="E42" s="1">
        <v>92.140519999999995</v>
      </c>
      <c r="F42" s="1">
        <v>383.78</v>
      </c>
      <c r="G42" s="1">
        <v>591.75</v>
      </c>
      <c r="H42" s="1">
        <v>298.14999999999998</v>
      </c>
      <c r="I42" s="6">
        <f t="shared" si="0"/>
        <v>295.875</v>
      </c>
      <c r="J42">
        <v>0</v>
      </c>
      <c r="K42">
        <v>7</v>
      </c>
      <c r="L42" s="6" t="s">
        <v>708</v>
      </c>
      <c r="M42" s="6">
        <v>0</v>
      </c>
      <c r="N42" s="6">
        <v>0</v>
      </c>
      <c r="O42" s="6">
        <v>0</v>
      </c>
      <c r="P42" s="6">
        <v>0</v>
      </c>
      <c r="Q42" s="6">
        <v>5</v>
      </c>
      <c r="R42" s="6">
        <v>1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>
        <v>178.18</v>
      </c>
      <c r="AG42">
        <v>215.16</v>
      </c>
      <c r="AH42">
        <v>252.14</v>
      </c>
      <c r="AI42">
        <v>289.12</v>
      </c>
      <c r="AJ42">
        <v>326.10000000000002</v>
      </c>
      <c r="AK42">
        <v>363.08</v>
      </c>
      <c r="AL42">
        <v>400.06</v>
      </c>
      <c r="AM42">
        <v>437.04</v>
      </c>
      <c r="AN42">
        <v>474.02</v>
      </c>
      <c r="AO42">
        <v>511</v>
      </c>
      <c r="AP42">
        <v>4.7528399999999998E-2</v>
      </c>
      <c r="AQ42">
        <v>7.2411820000000002</v>
      </c>
      <c r="AR42">
        <v>213.06190000000001</v>
      </c>
      <c r="AS42">
        <v>2350.143</v>
      </c>
      <c r="AT42">
        <v>13877.43</v>
      </c>
      <c r="AU42">
        <v>53985.75</v>
      </c>
      <c r="AV42">
        <v>157335</v>
      </c>
      <c r="AW42">
        <v>373448</v>
      </c>
      <c r="AX42">
        <v>763841</v>
      </c>
      <c r="AY42">
        <v>1400380</v>
      </c>
      <c r="AZ42" s="2">
        <v>41.08</v>
      </c>
      <c r="BA42" s="2">
        <v>1.01183</v>
      </c>
      <c r="BB42" s="2">
        <v>4079690</v>
      </c>
      <c r="BC42" s="2">
        <f t="shared" si="1"/>
        <v>148.79500000000007</v>
      </c>
      <c r="BD42" s="2">
        <v>487.76499999999999</v>
      </c>
      <c r="BE42" s="2">
        <v>9.6751319999999996</v>
      </c>
      <c r="BG42">
        <v>110.63</v>
      </c>
      <c r="BH42" s="2">
        <f t="shared" si="2"/>
        <v>383.78</v>
      </c>
      <c r="BK42" s="2" t="s">
        <v>124</v>
      </c>
    </row>
    <row r="43" spans="1:63" x14ac:dyDescent="0.3">
      <c r="A43" s="6">
        <v>42</v>
      </c>
      <c r="B43" s="6" t="s">
        <v>125</v>
      </c>
      <c r="C43" s="6" t="s">
        <v>126</v>
      </c>
      <c r="D43" s="6" t="s">
        <v>127</v>
      </c>
      <c r="E43" s="1">
        <v>102.17655999999999</v>
      </c>
      <c r="F43" s="1">
        <v>429.9</v>
      </c>
      <c r="G43" s="1">
        <v>611.29999999999995</v>
      </c>
      <c r="H43" s="1">
        <v>298.14999999999998</v>
      </c>
      <c r="I43" s="6">
        <f t="shared" si="0"/>
        <v>305.64999999999998</v>
      </c>
      <c r="J43">
        <v>0</v>
      </c>
      <c r="K43">
        <v>6</v>
      </c>
      <c r="L43" s="6" t="s">
        <v>709</v>
      </c>
      <c r="M43" s="6">
        <v>1</v>
      </c>
      <c r="N43" s="6">
        <v>5</v>
      </c>
      <c r="O43" s="6">
        <v>0</v>
      </c>
      <c r="P43" s="6">
        <v>0</v>
      </c>
      <c r="Q43" s="6">
        <v>0</v>
      </c>
      <c r="R43" s="6">
        <v>0</v>
      </c>
      <c r="S43" s="6">
        <v>1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>
        <v>228.55</v>
      </c>
      <c r="AG43">
        <v>262.15559999999999</v>
      </c>
      <c r="AH43">
        <v>295.7611</v>
      </c>
      <c r="AI43">
        <v>329.36669999999998</v>
      </c>
      <c r="AJ43">
        <v>362.97219999999999</v>
      </c>
      <c r="AK43">
        <v>396.57780000000002</v>
      </c>
      <c r="AL43">
        <v>430.18329999999997</v>
      </c>
      <c r="AM43">
        <v>463.78890000000001</v>
      </c>
      <c r="AN43">
        <v>497.39440000000002</v>
      </c>
      <c r="AO43">
        <v>531</v>
      </c>
      <c r="AP43">
        <v>2.24694E-2</v>
      </c>
      <c r="AQ43">
        <v>2.5616599999999998</v>
      </c>
      <c r="AR43">
        <v>79.314719999999994</v>
      </c>
      <c r="AS43">
        <v>1019.58</v>
      </c>
      <c r="AT43">
        <v>7084.5619999999999</v>
      </c>
      <c r="AU43">
        <v>31627.09</v>
      </c>
      <c r="AV43">
        <v>102105</v>
      </c>
      <c r="AW43">
        <v>259390</v>
      </c>
      <c r="AX43">
        <v>552147</v>
      </c>
      <c r="AY43">
        <v>1033970</v>
      </c>
      <c r="AZ43" s="2">
        <v>34.46</v>
      </c>
      <c r="BA43" s="2">
        <v>1.012122</v>
      </c>
      <c r="BB43" s="2">
        <v>3441170</v>
      </c>
      <c r="BC43" s="2">
        <f t="shared" si="1"/>
        <v>120.26999999999998</v>
      </c>
      <c r="BD43" s="2">
        <v>520.59999999999991</v>
      </c>
      <c r="BE43" s="2">
        <v>8.6107669999999992</v>
      </c>
      <c r="BG43">
        <v>156.75</v>
      </c>
      <c r="BH43" s="2">
        <f t="shared" si="2"/>
        <v>429.9</v>
      </c>
      <c r="BK43" s="2" t="s">
        <v>127</v>
      </c>
    </row>
    <row r="44" spans="1:63" x14ac:dyDescent="0.3">
      <c r="A44" s="6">
        <v>43</v>
      </c>
      <c r="B44" s="6" t="s">
        <v>128</v>
      </c>
      <c r="C44" s="6" t="s">
        <v>129</v>
      </c>
      <c r="D44" s="6" t="s">
        <v>130</v>
      </c>
      <c r="E44" s="1">
        <v>116.20344</v>
      </c>
      <c r="F44" s="1">
        <v>448.6</v>
      </c>
      <c r="G44" s="1">
        <v>632.29999999999995</v>
      </c>
      <c r="H44" s="1">
        <v>298.14999999999998</v>
      </c>
      <c r="I44" s="6">
        <f t="shared" si="0"/>
        <v>316.14999999999998</v>
      </c>
      <c r="J44">
        <v>0</v>
      </c>
      <c r="K44">
        <v>7</v>
      </c>
      <c r="L44" s="6" t="s">
        <v>710</v>
      </c>
      <c r="M44" s="6">
        <v>1</v>
      </c>
      <c r="N44" s="6">
        <v>6</v>
      </c>
      <c r="O44" s="6">
        <v>0</v>
      </c>
      <c r="P44" s="6">
        <v>0</v>
      </c>
      <c r="Q44" s="6">
        <v>0</v>
      </c>
      <c r="R44" s="6">
        <v>0</v>
      </c>
      <c r="S44" s="6">
        <v>1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>
        <v>239.15</v>
      </c>
      <c r="AG44">
        <v>275.0222</v>
      </c>
      <c r="AH44">
        <v>310.89440000000002</v>
      </c>
      <c r="AI44">
        <v>346.76670000000001</v>
      </c>
      <c r="AJ44">
        <v>382.63889999999998</v>
      </c>
      <c r="AK44">
        <v>418.5111</v>
      </c>
      <c r="AL44">
        <v>454.38330000000002</v>
      </c>
      <c r="AM44">
        <v>490.25560000000002</v>
      </c>
      <c r="AN44">
        <v>526.12779999999998</v>
      </c>
      <c r="AO44">
        <v>562</v>
      </c>
      <c r="AP44">
        <v>1.9455799999999999E-2</v>
      </c>
      <c r="AQ44">
        <v>2.670687</v>
      </c>
      <c r="AR44">
        <v>90.896109999999993</v>
      </c>
      <c r="AS44">
        <v>1217.9559999999999</v>
      </c>
      <c r="AT44">
        <v>8544.8430000000008</v>
      </c>
      <c r="AU44">
        <v>37788.11</v>
      </c>
      <c r="AV44">
        <v>119558</v>
      </c>
      <c r="AW44">
        <v>296204</v>
      </c>
      <c r="AX44">
        <v>614650</v>
      </c>
      <c r="AY44">
        <v>1125940</v>
      </c>
      <c r="AZ44" s="2">
        <v>30.85</v>
      </c>
      <c r="BA44" s="2">
        <v>1.0115700000000001</v>
      </c>
      <c r="BB44" s="2">
        <v>3013000</v>
      </c>
      <c r="BC44" s="2">
        <f t="shared" si="1"/>
        <v>120.46999999999991</v>
      </c>
      <c r="BD44" s="2">
        <v>540.45000000000005</v>
      </c>
      <c r="BE44" s="2">
        <v>7.9243050000000004</v>
      </c>
      <c r="BG44">
        <v>175.45</v>
      </c>
      <c r="BH44" s="2">
        <f t="shared" si="2"/>
        <v>448.59999999999997</v>
      </c>
      <c r="BK44" s="2" t="s">
        <v>130</v>
      </c>
    </row>
    <row r="45" spans="1:63" x14ac:dyDescent="0.3">
      <c r="A45" s="6">
        <v>44</v>
      </c>
      <c r="B45" s="6" t="s">
        <v>131</v>
      </c>
      <c r="C45" s="6" t="s">
        <v>132</v>
      </c>
      <c r="D45" s="7" t="s">
        <v>133</v>
      </c>
      <c r="E45" s="1">
        <v>130.23032000000001</v>
      </c>
      <c r="F45" s="1">
        <v>467.1</v>
      </c>
      <c r="G45" s="1">
        <v>652.29999999999995</v>
      </c>
      <c r="H45" s="1">
        <v>298.14999999999998</v>
      </c>
      <c r="I45" s="6">
        <f t="shared" si="0"/>
        <v>326.14999999999998</v>
      </c>
      <c r="J45">
        <v>0</v>
      </c>
      <c r="K45">
        <v>8</v>
      </c>
      <c r="L45" s="6" t="s">
        <v>711</v>
      </c>
      <c r="M45" s="6">
        <v>1</v>
      </c>
      <c r="N45" s="6">
        <v>7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>
        <v>257.64999999999998</v>
      </c>
      <c r="AG45">
        <v>293.68889999999999</v>
      </c>
      <c r="AH45">
        <v>329.7278</v>
      </c>
      <c r="AI45">
        <v>365.76670000000001</v>
      </c>
      <c r="AJ45">
        <v>401.80560000000003</v>
      </c>
      <c r="AK45">
        <v>437.84440000000001</v>
      </c>
      <c r="AL45">
        <v>473.88330000000002</v>
      </c>
      <c r="AM45">
        <v>509.92219999999998</v>
      </c>
      <c r="AN45">
        <v>545.96109999999999</v>
      </c>
      <c r="AO45">
        <v>582</v>
      </c>
      <c r="AP45">
        <v>9.6005900000000005E-2</v>
      </c>
      <c r="AQ45">
        <v>7.1440039999999998</v>
      </c>
      <c r="AR45">
        <v>165.84370000000001</v>
      </c>
      <c r="AS45">
        <v>1737.32</v>
      </c>
      <c r="AT45">
        <v>10376.4</v>
      </c>
      <c r="AU45">
        <v>41285.75</v>
      </c>
      <c r="AV45">
        <v>121943</v>
      </c>
      <c r="AW45">
        <v>289211</v>
      </c>
      <c r="AX45">
        <v>584476</v>
      </c>
      <c r="AY45">
        <v>1054910</v>
      </c>
      <c r="AZ45" s="2">
        <v>27.83</v>
      </c>
      <c r="BA45" s="2">
        <v>1.01345</v>
      </c>
      <c r="BB45" s="2">
        <v>2781680</v>
      </c>
      <c r="BC45" s="2">
        <f t="shared" si="1"/>
        <v>119.96999999999991</v>
      </c>
      <c r="BD45" s="2">
        <v>559.70000000000005</v>
      </c>
      <c r="BE45" s="2">
        <v>7.4018940000000004</v>
      </c>
      <c r="BG45">
        <v>193.95</v>
      </c>
      <c r="BH45" s="2">
        <f t="shared" si="2"/>
        <v>467.09999999999997</v>
      </c>
      <c r="BK45" s="17">
        <v>37530</v>
      </c>
    </row>
    <row r="46" spans="1:63" x14ac:dyDescent="0.3">
      <c r="A46" s="6">
        <v>45</v>
      </c>
      <c r="B46" s="6" t="s">
        <v>134</v>
      </c>
      <c r="C46" s="6" t="s">
        <v>135</v>
      </c>
      <c r="D46" s="7" t="s">
        <v>136</v>
      </c>
      <c r="E46" s="1">
        <v>158.28407999999999</v>
      </c>
      <c r="F46" s="1">
        <v>503</v>
      </c>
      <c r="G46" s="1">
        <v>688</v>
      </c>
      <c r="H46" s="1">
        <v>298.14999999999998</v>
      </c>
      <c r="I46" s="6">
        <f t="shared" si="0"/>
        <v>344</v>
      </c>
      <c r="J46">
        <v>0</v>
      </c>
      <c r="K46">
        <v>10</v>
      </c>
      <c r="L46" s="6" t="s">
        <v>712</v>
      </c>
      <c r="M46" s="6">
        <v>1</v>
      </c>
      <c r="N46" s="6">
        <v>9</v>
      </c>
      <c r="O46" s="6">
        <v>0</v>
      </c>
      <c r="P46" s="6">
        <v>0</v>
      </c>
      <c r="Q46" s="6">
        <v>0</v>
      </c>
      <c r="R46" s="6">
        <v>0</v>
      </c>
      <c r="S46" s="6">
        <v>1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>
        <v>280.05</v>
      </c>
      <c r="AG46">
        <v>316.4889</v>
      </c>
      <c r="AH46">
        <v>352.92779999999999</v>
      </c>
      <c r="AI46">
        <v>389.36669999999998</v>
      </c>
      <c r="AJ46">
        <v>425.80560000000003</v>
      </c>
      <c r="AK46">
        <v>462.24439999999998</v>
      </c>
      <c r="AL46">
        <v>498.68329999999997</v>
      </c>
      <c r="AM46">
        <v>535.12220000000002</v>
      </c>
      <c r="AN46">
        <v>571.56110000000001</v>
      </c>
      <c r="AO46">
        <v>608</v>
      </c>
      <c r="AP46">
        <v>0.15055540000000001</v>
      </c>
      <c r="AQ46">
        <v>8.2596950000000007</v>
      </c>
      <c r="AR46">
        <v>159.8261</v>
      </c>
      <c r="AS46">
        <v>1496.23</v>
      </c>
      <c r="AT46">
        <v>8323.6820000000007</v>
      </c>
      <c r="AU46">
        <v>31651.34</v>
      </c>
      <c r="AV46">
        <v>90857.71</v>
      </c>
      <c r="AW46">
        <v>211877</v>
      </c>
      <c r="AX46">
        <v>424702</v>
      </c>
      <c r="AY46">
        <v>765749</v>
      </c>
      <c r="AZ46" s="2">
        <v>23.08</v>
      </c>
      <c r="BA46" s="2">
        <v>1.014151</v>
      </c>
      <c r="BB46" s="2">
        <v>2309500</v>
      </c>
      <c r="BC46" s="2">
        <f t="shared" si="1"/>
        <v>116.20000000000005</v>
      </c>
      <c r="BD46" s="2">
        <v>595.5</v>
      </c>
      <c r="BE46" s="2">
        <v>6.3148960000000001</v>
      </c>
      <c r="BG46">
        <v>229.85</v>
      </c>
      <c r="BH46" s="2">
        <f t="shared" si="2"/>
        <v>503</v>
      </c>
      <c r="BK46" s="17">
        <v>37226</v>
      </c>
    </row>
    <row r="47" spans="1:63" x14ac:dyDescent="0.3">
      <c r="A47" s="6">
        <v>46</v>
      </c>
      <c r="B47" s="6" t="s">
        <v>137</v>
      </c>
      <c r="C47" s="6" t="s">
        <v>138</v>
      </c>
      <c r="D47" s="6" t="s">
        <v>139</v>
      </c>
      <c r="E47" s="1">
        <v>186.33784</v>
      </c>
      <c r="F47" s="1">
        <v>537.1</v>
      </c>
      <c r="G47" s="1">
        <v>718.7</v>
      </c>
      <c r="H47" s="1">
        <v>298.14999999999998</v>
      </c>
      <c r="I47" s="6">
        <f t="shared" si="0"/>
        <v>359.35</v>
      </c>
      <c r="J47">
        <v>0</v>
      </c>
      <c r="K47">
        <v>12</v>
      </c>
      <c r="L47" s="6" t="s">
        <v>713</v>
      </c>
      <c r="M47" s="6">
        <v>1</v>
      </c>
      <c r="N47" s="6">
        <v>11</v>
      </c>
      <c r="O47" s="6">
        <v>0</v>
      </c>
      <c r="P47" s="6">
        <v>0</v>
      </c>
      <c r="Q47" s="6">
        <v>0</v>
      </c>
      <c r="R47" s="6">
        <v>0</v>
      </c>
      <c r="S47" s="6">
        <v>1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>
        <v>296.95</v>
      </c>
      <c r="AG47">
        <v>335.9556</v>
      </c>
      <c r="AH47">
        <v>374.96109999999999</v>
      </c>
      <c r="AI47">
        <v>413.9667</v>
      </c>
      <c r="AJ47">
        <v>452.97219999999999</v>
      </c>
      <c r="AK47">
        <v>491.9778</v>
      </c>
      <c r="AL47">
        <v>530.98329999999999</v>
      </c>
      <c r="AM47">
        <v>569.98889999999994</v>
      </c>
      <c r="AN47">
        <v>608.99440000000004</v>
      </c>
      <c r="AO47">
        <v>648</v>
      </c>
      <c r="AP47">
        <v>0.1026975</v>
      </c>
      <c r="AQ47">
        <v>7.0043160000000002</v>
      </c>
      <c r="AR47">
        <v>151.98920000000001</v>
      </c>
      <c r="AS47">
        <v>1495.683</v>
      </c>
      <c r="AT47">
        <v>8402.1830000000009</v>
      </c>
      <c r="AU47">
        <v>31521.09</v>
      </c>
      <c r="AV47">
        <v>88329.91</v>
      </c>
      <c r="AW47">
        <v>201051</v>
      </c>
      <c r="AX47">
        <v>397026</v>
      </c>
      <c r="AY47">
        <v>718417</v>
      </c>
      <c r="AZ47" s="2">
        <v>19.54</v>
      </c>
      <c r="BA47" s="2">
        <v>1.0169250000000001</v>
      </c>
      <c r="BB47" s="2">
        <v>1962290</v>
      </c>
      <c r="BC47" s="2">
        <f t="shared" si="1"/>
        <v>109.73000000000002</v>
      </c>
      <c r="BD47" s="2">
        <v>627.90000000000009</v>
      </c>
      <c r="BE47" s="2">
        <v>5.3340649999999998</v>
      </c>
      <c r="BG47">
        <v>263.95</v>
      </c>
      <c r="BH47" s="2">
        <f t="shared" si="2"/>
        <v>537.09999999999991</v>
      </c>
      <c r="BK47" s="2" t="s">
        <v>139</v>
      </c>
    </row>
    <row r="48" spans="1:63" x14ac:dyDescent="0.3">
      <c r="A48" s="6">
        <v>47</v>
      </c>
      <c r="B48" s="6" t="s">
        <v>140</v>
      </c>
      <c r="C48" s="6" t="s">
        <v>141</v>
      </c>
      <c r="D48" s="6" t="s">
        <v>142</v>
      </c>
      <c r="E48" s="1">
        <v>200.36472000000001</v>
      </c>
      <c r="F48" s="1">
        <v>553.4</v>
      </c>
      <c r="G48" s="1">
        <v>732.4</v>
      </c>
      <c r="H48" s="1">
        <v>298.14999999999998</v>
      </c>
      <c r="I48" s="6">
        <f t="shared" si="0"/>
        <v>366.2</v>
      </c>
      <c r="J48">
        <v>0</v>
      </c>
      <c r="K48">
        <v>13</v>
      </c>
      <c r="L48" s="6" t="s">
        <v>714</v>
      </c>
      <c r="M48" s="6">
        <v>1</v>
      </c>
      <c r="N48" s="6">
        <v>12</v>
      </c>
      <c r="O48" s="6">
        <v>0</v>
      </c>
      <c r="P48" s="6">
        <v>0</v>
      </c>
      <c r="Q48" s="6">
        <v>0</v>
      </c>
      <c r="R48" s="6">
        <v>0</v>
      </c>
      <c r="S48" s="6">
        <v>1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>
        <v>303.75</v>
      </c>
      <c r="AG48">
        <v>343.55560000000003</v>
      </c>
      <c r="AH48">
        <v>383.36110000000002</v>
      </c>
      <c r="AI48">
        <v>423.16669999999999</v>
      </c>
      <c r="AJ48">
        <v>462.97219999999999</v>
      </c>
      <c r="AK48">
        <v>502.77780000000001</v>
      </c>
      <c r="AL48">
        <v>542.58330000000001</v>
      </c>
      <c r="AM48">
        <v>582.38890000000004</v>
      </c>
      <c r="AN48">
        <v>622.19439999999997</v>
      </c>
      <c r="AO48">
        <v>662</v>
      </c>
      <c r="AP48">
        <v>0.102835</v>
      </c>
      <c r="AQ48">
        <v>6.5399580000000004</v>
      </c>
      <c r="AR48">
        <v>136.79499999999999</v>
      </c>
      <c r="AS48">
        <v>1325.482</v>
      </c>
      <c r="AT48">
        <v>7433.0280000000002</v>
      </c>
      <c r="AU48">
        <v>28079.57</v>
      </c>
      <c r="AV48">
        <v>79638.81</v>
      </c>
      <c r="AW48">
        <v>183890</v>
      </c>
      <c r="AX48">
        <v>368392</v>
      </c>
      <c r="AY48">
        <v>674844</v>
      </c>
      <c r="AZ48" s="2">
        <v>18.100000000000001</v>
      </c>
      <c r="BA48" s="2">
        <v>1.0173049999999999</v>
      </c>
      <c r="BB48" s="2">
        <v>1816730</v>
      </c>
      <c r="BC48" s="2">
        <f t="shared" si="1"/>
        <v>105.75999999999999</v>
      </c>
      <c r="BD48" s="2">
        <v>642.9</v>
      </c>
      <c r="BE48" s="2">
        <v>5.0885990000000003</v>
      </c>
      <c r="BG48">
        <v>280.25</v>
      </c>
      <c r="BH48" s="2">
        <f t="shared" si="2"/>
        <v>553.4</v>
      </c>
      <c r="BK48" s="2" t="s">
        <v>142</v>
      </c>
    </row>
    <row r="49" spans="1:63" x14ac:dyDescent="0.3">
      <c r="A49" s="6">
        <v>48</v>
      </c>
      <c r="B49" s="6" t="s">
        <v>143</v>
      </c>
      <c r="C49" s="6" t="s">
        <v>144</v>
      </c>
      <c r="D49" s="6" t="s">
        <v>145</v>
      </c>
      <c r="E49" s="1">
        <v>228.41847999999999</v>
      </c>
      <c r="F49" s="1">
        <v>583.9</v>
      </c>
      <c r="G49" s="1">
        <v>757.3</v>
      </c>
      <c r="H49" s="1">
        <v>298.14999999999998</v>
      </c>
      <c r="I49" s="6">
        <f t="shared" si="0"/>
        <v>378.65</v>
      </c>
      <c r="J49">
        <v>0</v>
      </c>
      <c r="K49">
        <v>15</v>
      </c>
      <c r="L49" s="6" t="s">
        <v>715</v>
      </c>
      <c r="M49" s="6">
        <v>1</v>
      </c>
      <c r="N49" s="6">
        <v>14</v>
      </c>
      <c r="O49" s="6">
        <v>0</v>
      </c>
      <c r="P49" s="6">
        <v>0</v>
      </c>
      <c r="Q49" s="6">
        <v>0</v>
      </c>
      <c r="R49" s="6">
        <v>0</v>
      </c>
      <c r="S49" s="6">
        <v>1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>
        <v>317.05</v>
      </c>
      <c r="AG49">
        <v>358.15559999999999</v>
      </c>
      <c r="AH49">
        <v>399.2611</v>
      </c>
      <c r="AI49">
        <v>440.36669999999998</v>
      </c>
      <c r="AJ49">
        <v>481.47219999999999</v>
      </c>
      <c r="AK49">
        <v>522.57780000000002</v>
      </c>
      <c r="AL49">
        <v>563.68330000000003</v>
      </c>
      <c r="AM49">
        <v>604.78890000000001</v>
      </c>
      <c r="AN49">
        <v>645.89440000000002</v>
      </c>
      <c r="AO49">
        <v>687</v>
      </c>
      <c r="AP49">
        <v>6.8152400000000002E-2</v>
      </c>
      <c r="AQ49">
        <v>4.5800020000000004</v>
      </c>
      <c r="AR49">
        <v>100.271</v>
      </c>
      <c r="AS49">
        <v>1008.237</v>
      </c>
      <c r="AT49">
        <v>5825.9949999999999</v>
      </c>
      <c r="AU49">
        <v>22554.98</v>
      </c>
      <c r="AV49">
        <v>65302.29</v>
      </c>
      <c r="AW49">
        <v>153552</v>
      </c>
      <c r="AX49">
        <v>312928</v>
      </c>
      <c r="AY49">
        <v>583349</v>
      </c>
      <c r="AZ49" s="2">
        <v>15.69</v>
      </c>
      <c r="BA49" s="2">
        <v>1.0161389999999999</v>
      </c>
      <c r="BB49" s="2">
        <v>1573230</v>
      </c>
      <c r="BC49" s="2">
        <f t="shared" si="1"/>
        <v>97.669999999999959</v>
      </c>
      <c r="BD49" s="2">
        <v>670.59999999999991</v>
      </c>
      <c r="BE49" s="2">
        <v>4.5845130000000003</v>
      </c>
      <c r="BG49">
        <v>310.75</v>
      </c>
      <c r="BH49" s="2">
        <f t="shared" si="2"/>
        <v>583.9</v>
      </c>
      <c r="BK49" s="2" t="s">
        <v>145</v>
      </c>
    </row>
    <row r="50" spans="1:63" x14ac:dyDescent="0.3">
      <c r="A50" s="6">
        <v>49</v>
      </c>
      <c r="B50" s="6" t="s">
        <v>146</v>
      </c>
      <c r="C50" s="6" t="s">
        <v>147</v>
      </c>
      <c r="D50" s="6" t="s">
        <v>148</v>
      </c>
      <c r="E50" s="1">
        <v>256.47224</v>
      </c>
      <c r="F50" s="1">
        <v>611.29999999999995</v>
      </c>
      <c r="G50" s="1">
        <v>779.2</v>
      </c>
      <c r="H50" s="1">
        <v>298.14999999999998</v>
      </c>
      <c r="I50" s="6">
        <f t="shared" si="0"/>
        <v>389.6</v>
      </c>
      <c r="J50">
        <v>0</v>
      </c>
      <c r="K50">
        <v>17</v>
      </c>
      <c r="L50" s="6" t="s">
        <v>716</v>
      </c>
      <c r="M50" s="6">
        <v>1</v>
      </c>
      <c r="N50" s="6">
        <v>16</v>
      </c>
      <c r="O50" s="6">
        <v>0</v>
      </c>
      <c r="P50" s="6">
        <v>0</v>
      </c>
      <c r="Q50" s="6">
        <v>0</v>
      </c>
      <c r="R50" s="6">
        <v>0</v>
      </c>
      <c r="S50" s="6">
        <v>1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>
        <v>327.05</v>
      </c>
      <c r="AG50">
        <v>370.6</v>
      </c>
      <c r="AH50">
        <v>414.15</v>
      </c>
      <c r="AI50">
        <v>457.7</v>
      </c>
      <c r="AJ50">
        <v>501.25</v>
      </c>
      <c r="AK50">
        <v>544.79999999999995</v>
      </c>
      <c r="AL50">
        <v>588.35</v>
      </c>
      <c r="AM50">
        <v>631.9</v>
      </c>
      <c r="AN50">
        <v>675.45</v>
      </c>
      <c r="AO50">
        <v>719</v>
      </c>
      <c r="AP50">
        <v>4.7180300000000001E-2</v>
      </c>
      <c r="AQ50">
        <v>3.4761829999999998</v>
      </c>
      <c r="AR50">
        <v>81.165649999999999</v>
      </c>
      <c r="AS50">
        <v>857.82749999999999</v>
      </c>
      <c r="AT50">
        <v>5167.7259999999997</v>
      </c>
      <c r="AU50">
        <v>20752.5</v>
      </c>
      <c r="AV50">
        <v>62099.22</v>
      </c>
      <c r="AW50">
        <v>150453</v>
      </c>
      <c r="AX50">
        <v>314947</v>
      </c>
      <c r="AY50">
        <v>601011</v>
      </c>
      <c r="AZ50" s="2">
        <v>13.77</v>
      </c>
      <c r="BA50" s="2">
        <v>1.0118309999999999</v>
      </c>
      <c r="BB50" s="2">
        <v>1374000</v>
      </c>
      <c r="BC50" s="2">
        <f t="shared" si="1"/>
        <v>89.980000000000132</v>
      </c>
      <c r="BD50" s="2">
        <v>695.25</v>
      </c>
      <c r="BE50" s="2">
        <v>4.2613159999999999</v>
      </c>
      <c r="BG50">
        <v>338.15</v>
      </c>
      <c r="BH50" s="2">
        <f t="shared" si="2"/>
        <v>611.29999999999995</v>
      </c>
      <c r="BK50" s="2" t="s">
        <v>148</v>
      </c>
    </row>
    <row r="51" spans="1:63" x14ac:dyDescent="0.3">
      <c r="A51" s="6">
        <v>50</v>
      </c>
      <c r="B51" s="6" t="s">
        <v>149</v>
      </c>
      <c r="C51" s="6" t="s">
        <v>150</v>
      </c>
      <c r="D51" s="6" t="s">
        <v>151</v>
      </c>
      <c r="E51" s="1">
        <v>60.09592</v>
      </c>
      <c r="F51" s="1">
        <v>370.35</v>
      </c>
      <c r="G51" s="1">
        <v>536.79999999999995</v>
      </c>
      <c r="H51" s="1">
        <v>298.14999999999998</v>
      </c>
      <c r="I51" s="6">
        <f t="shared" si="0"/>
        <v>268.39999999999998</v>
      </c>
      <c r="J51">
        <v>0</v>
      </c>
      <c r="K51">
        <v>3</v>
      </c>
      <c r="L51" s="6" t="s">
        <v>717</v>
      </c>
      <c r="M51" s="6">
        <v>1</v>
      </c>
      <c r="N51" s="6">
        <v>2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>
        <v>146.94999999999999</v>
      </c>
      <c r="AG51">
        <v>182.4</v>
      </c>
      <c r="AH51">
        <v>217.85</v>
      </c>
      <c r="AI51">
        <v>253.3</v>
      </c>
      <c r="AJ51">
        <v>288.75</v>
      </c>
      <c r="AK51">
        <v>324.2</v>
      </c>
      <c r="AL51">
        <v>359.65</v>
      </c>
      <c r="AM51">
        <v>395.1</v>
      </c>
      <c r="AN51">
        <v>430.55</v>
      </c>
      <c r="AO51">
        <v>466</v>
      </c>
      <c r="AP51" s="13">
        <v>4.2753000000000002E-7</v>
      </c>
      <c r="AQ51">
        <v>3.9595799999999999E-3</v>
      </c>
      <c r="AR51">
        <v>1.4288179999999999</v>
      </c>
      <c r="AS51">
        <v>81.589740000000006</v>
      </c>
      <c r="AT51">
        <v>1490.711</v>
      </c>
      <c r="AU51">
        <v>12887.77</v>
      </c>
      <c r="AV51">
        <v>66651.490000000005</v>
      </c>
      <c r="AW51">
        <v>239359</v>
      </c>
      <c r="AX51">
        <v>659484</v>
      </c>
      <c r="AY51">
        <v>1494720</v>
      </c>
      <c r="AZ51" s="2">
        <v>51.69</v>
      </c>
      <c r="BA51" s="2">
        <v>1.013415</v>
      </c>
      <c r="BB51" s="2">
        <v>5169730</v>
      </c>
      <c r="BC51" s="2">
        <f t="shared" si="1"/>
        <v>112.76999999999992</v>
      </c>
      <c r="BD51" s="2">
        <v>453.57499999999999</v>
      </c>
      <c r="BE51" s="2">
        <v>11.43257</v>
      </c>
      <c r="BG51">
        <v>97.2</v>
      </c>
      <c r="BH51" s="2">
        <f t="shared" si="2"/>
        <v>370.34999999999997</v>
      </c>
      <c r="BK51" s="2" t="s">
        <v>151</v>
      </c>
    </row>
    <row r="52" spans="1:63" x14ac:dyDescent="0.3">
      <c r="A52" s="6">
        <v>51</v>
      </c>
      <c r="B52" s="6" t="s">
        <v>152</v>
      </c>
      <c r="C52" s="6" t="s">
        <v>153</v>
      </c>
      <c r="D52" s="6" t="s">
        <v>154</v>
      </c>
      <c r="E52" s="1">
        <v>88.149680000000004</v>
      </c>
      <c r="F52" s="1">
        <v>410.9</v>
      </c>
      <c r="G52" s="1">
        <v>588.1</v>
      </c>
      <c r="H52" s="1">
        <v>298.14999999999998</v>
      </c>
      <c r="I52" s="6">
        <f t="shared" si="0"/>
        <v>294.05</v>
      </c>
      <c r="J52">
        <v>0</v>
      </c>
      <c r="K52">
        <v>5</v>
      </c>
      <c r="L52" s="6" t="s">
        <v>718</v>
      </c>
      <c r="M52" s="6">
        <v>1</v>
      </c>
      <c r="N52" s="6">
        <v>4</v>
      </c>
      <c r="O52" s="6">
        <v>0</v>
      </c>
      <c r="P52" s="6">
        <v>0</v>
      </c>
      <c r="Q52" s="6">
        <v>0</v>
      </c>
      <c r="R52" s="6">
        <v>0</v>
      </c>
      <c r="S52" s="6">
        <v>1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>
        <v>195.56</v>
      </c>
      <c r="AG52">
        <v>232.49780000000001</v>
      </c>
      <c r="AH52">
        <v>269.43560000000002</v>
      </c>
      <c r="AI52">
        <v>306.37329999999997</v>
      </c>
      <c r="AJ52">
        <v>343.31110000000001</v>
      </c>
      <c r="AK52">
        <v>380.24889999999999</v>
      </c>
      <c r="AL52">
        <v>417.18669999999997</v>
      </c>
      <c r="AM52">
        <v>454.12439999999998</v>
      </c>
      <c r="AN52">
        <v>491.06220000000002</v>
      </c>
      <c r="AO52">
        <v>528</v>
      </c>
      <c r="AP52">
        <v>5.4780200000000001E-4</v>
      </c>
      <c r="AQ52">
        <v>0.33738980000000002</v>
      </c>
      <c r="AR52">
        <v>27.00658</v>
      </c>
      <c r="AS52">
        <v>609.19110000000001</v>
      </c>
      <c r="AT52">
        <v>5980.2640000000001</v>
      </c>
      <c r="AU52">
        <v>33224.879999999997</v>
      </c>
      <c r="AV52">
        <v>123663</v>
      </c>
      <c r="AW52">
        <v>345668</v>
      </c>
      <c r="AX52">
        <v>787186</v>
      </c>
      <c r="AY52">
        <v>1552550</v>
      </c>
      <c r="AZ52" s="2">
        <v>38.97</v>
      </c>
      <c r="BA52" s="2">
        <v>1.011639</v>
      </c>
      <c r="BB52" s="2">
        <v>3895660</v>
      </c>
      <c r="BC52" s="2">
        <f t="shared" si="1"/>
        <v>118.3900000000001</v>
      </c>
      <c r="BD52" s="2">
        <v>499.5</v>
      </c>
      <c r="BE52" s="2">
        <v>9.2924710000000008</v>
      </c>
      <c r="BG52">
        <v>137.75</v>
      </c>
      <c r="BH52" s="2">
        <f t="shared" si="2"/>
        <v>410.9</v>
      </c>
      <c r="BK52" s="2" t="s">
        <v>154</v>
      </c>
    </row>
    <row r="53" spans="1:63" x14ac:dyDescent="0.3">
      <c r="A53" s="6">
        <v>52</v>
      </c>
      <c r="B53" s="6" t="s">
        <v>155</v>
      </c>
      <c r="C53" s="6" t="s">
        <v>53</v>
      </c>
      <c r="D53" s="6" t="s">
        <v>156</v>
      </c>
      <c r="E53" s="1">
        <v>158.24072000000001</v>
      </c>
      <c r="F53" s="1">
        <v>466.15</v>
      </c>
      <c r="G53" s="1">
        <v>650.70000000000005</v>
      </c>
      <c r="H53" s="1">
        <v>298.14999999999998</v>
      </c>
      <c r="I53" s="6">
        <f t="shared" si="0"/>
        <v>325.35000000000002</v>
      </c>
      <c r="J53">
        <v>1</v>
      </c>
      <c r="K53">
        <v>9</v>
      </c>
      <c r="L53" s="6" t="s">
        <v>719</v>
      </c>
      <c r="M53" s="6">
        <v>2</v>
      </c>
      <c r="N53" s="6">
        <v>5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1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>
        <v>236.2</v>
      </c>
      <c r="AG53">
        <v>275.5111</v>
      </c>
      <c r="AH53">
        <v>314.82220000000001</v>
      </c>
      <c r="AI53">
        <v>354.13330000000002</v>
      </c>
      <c r="AJ53">
        <v>393.44439999999997</v>
      </c>
      <c r="AK53">
        <v>432.75560000000002</v>
      </c>
      <c r="AL53">
        <v>472.06670000000003</v>
      </c>
      <c r="AM53">
        <v>511.37779999999998</v>
      </c>
      <c r="AN53">
        <v>550.68889999999999</v>
      </c>
      <c r="AO53">
        <v>590</v>
      </c>
      <c r="AP53">
        <v>0.11267489999999999</v>
      </c>
      <c r="AQ53">
        <v>8.0058009999999999</v>
      </c>
      <c r="AR53">
        <v>172.8699</v>
      </c>
      <c r="AS53">
        <v>1711.7190000000001</v>
      </c>
      <c r="AT53">
        <v>9924.4330000000009</v>
      </c>
      <c r="AU53">
        <v>39311.660000000003</v>
      </c>
      <c r="AV53">
        <v>117830</v>
      </c>
      <c r="AW53">
        <v>286790</v>
      </c>
      <c r="AX53">
        <v>596242</v>
      </c>
      <c r="AY53">
        <v>1099430</v>
      </c>
      <c r="AZ53" s="2">
        <v>23.84</v>
      </c>
      <c r="BA53" s="2">
        <v>1.0137240000000001</v>
      </c>
      <c r="BB53" s="2">
        <v>2385100</v>
      </c>
      <c r="BC53" s="2">
        <f t="shared" si="1"/>
        <v>119.48000000000013</v>
      </c>
      <c r="BD53" s="2">
        <v>558.42499999999995</v>
      </c>
      <c r="BE53" s="2">
        <v>6.7826089999999999</v>
      </c>
      <c r="BG53">
        <v>193</v>
      </c>
      <c r="BH53" s="2">
        <f t="shared" si="2"/>
        <v>466.15</v>
      </c>
      <c r="BK53" s="2" t="s">
        <v>156</v>
      </c>
    </row>
    <row r="54" spans="1:63" x14ac:dyDescent="0.3">
      <c r="A54" s="6">
        <v>53</v>
      </c>
      <c r="B54" s="6" t="s">
        <v>157</v>
      </c>
      <c r="C54" s="6" t="s">
        <v>68</v>
      </c>
      <c r="D54" s="6" t="s">
        <v>158</v>
      </c>
      <c r="E54" s="1">
        <v>172.26759999999999</v>
      </c>
      <c r="F54" s="1">
        <v>486.58699999999999</v>
      </c>
      <c r="G54" s="1">
        <v>656</v>
      </c>
      <c r="H54" s="1">
        <v>298.14999999999998</v>
      </c>
      <c r="I54" s="6">
        <f t="shared" si="0"/>
        <v>328</v>
      </c>
      <c r="J54">
        <v>1</v>
      </c>
      <c r="K54">
        <v>10</v>
      </c>
      <c r="L54" s="6" t="s">
        <v>720</v>
      </c>
      <c r="M54" s="6">
        <v>2</v>
      </c>
      <c r="N54" s="6">
        <v>6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1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>
        <v>238.72</v>
      </c>
      <c r="AG54">
        <v>278.4178</v>
      </c>
      <c r="AH54">
        <v>318.11559999999997</v>
      </c>
      <c r="AI54">
        <v>357.81330000000003</v>
      </c>
      <c r="AJ54">
        <v>397.5111</v>
      </c>
      <c r="AK54">
        <v>437.20890000000003</v>
      </c>
      <c r="AL54">
        <v>476.9067</v>
      </c>
      <c r="AM54">
        <v>516.60440000000006</v>
      </c>
      <c r="AN54">
        <v>556.30219999999997</v>
      </c>
      <c r="AO54">
        <v>596</v>
      </c>
      <c r="AP54">
        <v>2.8475199999999999E-2</v>
      </c>
      <c r="AQ54">
        <v>2.861097</v>
      </c>
      <c r="AR54">
        <v>78.240610000000004</v>
      </c>
      <c r="AS54">
        <v>909.21870000000001</v>
      </c>
      <c r="AT54">
        <v>5873.2969999999996</v>
      </c>
      <c r="AU54">
        <v>25053.02</v>
      </c>
      <c r="AV54">
        <v>79271.070000000007</v>
      </c>
      <c r="AW54">
        <v>202048</v>
      </c>
      <c r="AX54">
        <v>441223</v>
      </c>
      <c r="AY54">
        <v>867683</v>
      </c>
      <c r="AZ54" s="2">
        <v>22.181899999999999</v>
      </c>
      <c r="BA54" s="2">
        <v>1.0132509999999999</v>
      </c>
      <c r="BB54" s="2">
        <v>2216090</v>
      </c>
      <c r="BC54" s="2">
        <f t="shared" si="1"/>
        <v>103.81299999999999</v>
      </c>
      <c r="BD54" s="2">
        <v>571.29349999999999</v>
      </c>
      <c r="BE54" s="2">
        <v>5.7522589999999996</v>
      </c>
      <c r="BG54">
        <v>213.43700000000001</v>
      </c>
      <c r="BH54" s="2">
        <f t="shared" si="2"/>
        <v>486.58699999999999</v>
      </c>
      <c r="BK54" s="2" t="s">
        <v>158</v>
      </c>
    </row>
    <row r="55" spans="1:63" x14ac:dyDescent="0.3">
      <c r="A55" s="6">
        <v>54</v>
      </c>
      <c r="B55" s="6" t="s">
        <v>159</v>
      </c>
      <c r="C55" s="6" t="s">
        <v>56</v>
      </c>
      <c r="D55" s="6" t="s">
        <v>160</v>
      </c>
      <c r="E55" s="1">
        <v>186.29447999999999</v>
      </c>
      <c r="F55" s="1">
        <v>505</v>
      </c>
      <c r="G55" s="1">
        <v>686.9</v>
      </c>
      <c r="H55" s="1">
        <v>298.14999999999998</v>
      </c>
      <c r="I55" s="6">
        <f t="shared" si="0"/>
        <v>343.45</v>
      </c>
      <c r="J55">
        <v>1</v>
      </c>
      <c r="K55">
        <v>11</v>
      </c>
      <c r="L55" s="6" t="s">
        <v>721</v>
      </c>
      <c r="M55" s="6">
        <v>2</v>
      </c>
      <c r="N55" s="6">
        <v>7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1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>
        <v>255.15</v>
      </c>
      <c r="AG55">
        <v>296.35559999999998</v>
      </c>
      <c r="AH55">
        <v>337.56110000000001</v>
      </c>
      <c r="AI55">
        <v>378.76670000000001</v>
      </c>
      <c r="AJ55">
        <v>419.97219999999999</v>
      </c>
      <c r="AK55">
        <v>461.17779999999999</v>
      </c>
      <c r="AL55">
        <v>502.38330000000002</v>
      </c>
      <c r="AM55">
        <v>543.58889999999997</v>
      </c>
      <c r="AN55">
        <v>584.7944</v>
      </c>
      <c r="AO55">
        <v>626</v>
      </c>
      <c r="AP55">
        <v>5.6920900000000003E-2</v>
      </c>
      <c r="AQ55">
        <v>4.8218290000000001</v>
      </c>
      <c r="AR55">
        <v>117.4299</v>
      </c>
      <c r="AS55">
        <v>1258.846</v>
      </c>
      <c r="AT55">
        <v>7672.451</v>
      </c>
      <c r="AU55">
        <v>31294.23</v>
      </c>
      <c r="AV55">
        <v>95265.13</v>
      </c>
      <c r="AW55">
        <v>233589</v>
      </c>
      <c r="AX55">
        <v>487688</v>
      </c>
      <c r="AY55">
        <v>904331</v>
      </c>
      <c r="AZ55" s="2">
        <v>19.420000000000002</v>
      </c>
      <c r="BA55" s="2">
        <v>1.014311</v>
      </c>
      <c r="BB55" s="2">
        <v>1943650</v>
      </c>
      <c r="BC55" s="2">
        <f t="shared" si="1"/>
        <v>113.21000000000004</v>
      </c>
      <c r="BD55" s="2">
        <v>595.95000000000005</v>
      </c>
      <c r="BE55" s="2">
        <v>5.8232850000000003</v>
      </c>
      <c r="BG55">
        <v>231.85</v>
      </c>
      <c r="BH55" s="2">
        <f t="shared" si="2"/>
        <v>505</v>
      </c>
      <c r="BK55" s="2" t="s">
        <v>160</v>
      </c>
    </row>
    <row r="56" spans="1:63" x14ac:dyDescent="0.3">
      <c r="A56" s="6">
        <v>55</v>
      </c>
      <c r="B56" s="6" t="s">
        <v>161</v>
      </c>
      <c r="C56" s="6" t="s">
        <v>71</v>
      </c>
      <c r="D56" s="6" t="s">
        <v>162</v>
      </c>
      <c r="E56" s="1">
        <v>200.32136</v>
      </c>
      <c r="F56" s="1">
        <v>523.41099999999994</v>
      </c>
      <c r="G56" s="1">
        <v>678</v>
      </c>
      <c r="H56" s="1">
        <v>298.14999999999998</v>
      </c>
      <c r="I56" s="6">
        <f t="shared" si="0"/>
        <v>339</v>
      </c>
      <c r="J56">
        <v>1</v>
      </c>
      <c r="K56">
        <v>12</v>
      </c>
      <c r="L56" s="6" t="s">
        <v>722</v>
      </c>
      <c r="M56" s="6">
        <v>2</v>
      </c>
      <c r="N56" s="6">
        <v>8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1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>
        <v>261.8</v>
      </c>
      <c r="AG56">
        <v>301.37779999999998</v>
      </c>
      <c r="AH56">
        <v>340.9556</v>
      </c>
      <c r="AI56">
        <v>380.5333</v>
      </c>
      <c r="AJ56">
        <v>420.11110000000002</v>
      </c>
      <c r="AK56">
        <v>459.68889999999999</v>
      </c>
      <c r="AL56">
        <v>499.26670000000001</v>
      </c>
      <c r="AM56">
        <v>538.84439999999995</v>
      </c>
      <c r="AN56">
        <v>578.42219999999998</v>
      </c>
      <c r="AO56">
        <v>618</v>
      </c>
      <c r="AP56">
        <v>3.6036499999999999E-2</v>
      </c>
      <c r="AQ56">
        <v>2.669645</v>
      </c>
      <c r="AR56">
        <v>62.801519999999996</v>
      </c>
      <c r="AS56">
        <v>678.46420000000001</v>
      </c>
      <c r="AT56">
        <v>4239.4440000000004</v>
      </c>
      <c r="AU56">
        <v>17840.02</v>
      </c>
      <c r="AV56">
        <v>56157.09</v>
      </c>
      <c r="AW56">
        <v>142628</v>
      </c>
      <c r="AX56">
        <v>309460</v>
      </c>
      <c r="AY56">
        <v>600644</v>
      </c>
      <c r="AZ56" s="2">
        <v>14.706300000000001</v>
      </c>
      <c r="BA56" s="2">
        <v>1.013252</v>
      </c>
      <c r="BB56" s="2">
        <v>1469650</v>
      </c>
      <c r="BC56" s="2">
        <f t="shared" si="1"/>
        <v>86.789000000000101</v>
      </c>
      <c r="BD56" s="2">
        <v>600.70550000000003</v>
      </c>
      <c r="BE56" s="2">
        <v>4.5450949999999999</v>
      </c>
      <c r="BG56">
        <v>250.261</v>
      </c>
      <c r="BH56" s="2">
        <f t="shared" si="2"/>
        <v>523.41099999999994</v>
      </c>
      <c r="BK56" s="2" t="s">
        <v>162</v>
      </c>
    </row>
    <row r="57" spans="1:63" x14ac:dyDescent="0.3">
      <c r="A57" s="6">
        <v>56</v>
      </c>
      <c r="B57" s="6" t="s">
        <v>163</v>
      </c>
      <c r="C57" s="6" t="s">
        <v>59</v>
      </c>
      <c r="D57" s="6" t="s">
        <v>164</v>
      </c>
      <c r="E57" s="1">
        <v>214.34824</v>
      </c>
      <c r="F57" s="1">
        <v>540</v>
      </c>
      <c r="G57" s="1">
        <v>712</v>
      </c>
      <c r="H57" s="1">
        <v>298.14999999999998</v>
      </c>
      <c r="I57" s="6">
        <f t="shared" si="0"/>
        <v>356</v>
      </c>
      <c r="J57">
        <v>1</v>
      </c>
      <c r="K57">
        <v>13</v>
      </c>
      <c r="L57" s="6" t="s">
        <v>723</v>
      </c>
      <c r="M57" s="6">
        <v>2</v>
      </c>
      <c r="N57" s="6">
        <v>9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1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>
        <v>278.14999999999998</v>
      </c>
      <c r="AG57">
        <v>317.4667</v>
      </c>
      <c r="AH57">
        <v>356.7833</v>
      </c>
      <c r="AI57">
        <v>396.1</v>
      </c>
      <c r="AJ57">
        <v>435.41669999999999</v>
      </c>
      <c r="AK57">
        <v>474.73329999999999</v>
      </c>
      <c r="AL57">
        <v>514.04999999999995</v>
      </c>
      <c r="AM57">
        <v>553.36670000000004</v>
      </c>
      <c r="AN57">
        <v>592.68330000000003</v>
      </c>
      <c r="AO57">
        <v>632</v>
      </c>
      <c r="AP57">
        <v>7.3056899999999994E-2</v>
      </c>
      <c r="AQ57">
        <v>4.0150730000000001</v>
      </c>
      <c r="AR57">
        <v>78.572040000000001</v>
      </c>
      <c r="AS57">
        <v>757.0394</v>
      </c>
      <c r="AT57">
        <v>4408.268</v>
      </c>
      <c r="AU57">
        <v>17776.48</v>
      </c>
      <c r="AV57">
        <v>54553.2</v>
      </c>
      <c r="AW57">
        <v>136364</v>
      </c>
      <c r="AX57">
        <v>292118</v>
      </c>
      <c r="AY57">
        <v>557901</v>
      </c>
      <c r="AZ57" s="2">
        <v>16.5</v>
      </c>
      <c r="BA57" s="2">
        <v>1.018438</v>
      </c>
      <c r="BB57" s="2">
        <v>1658840</v>
      </c>
      <c r="BC57" s="2">
        <f t="shared" si="1"/>
        <v>100.80000000000007</v>
      </c>
      <c r="BD57" s="2">
        <v>626</v>
      </c>
      <c r="BE57" s="2">
        <v>5.0852930000000001</v>
      </c>
      <c r="BG57">
        <v>266.85000000000002</v>
      </c>
      <c r="BH57" s="2">
        <f t="shared" si="2"/>
        <v>540</v>
      </c>
      <c r="BK57" s="2" t="s">
        <v>164</v>
      </c>
    </row>
    <row r="58" spans="1:63" x14ac:dyDescent="0.3">
      <c r="A58" s="6">
        <v>57</v>
      </c>
      <c r="B58" s="6" t="s">
        <v>165</v>
      </c>
      <c r="C58" s="6" t="s">
        <v>74</v>
      </c>
      <c r="D58" s="6" t="s">
        <v>166</v>
      </c>
      <c r="E58" s="1">
        <v>228.37512000000001</v>
      </c>
      <c r="F58" s="1">
        <v>552.09500000000003</v>
      </c>
      <c r="G58" s="1">
        <v>711</v>
      </c>
      <c r="H58" s="1">
        <v>298.14999999999998</v>
      </c>
      <c r="I58" s="6">
        <f t="shared" si="0"/>
        <v>355.5</v>
      </c>
      <c r="J58">
        <v>1</v>
      </c>
      <c r="K58">
        <v>14</v>
      </c>
      <c r="L58" s="6" t="s">
        <v>724</v>
      </c>
      <c r="M58" s="6">
        <v>2</v>
      </c>
      <c r="N58" s="6">
        <v>10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1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>
        <v>279.07</v>
      </c>
      <c r="AG58">
        <v>318.17329999999998</v>
      </c>
      <c r="AH58">
        <v>357.27670000000001</v>
      </c>
      <c r="AI58">
        <v>396.38</v>
      </c>
      <c r="AJ58">
        <v>435.48329999999999</v>
      </c>
      <c r="AK58">
        <v>474.58670000000001</v>
      </c>
      <c r="AL58">
        <v>513.69000000000005</v>
      </c>
      <c r="AM58">
        <v>552.79330000000004</v>
      </c>
      <c r="AN58">
        <v>591.89670000000001</v>
      </c>
      <c r="AO58">
        <v>631</v>
      </c>
      <c r="AP58">
        <v>2.7751499999999998E-2</v>
      </c>
      <c r="AQ58">
        <v>1.725063</v>
      </c>
      <c r="AR58">
        <v>37.362879999999997</v>
      </c>
      <c r="AS58">
        <v>395.19709999999998</v>
      </c>
      <c r="AT58">
        <v>2523.348</v>
      </c>
      <c r="AU58">
        <v>11170.77</v>
      </c>
      <c r="AV58">
        <v>37643.85</v>
      </c>
      <c r="AW58">
        <v>103006</v>
      </c>
      <c r="AX58">
        <v>239543</v>
      </c>
      <c r="AY58">
        <v>489136</v>
      </c>
      <c r="AZ58" s="2">
        <v>15.3415</v>
      </c>
      <c r="BA58" s="2">
        <v>1.013266</v>
      </c>
      <c r="BB58" s="2">
        <v>1535020</v>
      </c>
      <c r="BC58" s="2">
        <f t="shared" si="1"/>
        <v>87.80499999999995</v>
      </c>
      <c r="BD58" s="2">
        <v>631.54750000000001</v>
      </c>
      <c r="BE58" s="2">
        <v>4.9365360000000003</v>
      </c>
      <c r="BG58">
        <v>278.94499999999999</v>
      </c>
      <c r="BH58" s="2">
        <f t="shared" si="2"/>
        <v>552.09500000000003</v>
      </c>
      <c r="BK58" s="2" t="s">
        <v>166</v>
      </c>
    </row>
    <row r="59" spans="1:63" x14ac:dyDescent="0.3">
      <c r="A59" s="6">
        <v>58</v>
      </c>
      <c r="B59" s="6" t="s">
        <v>167</v>
      </c>
      <c r="C59" s="6" t="s">
        <v>62</v>
      </c>
      <c r="D59" s="6" t="s">
        <v>168</v>
      </c>
      <c r="E59" s="1">
        <v>242.40199999999999</v>
      </c>
      <c r="F59" s="1">
        <v>569.9</v>
      </c>
      <c r="G59" s="1">
        <v>741.2</v>
      </c>
      <c r="H59" s="1">
        <v>298.14999999999998</v>
      </c>
      <c r="I59" s="6">
        <f t="shared" si="0"/>
        <v>370.6</v>
      </c>
      <c r="J59">
        <v>1</v>
      </c>
      <c r="K59">
        <v>15</v>
      </c>
      <c r="L59" s="6" t="s">
        <v>725</v>
      </c>
      <c r="M59" s="6">
        <v>2</v>
      </c>
      <c r="N59" s="6">
        <v>11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1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>
        <v>291.85000000000002</v>
      </c>
      <c r="AG59">
        <v>332.86669999999998</v>
      </c>
      <c r="AH59">
        <v>373.88330000000002</v>
      </c>
      <c r="AI59">
        <v>414.9</v>
      </c>
      <c r="AJ59">
        <v>455.91669999999999</v>
      </c>
      <c r="AK59">
        <v>496.93329999999997</v>
      </c>
      <c r="AL59">
        <v>537.95000000000005</v>
      </c>
      <c r="AM59">
        <v>578.96669999999995</v>
      </c>
      <c r="AN59">
        <v>619.98329999999999</v>
      </c>
      <c r="AO59">
        <v>661</v>
      </c>
      <c r="AP59">
        <v>3.9730099999999997E-2</v>
      </c>
      <c r="AQ59">
        <v>2.4637120000000001</v>
      </c>
      <c r="AR59">
        <v>53.316189999999999</v>
      </c>
      <c r="AS59">
        <v>558.75980000000004</v>
      </c>
      <c r="AT59">
        <v>3489.605</v>
      </c>
      <c r="AU59">
        <v>14903.19</v>
      </c>
      <c r="AV59">
        <v>47860.02</v>
      </c>
      <c r="AW59">
        <v>123683</v>
      </c>
      <c r="AX59">
        <v>270401</v>
      </c>
      <c r="AY59">
        <v>519485</v>
      </c>
      <c r="AZ59" s="2">
        <v>14.21</v>
      </c>
      <c r="BA59" s="2">
        <v>1.0187889999999999</v>
      </c>
      <c r="BB59" s="2">
        <v>1428540</v>
      </c>
      <c r="BC59" s="2">
        <f t="shared" si="1"/>
        <v>97.180000000000064</v>
      </c>
      <c r="BD59" s="2">
        <v>655.55</v>
      </c>
      <c r="BE59" s="2">
        <v>4.7933110000000001</v>
      </c>
      <c r="BG59">
        <v>296.75</v>
      </c>
      <c r="BH59" s="2">
        <f t="shared" si="2"/>
        <v>569.9</v>
      </c>
      <c r="BK59" s="2" t="s">
        <v>168</v>
      </c>
    </row>
    <row r="60" spans="1:63" x14ac:dyDescent="0.3">
      <c r="A60" s="6">
        <v>59</v>
      </c>
      <c r="B60" s="6" t="s">
        <v>169</v>
      </c>
      <c r="C60" s="6" t="s">
        <v>77</v>
      </c>
      <c r="D60" s="6" t="s">
        <v>170</v>
      </c>
      <c r="E60" s="1">
        <v>256.42887999999999</v>
      </c>
      <c r="F60" s="1">
        <v>581.08299999999997</v>
      </c>
      <c r="G60" s="1">
        <v>736</v>
      </c>
      <c r="H60" s="1">
        <v>298.14999999999998</v>
      </c>
      <c r="I60" s="6">
        <f t="shared" si="0"/>
        <v>368</v>
      </c>
      <c r="J60">
        <v>1</v>
      </c>
      <c r="K60">
        <v>16</v>
      </c>
      <c r="L60" s="6" t="s">
        <v>726</v>
      </c>
      <c r="M60" s="6">
        <v>2</v>
      </c>
      <c r="N60" s="6">
        <v>12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1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>
        <v>292.35000000000002</v>
      </c>
      <c r="AG60">
        <v>333.86669999999998</v>
      </c>
      <c r="AH60">
        <v>375.38330000000002</v>
      </c>
      <c r="AI60">
        <v>416.9</v>
      </c>
      <c r="AJ60">
        <v>458.41669999999999</v>
      </c>
      <c r="AK60">
        <v>499.93329999999997</v>
      </c>
      <c r="AL60">
        <v>541.45000000000005</v>
      </c>
      <c r="AM60">
        <v>582.96669999999995</v>
      </c>
      <c r="AN60">
        <v>624.48329999999999</v>
      </c>
      <c r="AO60">
        <v>666</v>
      </c>
      <c r="AP60">
        <v>1.55064E-2</v>
      </c>
      <c r="AQ60">
        <v>1.16222</v>
      </c>
      <c r="AR60">
        <v>29.316960000000002</v>
      </c>
      <c r="AS60">
        <v>347.8032</v>
      </c>
      <c r="AT60">
        <v>2402.8069999999998</v>
      </c>
      <c r="AU60">
        <v>11153.26</v>
      </c>
      <c r="AV60">
        <v>38431.29</v>
      </c>
      <c r="AW60">
        <v>105650</v>
      </c>
      <c r="AX60">
        <v>244578</v>
      </c>
      <c r="AY60">
        <v>497456</v>
      </c>
      <c r="AZ60" s="2">
        <v>13.619199999999999</v>
      </c>
      <c r="BA60" s="2">
        <v>1.0132410000000001</v>
      </c>
      <c r="BB60" s="2">
        <v>1361640</v>
      </c>
      <c r="BC60" s="2">
        <f t="shared" si="1"/>
        <v>81.317000000000007</v>
      </c>
      <c r="BD60" s="2">
        <v>658.54150000000004</v>
      </c>
      <c r="BE60" s="2">
        <v>4.4135200000000001</v>
      </c>
      <c r="BG60">
        <v>307.93299999999999</v>
      </c>
      <c r="BH60" s="2">
        <f t="shared" si="2"/>
        <v>581.08299999999997</v>
      </c>
      <c r="BK60" s="2" t="s">
        <v>170</v>
      </c>
    </row>
    <row r="61" spans="1:63" x14ac:dyDescent="0.3">
      <c r="A61" s="6">
        <v>60</v>
      </c>
      <c r="B61" s="6" t="s">
        <v>171</v>
      </c>
      <c r="C61" s="6" t="s">
        <v>172</v>
      </c>
      <c r="D61" s="6" t="s">
        <v>173</v>
      </c>
      <c r="E61" s="1">
        <v>270.45576</v>
      </c>
      <c r="F61" s="1">
        <v>597.70000000000005</v>
      </c>
      <c r="G61" s="1">
        <v>762.2</v>
      </c>
      <c r="H61" s="1">
        <v>298.14999999999998</v>
      </c>
      <c r="I61" s="6">
        <f t="shared" si="0"/>
        <v>381.1</v>
      </c>
      <c r="J61">
        <v>1</v>
      </c>
      <c r="K61">
        <v>17</v>
      </c>
      <c r="L61" s="6" t="s">
        <v>727</v>
      </c>
      <c r="M61" s="6">
        <v>2</v>
      </c>
      <c r="N61" s="6">
        <v>13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1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>
        <v>303.05</v>
      </c>
      <c r="AG61">
        <v>345.15559999999999</v>
      </c>
      <c r="AH61">
        <v>387.2611</v>
      </c>
      <c r="AI61">
        <v>429.36669999999998</v>
      </c>
      <c r="AJ61">
        <v>471.47219999999999</v>
      </c>
      <c r="AK61">
        <v>513.57780000000002</v>
      </c>
      <c r="AL61">
        <v>555.68330000000003</v>
      </c>
      <c r="AM61">
        <v>597.78890000000001</v>
      </c>
      <c r="AN61">
        <v>639.89440000000002</v>
      </c>
      <c r="AO61">
        <v>682</v>
      </c>
      <c r="AP61">
        <v>1.8381499999999999E-2</v>
      </c>
      <c r="AQ61">
        <v>1.3284450000000001</v>
      </c>
      <c r="AR61">
        <v>32.391889999999997</v>
      </c>
      <c r="AS61">
        <v>372.79910000000001</v>
      </c>
      <c r="AT61">
        <v>2506.8339999999998</v>
      </c>
      <c r="AU61">
        <v>11351.14</v>
      </c>
      <c r="AV61">
        <v>38180.199999999997</v>
      </c>
      <c r="AW61">
        <v>102329</v>
      </c>
      <c r="AX61">
        <v>230136</v>
      </c>
      <c r="AY61">
        <v>451709</v>
      </c>
      <c r="AZ61" s="2">
        <v>12.35</v>
      </c>
      <c r="BA61" s="2">
        <v>1.021363</v>
      </c>
      <c r="BB61" s="2">
        <v>1244800</v>
      </c>
      <c r="BC61" s="2">
        <f t="shared" si="1"/>
        <v>88.279999999999973</v>
      </c>
      <c r="BD61" s="2">
        <v>679.95</v>
      </c>
      <c r="BE61" s="2">
        <v>4.3828449999999997</v>
      </c>
      <c r="BG61">
        <v>324.55</v>
      </c>
      <c r="BH61" s="2">
        <f t="shared" si="2"/>
        <v>597.70000000000005</v>
      </c>
      <c r="BK61" s="2" t="s">
        <v>173</v>
      </c>
    </row>
    <row r="62" spans="1:63" x14ac:dyDescent="0.3">
      <c r="A62" s="6">
        <v>61</v>
      </c>
      <c r="B62" s="6" t="s">
        <v>174</v>
      </c>
      <c r="C62" s="6" t="s">
        <v>80</v>
      </c>
      <c r="D62" s="6" t="s">
        <v>175</v>
      </c>
      <c r="E62" s="1">
        <v>284.48264</v>
      </c>
      <c r="F62" s="1">
        <v>610.75900000000001</v>
      </c>
      <c r="G62" s="1">
        <v>760</v>
      </c>
      <c r="H62" s="1">
        <v>298.14999999999998</v>
      </c>
      <c r="I62" s="6">
        <f t="shared" si="0"/>
        <v>380</v>
      </c>
      <c r="J62">
        <v>1</v>
      </c>
      <c r="K62">
        <v>18</v>
      </c>
      <c r="L62" s="6" t="s">
        <v>728</v>
      </c>
      <c r="M62" s="6">
        <v>2</v>
      </c>
      <c r="N62" s="6">
        <v>14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1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>
        <v>303.08999999999997</v>
      </c>
      <c r="AG62">
        <v>347.19110000000001</v>
      </c>
      <c r="AH62">
        <v>391.29219999999998</v>
      </c>
      <c r="AI62">
        <v>435.39330000000001</v>
      </c>
      <c r="AJ62">
        <v>479.49439999999998</v>
      </c>
      <c r="AK62">
        <v>523.59559999999999</v>
      </c>
      <c r="AL62">
        <v>567.69669999999996</v>
      </c>
      <c r="AM62">
        <v>611.79780000000005</v>
      </c>
      <c r="AN62">
        <v>655.89890000000003</v>
      </c>
      <c r="AO62">
        <v>700</v>
      </c>
      <c r="AP62">
        <v>7.1591199999999997E-3</v>
      </c>
      <c r="AQ62">
        <v>0.64264849999999996</v>
      </c>
      <c r="AR62">
        <v>18.67971</v>
      </c>
      <c r="AS62">
        <v>249.08500000000001</v>
      </c>
      <c r="AT62">
        <v>1899.701</v>
      </c>
      <c r="AU62">
        <v>9595.1779999999999</v>
      </c>
      <c r="AV62">
        <v>35523.910000000003</v>
      </c>
      <c r="AW62">
        <v>103676</v>
      </c>
      <c r="AX62">
        <v>251712</v>
      </c>
      <c r="AY62">
        <v>529811</v>
      </c>
      <c r="AZ62" s="2">
        <v>12.3033</v>
      </c>
      <c r="BA62" s="2">
        <v>1.0132540000000001</v>
      </c>
      <c r="BB62" s="2">
        <v>1230630</v>
      </c>
      <c r="BC62" s="2">
        <f t="shared" si="1"/>
        <v>73.240999999999985</v>
      </c>
      <c r="BD62" s="2">
        <v>685.37950000000001</v>
      </c>
      <c r="BE62" s="2">
        <v>4.1966049999999999</v>
      </c>
      <c r="BG62">
        <v>337.60899999999998</v>
      </c>
      <c r="BH62" s="2">
        <f t="shared" si="2"/>
        <v>610.75900000000001</v>
      </c>
      <c r="BK62" s="2" t="s">
        <v>175</v>
      </c>
    </row>
    <row r="63" spans="1:63" x14ac:dyDescent="0.3">
      <c r="A63" s="6">
        <v>62</v>
      </c>
      <c r="B63" s="6" t="s">
        <v>176</v>
      </c>
      <c r="C63" s="6" t="s">
        <v>177</v>
      </c>
      <c r="D63" s="6" t="s">
        <v>178</v>
      </c>
      <c r="E63" s="1">
        <v>298.50952000000001</v>
      </c>
      <c r="F63" s="1">
        <v>623.70000000000005</v>
      </c>
      <c r="G63" s="1">
        <v>781.1</v>
      </c>
      <c r="H63" s="1">
        <v>298.14999999999998</v>
      </c>
      <c r="I63" s="6">
        <f t="shared" si="0"/>
        <v>390.55</v>
      </c>
      <c r="J63">
        <v>1</v>
      </c>
      <c r="K63">
        <v>19</v>
      </c>
      <c r="L63" s="6" t="s">
        <v>729</v>
      </c>
      <c r="M63" s="6">
        <v>2</v>
      </c>
      <c r="N63" s="6">
        <v>15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1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>
        <v>312.14999999999998</v>
      </c>
      <c r="AG63">
        <v>355.35559999999998</v>
      </c>
      <c r="AH63">
        <v>398.56110000000001</v>
      </c>
      <c r="AI63">
        <v>441.76670000000001</v>
      </c>
      <c r="AJ63">
        <v>484.97219999999999</v>
      </c>
      <c r="AK63">
        <v>528.17780000000005</v>
      </c>
      <c r="AL63">
        <v>571.38329999999996</v>
      </c>
      <c r="AM63">
        <v>614.58889999999997</v>
      </c>
      <c r="AN63">
        <v>657.7944</v>
      </c>
      <c r="AO63">
        <v>701</v>
      </c>
      <c r="AP63">
        <v>8.0438999999999997E-3</v>
      </c>
      <c r="AQ63">
        <v>0.68023560000000005</v>
      </c>
      <c r="AR63">
        <v>18.778790000000001</v>
      </c>
      <c r="AS63">
        <v>238.82259999999999</v>
      </c>
      <c r="AT63">
        <v>1742.0060000000001</v>
      </c>
      <c r="AU63">
        <v>8431.9169999999995</v>
      </c>
      <c r="AV63">
        <v>29954.71</v>
      </c>
      <c r="AW63">
        <v>83924.53</v>
      </c>
      <c r="AX63">
        <v>195490</v>
      </c>
      <c r="AY63">
        <v>393969</v>
      </c>
      <c r="AZ63" s="2">
        <v>10.84</v>
      </c>
      <c r="BA63" s="2">
        <v>1.0170710000000001</v>
      </c>
      <c r="BB63" s="2">
        <v>1088270</v>
      </c>
      <c r="BC63" s="2">
        <f t="shared" si="1"/>
        <v>79.289999999999964</v>
      </c>
      <c r="BD63" s="2">
        <v>702.40000000000009</v>
      </c>
      <c r="BE63" s="2">
        <v>4.021903</v>
      </c>
      <c r="BG63">
        <v>350.55</v>
      </c>
      <c r="BH63" s="2">
        <f t="shared" si="2"/>
        <v>623.70000000000005</v>
      </c>
      <c r="BK63" s="2" t="s">
        <v>178</v>
      </c>
    </row>
    <row r="64" spans="1:63" x14ac:dyDescent="0.3">
      <c r="A64" s="6">
        <v>63</v>
      </c>
      <c r="B64" s="6" t="s">
        <v>179</v>
      </c>
      <c r="C64" s="6" t="s">
        <v>83</v>
      </c>
      <c r="D64" s="6" t="s">
        <v>180</v>
      </c>
      <c r="E64" s="1">
        <v>312.53640000000001</v>
      </c>
      <c r="F64" s="1">
        <v>636.42999999999995</v>
      </c>
      <c r="G64" s="1">
        <v>784</v>
      </c>
      <c r="H64" s="1">
        <v>298.14999999999998</v>
      </c>
      <c r="I64" s="6">
        <f t="shared" si="0"/>
        <v>392</v>
      </c>
      <c r="J64">
        <v>1</v>
      </c>
      <c r="K64">
        <v>20</v>
      </c>
      <c r="L64" s="6" t="s">
        <v>730</v>
      </c>
      <c r="M64" s="6">
        <v>2</v>
      </c>
      <c r="N64" s="6">
        <v>16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1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>
        <v>312.02</v>
      </c>
      <c r="AG64">
        <v>355.57330000000002</v>
      </c>
      <c r="AH64">
        <v>399.12670000000003</v>
      </c>
      <c r="AI64">
        <v>442.68</v>
      </c>
      <c r="AJ64">
        <v>486.23329999999999</v>
      </c>
      <c r="AK64">
        <v>529.7867</v>
      </c>
      <c r="AL64">
        <v>573.34</v>
      </c>
      <c r="AM64">
        <v>616.89329999999995</v>
      </c>
      <c r="AN64">
        <v>660.44669999999996</v>
      </c>
      <c r="AO64">
        <v>704</v>
      </c>
      <c r="AP64">
        <v>2.3213399999999999E-3</v>
      </c>
      <c r="AQ64">
        <v>0.3272832</v>
      </c>
      <c r="AR64">
        <v>11.740449999999999</v>
      </c>
      <c r="AS64">
        <v>169.33340000000001</v>
      </c>
      <c r="AT64">
        <v>1306.18</v>
      </c>
      <c r="AU64">
        <v>6482.5320000000002</v>
      </c>
      <c r="AV64">
        <v>23421.23</v>
      </c>
      <c r="AW64">
        <v>67054.97</v>
      </c>
      <c r="AX64">
        <v>161520</v>
      </c>
      <c r="AY64">
        <v>342056</v>
      </c>
      <c r="AZ64" s="2">
        <v>10.9069</v>
      </c>
      <c r="BA64" s="2">
        <v>1.013225</v>
      </c>
      <c r="BB64" s="2">
        <v>1090480</v>
      </c>
      <c r="BC64" s="2">
        <f t="shared" si="1"/>
        <v>69.170000000000073</v>
      </c>
      <c r="BD64" s="2">
        <v>710.21499999999992</v>
      </c>
      <c r="BE64" s="2">
        <v>3.7752560000000002</v>
      </c>
      <c r="BG64">
        <v>363.28</v>
      </c>
      <c r="BH64" s="2">
        <f t="shared" si="2"/>
        <v>636.42999999999995</v>
      </c>
      <c r="BK64" s="2" t="s">
        <v>180</v>
      </c>
    </row>
    <row r="65" spans="1:63" x14ac:dyDescent="0.3">
      <c r="A65" s="6">
        <v>64</v>
      </c>
      <c r="B65" s="6" t="s">
        <v>181</v>
      </c>
      <c r="C65" s="6" t="s">
        <v>182</v>
      </c>
      <c r="D65" s="6" t="s">
        <v>183</v>
      </c>
      <c r="E65" s="1">
        <v>326.56328000000002</v>
      </c>
      <c r="F65" s="1">
        <v>647.9</v>
      </c>
      <c r="G65" s="1">
        <v>797.9</v>
      </c>
      <c r="H65" s="1">
        <v>298.14999999999998</v>
      </c>
      <c r="I65" s="6">
        <f t="shared" si="0"/>
        <v>398.95</v>
      </c>
      <c r="J65">
        <v>1</v>
      </c>
      <c r="K65">
        <v>21</v>
      </c>
      <c r="L65" s="6" t="s">
        <v>731</v>
      </c>
      <c r="M65" s="6">
        <v>2</v>
      </c>
      <c r="N65" s="6">
        <v>17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1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>
        <v>319.48</v>
      </c>
      <c r="AG65">
        <v>364.76</v>
      </c>
      <c r="AH65">
        <v>410.04</v>
      </c>
      <c r="AI65">
        <v>455.32</v>
      </c>
      <c r="AJ65">
        <v>500.6</v>
      </c>
      <c r="AK65">
        <v>545.88</v>
      </c>
      <c r="AL65">
        <v>591.16</v>
      </c>
      <c r="AM65">
        <v>636.44000000000005</v>
      </c>
      <c r="AN65">
        <v>681.72</v>
      </c>
      <c r="AO65">
        <v>727</v>
      </c>
      <c r="AP65">
        <v>2.5976300000000001E-3</v>
      </c>
      <c r="AQ65">
        <v>0.36632199999999998</v>
      </c>
      <c r="AR65">
        <v>13.666969999999999</v>
      </c>
      <c r="AS65">
        <v>205.96129999999999</v>
      </c>
      <c r="AT65">
        <v>1637.325</v>
      </c>
      <c r="AU65">
        <v>8195.9310000000005</v>
      </c>
      <c r="AV65">
        <v>29204.65</v>
      </c>
      <c r="AW65">
        <v>80943.350000000006</v>
      </c>
      <c r="AX65">
        <v>186538</v>
      </c>
      <c r="AY65">
        <v>376705</v>
      </c>
      <c r="AZ65" s="2">
        <v>9.5909999999999993</v>
      </c>
      <c r="BA65" s="2">
        <v>1.015166</v>
      </c>
      <c r="BB65" s="2">
        <v>960918</v>
      </c>
      <c r="BC65" s="2">
        <f t="shared" si="1"/>
        <v>70.210000000000036</v>
      </c>
      <c r="BD65" s="2">
        <v>722.9</v>
      </c>
      <c r="BE65" s="2">
        <v>3.5498530000000001</v>
      </c>
      <c r="BG65">
        <v>374.75</v>
      </c>
      <c r="BH65" s="2">
        <f t="shared" si="2"/>
        <v>647.9</v>
      </c>
      <c r="BK65" s="2" t="s">
        <v>183</v>
      </c>
    </row>
    <row r="66" spans="1:63" x14ac:dyDescent="0.3">
      <c r="A66" s="6">
        <v>65</v>
      </c>
      <c r="B66" s="6" t="s">
        <v>184</v>
      </c>
      <c r="C66" s="6" t="s">
        <v>59</v>
      </c>
      <c r="D66" s="6" t="s">
        <v>185</v>
      </c>
      <c r="E66" s="1">
        <v>214.34824</v>
      </c>
      <c r="F66" s="1">
        <v>534.08699999999999</v>
      </c>
      <c r="G66" s="1">
        <v>701</v>
      </c>
      <c r="H66" s="1">
        <v>298.14999999999998</v>
      </c>
      <c r="I66" s="6">
        <f t="shared" ref="I66:I129" si="3">G66/2</f>
        <v>350.5</v>
      </c>
      <c r="J66">
        <v>2</v>
      </c>
      <c r="K66">
        <v>13</v>
      </c>
      <c r="L66" s="6" t="s">
        <v>732</v>
      </c>
      <c r="M66" s="6">
        <v>2</v>
      </c>
      <c r="N66" s="6">
        <v>9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1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>
        <v>257.2</v>
      </c>
      <c r="AG66">
        <v>297.62220000000002</v>
      </c>
      <c r="AH66">
        <v>338.0444</v>
      </c>
      <c r="AI66">
        <v>378.4667</v>
      </c>
      <c r="AJ66">
        <v>418.88889999999998</v>
      </c>
      <c r="AK66">
        <v>459.31110000000001</v>
      </c>
      <c r="AL66">
        <v>499.73329999999999</v>
      </c>
      <c r="AM66">
        <v>540.15560000000005</v>
      </c>
      <c r="AN66">
        <v>580.57780000000002</v>
      </c>
      <c r="AO66">
        <v>621</v>
      </c>
      <c r="AP66">
        <v>1.5758399999999999E-2</v>
      </c>
      <c r="AQ66">
        <v>1.8818699999999999</v>
      </c>
      <c r="AR66">
        <v>52.041519999999998</v>
      </c>
      <c r="AS66">
        <v>575.98770000000002</v>
      </c>
      <c r="AT66">
        <v>3518.6909999999998</v>
      </c>
      <c r="AU66">
        <v>14440.72</v>
      </c>
      <c r="AV66">
        <v>45041.62</v>
      </c>
      <c r="AW66">
        <v>115523</v>
      </c>
      <c r="AX66">
        <v>256324</v>
      </c>
      <c r="AY66">
        <v>508364</v>
      </c>
      <c r="AZ66" s="2">
        <v>15.190799999999999</v>
      </c>
      <c r="BA66" s="2">
        <v>1.013225</v>
      </c>
      <c r="BB66" s="2">
        <v>1519740</v>
      </c>
      <c r="BC66" s="2">
        <f t="shared" si="1"/>
        <v>96.812999999999988</v>
      </c>
      <c r="BD66" s="2">
        <v>617.54349999999999</v>
      </c>
      <c r="BE66" s="2">
        <v>4.8128089999999997</v>
      </c>
      <c r="BG66">
        <v>260.93700000000001</v>
      </c>
      <c r="BH66" s="2">
        <f t="shared" si="2"/>
        <v>534.08699999999999</v>
      </c>
      <c r="BK66" s="2" t="s">
        <v>185</v>
      </c>
    </row>
    <row r="67" spans="1:63" x14ac:dyDescent="0.3">
      <c r="A67" s="6">
        <v>66</v>
      </c>
      <c r="B67" s="6" t="s">
        <v>186</v>
      </c>
      <c r="C67" s="6" t="s">
        <v>62</v>
      </c>
      <c r="D67" s="6" t="s">
        <v>187</v>
      </c>
      <c r="E67" s="1">
        <v>242.40199999999999</v>
      </c>
      <c r="F67" s="1">
        <v>556.11300000000006</v>
      </c>
      <c r="G67" s="1">
        <v>717</v>
      </c>
      <c r="H67" s="1">
        <v>298.14999999999998</v>
      </c>
      <c r="I67" s="6">
        <f t="shared" si="3"/>
        <v>358.5</v>
      </c>
      <c r="J67">
        <v>2</v>
      </c>
      <c r="K67">
        <v>15</v>
      </c>
      <c r="L67" s="6" t="s">
        <v>733</v>
      </c>
      <c r="M67" s="6">
        <v>2</v>
      </c>
      <c r="N67" s="6">
        <v>11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1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>
        <v>272.39999999999998</v>
      </c>
      <c r="AG67">
        <v>315.13330000000002</v>
      </c>
      <c r="AH67">
        <v>357.86669999999998</v>
      </c>
      <c r="AI67">
        <v>400.6</v>
      </c>
      <c r="AJ67">
        <v>443.33330000000001</v>
      </c>
      <c r="AK67">
        <v>486.06670000000003</v>
      </c>
      <c r="AL67">
        <v>528.79999999999995</v>
      </c>
      <c r="AM67">
        <v>571.53330000000005</v>
      </c>
      <c r="AN67">
        <v>614.26670000000001</v>
      </c>
      <c r="AO67">
        <v>657</v>
      </c>
      <c r="AP67">
        <v>9.8068800000000005E-3</v>
      </c>
      <c r="AQ67">
        <v>1.2714859999999999</v>
      </c>
      <c r="AR67">
        <v>40.651429999999998</v>
      </c>
      <c r="AS67">
        <v>521.74260000000004</v>
      </c>
      <c r="AT67">
        <v>3607.259</v>
      </c>
      <c r="AU67">
        <v>16191.5</v>
      </c>
      <c r="AV67">
        <v>53378.69</v>
      </c>
      <c r="AW67">
        <v>140666</v>
      </c>
      <c r="AX67">
        <v>314790</v>
      </c>
      <c r="AY67">
        <v>626311</v>
      </c>
      <c r="AZ67" s="2">
        <v>14.6121</v>
      </c>
      <c r="BA67" s="2">
        <v>1.013266</v>
      </c>
      <c r="BB67" s="2">
        <v>1460730</v>
      </c>
      <c r="BC67" s="2">
        <f t="shared" ref="BC67:BC98" si="4">G67*0.9-F67</f>
        <v>89.187000000000012</v>
      </c>
      <c r="BD67" s="2">
        <v>636.55650000000003</v>
      </c>
      <c r="BE67" s="2">
        <v>4.5617130000000001</v>
      </c>
      <c r="BG67">
        <v>282.96300000000002</v>
      </c>
      <c r="BH67" s="2">
        <f t="shared" ref="BH67:BH130" si="5">BG67+273.15</f>
        <v>556.11300000000006</v>
      </c>
      <c r="BK67" s="2" t="s">
        <v>187</v>
      </c>
    </row>
    <row r="68" spans="1:63" x14ac:dyDescent="0.3">
      <c r="A68" s="6">
        <v>67</v>
      </c>
      <c r="B68" s="6" t="s">
        <v>188</v>
      </c>
      <c r="C68" s="6" t="s">
        <v>189</v>
      </c>
      <c r="D68" s="6" t="s">
        <v>190</v>
      </c>
      <c r="E68" s="1">
        <v>42.080640000000002</v>
      </c>
      <c r="F68" s="1">
        <v>240.37</v>
      </c>
      <c r="G68" s="1">
        <v>398</v>
      </c>
      <c r="H68" s="1">
        <v>298.14999999999998</v>
      </c>
      <c r="I68" s="6">
        <f t="shared" si="3"/>
        <v>199</v>
      </c>
      <c r="J68">
        <v>0</v>
      </c>
      <c r="K68">
        <v>3</v>
      </c>
      <c r="L68" s="6" t="s">
        <v>734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3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>
        <v>145.59</v>
      </c>
      <c r="AG68">
        <v>166.96889999999999</v>
      </c>
      <c r="AH68">
        <v>188.34780000000001</v>
      </c>
      <c r="AI68">
        <v>209.72669999999999</v>
      </c>
      <c r="AJ68">
        <v>231.10560000000001</v>
      </c>
      <c r="AK68">
        <v>252.48439999999999</v>
      </c>
      <c r="AL68">
        <v>273.86329999999998</v>
      </c>
      <c r="AM68">
        <v>295.24220000000003</v>
      </c>
      <c r="AN68">
        <v>316.62110000000001</v>
      </c>
      <c r="AO68">
        <v>338</v>
      </c>
      <c r="AP68">
        <v>77.960130000000007</v>
      </c>
      <c r="AQ68">
        <v>859.8415</v>
      </c>
      <c r="AR68">
        <v>5276.0249999999996</v>
      </c>
      <c r="AS68">
        <v>21653.77</v>
      </c>
      <c r="AT68">
        <v>66722.03</v>
      </c>
      <c r="AU68">
        <v>166579</v>
      </c>
      <c r="AV68">
        <v>355132</v>
      </c>
      <c r="AW68">
        <v>671278</v>
      </c>
      <c r="AX68">
        <v>1156830</v>
      </c>
      <c r="AY68">
        <v>1856950</v>
      </c>
      <c r="AZ68" s="2">
        <v>55.4</v>
      </c>
      <c r="BA68" s="2">
        <v>1.0142789999999999</v>
      </c>
      <c r="BB68" s="2">
        <v>5493960</v>
      </c>
      <c r="BC68" s="2">
        <f t="shared" si="4"/>
        <v>117.82999999999998</v>
      </c>
      <c r="BD68" s="2">
        <v>319.185</v>
      </c>
      <c r="BE68" s="2">
        <v>12.28523</v>
      </c>
      <c r="BG68">
        <v>-32.78</v>
      </c>
      <c r="BH68" s="2">
        <f t="shared" si="5"/>
        <v>240.36999999999998</v>
      </c>
      <c r="BK68" s="2" t="s">
        <v>190</v>
      </c>
    </row>
    <row r="69" spans="1:63" x14ac:dyDescent="0.3">
      <c r="A69" s="6">
        <v>68</v>
      </c>
      <c r="B69" s="6" t="s">
        <v>191</v>
      </c>
      <c r="C69" s="6" t="s">
        <v>192</v>
      </c>
      <c r="D69" s="6" t="s">
        <v>193</v>
      </c>
      <c r="E69" s="1">
        <v>44.096519999999998</v>
      </c>
      <c r="F69" s="1">
        <v>231.04</v>
      </c>
      <c r="G69" s="1">
        <v>369.83</v>
      </c>
      <c r="H69" s="1">
        <v>298.14999999999998</v>
      </c>
      <c r="I69" s="6">
        <f t="shared" si="3"/>
        <v>184.91499999999999</v>
      </c>
      <c r="J69">
        <v>0</v>
      </c>
      <c r="K69">
        <v>3</v>
      </c>
      <c r="L69" s="6" t="s">
        <v>735</v>
      </c>
      <c r="M69" s="6">
        <v>2</v>
      </c>
      <c r="N69" s="6">
        <v>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>
        <v>85.47</v>
      </c>
      <c r="AG69">
        <v>110.30670000000001</v>
      </c>
      <c r="AH69">
        <v>135.14330000000001</v>
      </c>
      <c r="AI69">
        <v>159.97999999999999</v>
      </c>
      <c r="AJ69">
        <v>184.8167</v>
      </c>
      <c r="AK69">
        <v>209.6533</v>
      </c>
      <c r="AL69">
        <v>234.49</v>
      </c>
      <c r="AM69">
        <v>259.32670000000002</v>
      </c>
      <c r="AN69">
        <v>284.16329999999999</v>
      </c>
      <c r="AO69">
        <v>309</v>
      </c>
      <c r="AP69">
        <v>1.6787799999999999E-4</v>
      </c>
      <c r="AQ69">
        <v>0.37306060000000002</v>
      </c>
      <c r="AR69">
        <v>39.153889999999997</v>
      </c>
      <c r="AS69">
        <v>842.32339999999999</v>
      </c>
      <c r="AT69">
        <v>7244.1850000000004</v>
      </c>
      <c r="AU69">
        <v>35195.269999999997</v>
      </c>
      <c r="AV69">
        <v>117519</v>
      </c>
      <c r="AW69">
        <v>303757</v>
      </c>
      <c r="AX69">
        <v>655811</v>
      </c>
      <c r="AY69">
        <v>1244240</v>
      </c>
      <c r="AZ69" s="2">
        <v>42.48</v>
      </c>
      <c r="BA69" s="2">
        <v>1.0114730000000001</v>
      </c>
      <c r="BB69" s="2">
        <v>4213470</v>
      </c>
      <c r="BC69" s="2">
        <f t="shared" si="4"/>
        <v>101.80699999999999</v>
      </c>
      <c r="BD69" s="2">
        <v>300.435</v>
      </c>
      <c r="BE69" s="2">
        <v>10.098879999999999</v>
      </c>
      <c r="BG69">
        <v>-42.11</v>
      </c>
      <c r="BH69" s="2">
        <f t="shared" si="5"/>
        <v>231.03999999999996</v>
      </c>
      <c r="BK69" s="2" t="s">
        <v>193</v>
      </c>
    </row>
    <row r="70" spans="1:63" x14ac:dyDescent="0.3">
      <c r="A70" s="6">
        <v>69</v>
      </c>
      <c r="B70" s="6" t="s">
        <v>194</v>
      </c>
      <c r="C70" s="6" t="s">
        <v>195</v>
      </c>
      <c r="D70" s="6" t="s">
        <v>196</v>
      </c>
      <c r="E70" s="1">
        <v>78.113640000000004</v>
      </c>
      <c r="F70" s="1">
        <v>353.24</v>
      </c>
      <c r="G70" s="1">
        <v>562.04999999999995</v>
      </c>
      <c r="H70" s="1">
        <v>298.14999999999998</v>
      </c>
      <c r="I70" s="6">
        <f t="shared" si="3"/>
        <v>281.02499999999998</v>
      </c>
      <c r="J70">
        <v>0</v>
      </c>
      <c r="K70">
        <v>6</v>
      </c>
      <c r="L70" s="6" t="s">
        <v>736</v>
      </c>
      <c r="M70" s="6">
        <v>0</v>
      </c>
      <c r="N70" s="6">
        <v>0</v>
      </c>
      <c r="O70" s="6">
        <v>0</v>
      </c>
      <c r="P70" s="6">
        <v>0</v>
      </c>
      <c r="Q70" s="6">
        <v>6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>
        <v>278.68</v>
      </c>
      <c r="AG70">
        <v>303.49329999999998</v>
      </c>
      <c r="AH70">
        <v>328.30669999999998</v>
      </c>
      <c r="AI70">
        <v>353.12</v>
      </c>
      <c r="AJ70">
        <v>377.93329999999997</v>
      </c>
      <c r="AK70">
        <v>402.74669999999998</v>
      </c>
      <c r="AL70">
        <v>427.56</v>
      </c>
      <c r="AM70">
        <v>452.37329999999997</v>
      </c>
      <c r="AN70">
        <v>477.18669999999997</v>
      </c>
      <c r="AO70">
        <v>502</v>
      </c>
      <c r="AP70">
        <v>4764.2169999999996</v>
      </c>
      <c r="AQ70">
        <v>16096.06</v>
      </c>
      <c r="AR70">
        <v>43763.76</v>
      </c>
      <c r="AS70">
        <v>100831</v>
      </c>
      <c r="AT70">
        <v>204390</v>
      </c>
      <c r="AU70">
        <v>374817</v>
      </c>
      <c r="AV70">
        <v>635098</v>
      </c>
      <c r="AW70">
        <v>1010590</v>
      </c>
      <c r="AX70">
        <v>1529430</v>
      </c>
      <c r="AY70">
        <v>2223560</v>
      </c>
      <c r="AZ70" s="2">
        <v>48.95</v>
      </c>
      <c r="BA70" s="2">
        <v>1.0120480000000001</v>
      </c>
      <c r="BB70" s="2">
        <v>4875100</v>
      </c>
      <c r="BC70" s="2">
        <f t="shared" si="4"/>
        <v>152.60499999999996</v>
      </c>
      <c r="BD70" s="2">
        <v>457.64499999999998</v>
      </c>
      <c r="BE70" s="2">
        <v>11.07817</v>
      </c>
      <c r="BG70">
        <v>80.09</v>
      </c>
      <c r="BH70" s="2">
        <f t="shared" si="5"/>
        <v>353.24</v>
      </c>
      <c r="BK70" s="2" t="s">
        <v>196</v>
      </c>
    </row>
    <row r="71" spans="1:63" x14ac:dyDescent="0.3">
      <c r="A71" s="6">
        <v>70</v>
      </c>
      <c r="B71" s="6" t="s">
        <v>197</v>
      </c>
      <c r="C71" s="6" t="s">
        <v>198</v>
      </c>
      <c r="D71" s="6" t="s">
        <v>199</v>
      </c>
      <c r="E71" s="1">
        <v>46.069040000000001</v>
      </c>
      <c r="F71" s="1">
        <v>351.44</v>
      </c>
      <c r="G71" s="1">
        <v>514</v>
      </c>
      <c r="H71" s="1">
        <v>298.14999999999998</v>
      </c>
      <c r="I71" s="6">
        <f t="shared" si="3"/>
        <v>257</v>
      </c>
      <c r="J71">
        <v>0</v>
      </c>
      <c r="K71">
        <v>2</v>
      </c>
      <c r="L71" s="6" t="s">
        <v>737</v>
      </c>
      <c r="M71" s="6">
        <v>1</v>
      </c>
      <c r="N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1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>
        <v>159.05000000000001</v>
      </c>
      <c r="AG71">
        <v>192.9333</v>
      </c>
      <c r="AH71">
        <v>226.8167</v>
      </c>
      <c r="AI71">
        <v>260.7</v>
      </c>
      <c r="AJ71">
        <v>294.58330000000001</v>
      </c>
      <c r="AK71">
        <v>328.4667</v>
      </c>
      <c r="AL71">
        <v>362.35</v>
      </c>
      <c r="AM71">
        <v>396.23329999999999</v>
      </c>
      <c r="AN71">
        <v>430.11669999999998</v>
      </c>
      <c r="AO71">
        <v>464</v>
      </c>
      <c r="AP71">
        <v>4.9564200000000002E-4</v>
      </c>
      <c r="AQ71">
        <v>0.33613890000000002</v>
      </c>
      <c r="AR71">
        <v>27.382739999999998</v>
      </c>
      <c r="AS71">
        <v>629.15260000000001</v>
      </c>
      <c r="AT71">
        <v>6427.1580000000004</v>
      </c>
      <c r="AU71">
        <v>38011.42</v>
      </c>
      <c r="AV71">
        <v>153214</v>
      </c>
      <c r="AW71">
        <v>467951</v>
      </c>
      <c r="AX71">
        <v>1163410</v>
      </c>
      <c r="AY71">
        <v>2475360</v>
      </c>
      <c r="AZ71" s="2">
        <v>61.37</v>
      </c>
      <c r="BA71" s="2">
        <v>1.0124390000000001</v>
      </c>
      <c r="BB71" s="2">
        <v>6108640</v>
      </c>
      <c r="BC71" s="2">
        <f t="shared" si="4"/>
        <v>111.16000000000003</v>
      </c>
      <c r="BD71" s="2">
        <v>432.72</v>
      </c>
      <c r="BE71" s="2">
        <v>12.39071</v>
      </c>
      <c r="BG71">
        <v>78.290000000000006</v>
      </c>
      <c r="BH71" s="2">
        <f t="shared" si="5"/>
        <v>351.44</v>
      </c>
      <c r="BK71" s="2" t="s">
        <v>199</v>
      </c>
    </row>
    <row r="72" spans="1:63" x14ac:dyDescent="0.3">
      <c r="A72" s="6">
        <v>71</v>
      </c>
      <c r="B72" s="6" t="s">
        <v>200</v>
      </c>
      <c r="C72" s="6" t="s">
        <v>201</v>
      </c>
      <c r="D72" s="6" t="s">
        <v>202</v>
      </c>
      <c r="E72" s="1">
        <v>60.05256</v>
      </c>
      <c r="F72" s="1">
        <v>391.05</v>
      </c>
      <c r="G72" s="1">
        <v>591.95000000000005</v>
      </c>
      <c r="H72" s="1">
        <v>298.14999999999998</v>
      </c>
      <c r="I72" s="6">
        <f t="shared" si="3"/>
        <v>295.97500000000002</v>
      </c>
      <c r="J72">
        <v>0</v>
      </c>
      <c r="K72">
        <v>2</v>
      </c>
      <c r="L72" s="6" t="s">
        <v>738</v>
      </c>
      <c r="M72" s="6">
        <v>1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1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>
        <v>289.81</v>
      </c>
      <c r="AG72">
        <v>314.38670000000002</v>
      </c>
      <c r="AH72">
        <v>338.9633</v>
      </c>
      <c r="AI72">
        <v>363.54</v>
      </c>
      <c r="AJ72">
        <v>388.11669999999998</v>
      </c>
      <c r="AK72">
        <v>412.69330000000002</v>
      </c>
      <c r="AL72">
        <v>437.27</v>
      </c>
      <c r="AM72">
        <v>461.8467</v>
      </c>
      <c r="AN72">
        <v>486.42329999999998</v>
      </c>
      <c r="AO72">
        <v>511</v>
      </c>
      <c r="AP72">
        <v>1276.9000000000001</v>
      </c>
      <c r="AQ72">
        <v>4945.3010000000004</v>
      </c>
      <c r="AR72">
        <v>15390.8</v>
      </c>
      <c r="AS72">
        <v>40338.54</v>
      </c>
      <c r="AT72">
        <v>92214.57</v>
      </c>
      <c r="AU72">
        <v>188873</v>
      </c>
      <c r="AV72">
        <v>353984</v>
      </c>
      <c r="AW72">
        <v>617422</v>
      </c>
      <c r="AX72">
        <v>1016240</v>
      </c>
      <c r="AY72">
        <v>1596960</v>
      </c>
      <c r="AZ72" s="2">
        <v>57.86</v>
      </c>
      <c r="BA72" s="2">
        <v>1.0098830000000001</v>
      </c>
      <c r="BB72" s="2">
        <v>5739020</v>
      </c>
      <c r="BC72" s="2">
        <f t="shared" si="4"/>
        <v>141.7050000000001</v>
      </c>
      <c r="BD72" s="2">
        <v>491.5</v>
      </c>
      <c r="BE72" s="2">
        <v>11.19538</v>
      </c>
      <c r="BG72">
        <v>117.9</v>
      </c>
      <c r="BH72" s="2">
        <f t="shared" si="5"/>
        <v>391.04999999999995</v>
      </c>
      <c r="BK72" s="2" t="s">
        <v>202</v>
      </c>
    </row>
    <row r="73" spans="1:63" x14ac:dyDescent="0.3">
      <c r="A73" s="6">
        <v>72</v>
      </c>
      <c r="B73" s="1" t="s">
        <v>203</v>
      </c>
      <c r="C73" s="1" t="s">
        <v>204</v>
      </c>
      <c r="D73" s="1" t="s">
        <v>205</v>
      </c>
      <c r="E73" s="1">
        <v>340.59016000000003</v>
      </c>
      <c r="F73" s="1">
        <v>679.95600000000002</v>
      </c>
      <c r="G73" s="1">
        <v>837</v>
      </c>
      <c r="H73" s="1">
        <v>298.14999999999998</v>
      </c>
      <c r="I73" s="6">
        <f t="shared" si="3"/>
        <v>418.5</v>
      </c>
      <c r="J73">
        <v>0</v>
      </c>
      <c r="K73">
        <v>22</v>
      </c>
      <c r="L73" s="18" t="s">
        <v>739</v>
      </c>
      <c r="M73">
        <v>1</v>
      </c>
      <c r="N73">
        <v>20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 s="6">
        <v>0</v>
      </c>
      <c r="V73">
        <v>0</v>
      </c>
      <c r="W73">
        <v>0</v>
      </c>
      <c r="X73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>
        <v>352.9</v>
      </c>
      <c r="AG73">
        <v>398.91109999999998</v>
      </c>
      <c r="AH73">
        <v>444.92219999999998</v>
      </c>
      <c r="AI73">
        <v>490.93329999999997</v>
      </c>
      <c r="AJ73">
        <v>536.94439999999997</v>
      </c>
      <c r="AK73">
        <v>582.9556</v>
      </c>
      <c r="AL73">
        <v>628.96669999999995</v>
      </c>
      <c r="AM73">
        <v>674.9778</v>
      </c>
      <c r="AN73">
        <v>720.98889999999994</v>
      </c>
      <c r="AO73">
        <v>767</v>
      </c>
      <c r="AP73">
        <v>1.31499E-3</v>
      </c>
      <c r="AQ73">
        <v>0.18853700000000001</v>
      </c>
      <c r="AR73">
        <v>7.932836</v>
      </c>
      <c r="AS73">
        <v>139.62739999999999</v>
      </c>
      <c r="AT73">
        <v>1298.5029999999999</v>
      </c>
      <c r="AU73">
        <v>7490.5150000000003</v>
      </c>
      <c r="AV73">
        <v>30044.31</v>
      </c>
      <c r="AW73">
        <v>91122.85</v>
      </c>
      <c r="AX73">
        <v>222695</v>
      </c>
      <c r="AY73">
        <v>460951</v>
      </c>
      <c r="AZ73" s="2">
        <v>11.110300000000001</v>
      </c>
      <c r="BA73" s="2">
        <v>1.013242</v>
      </c>
      <c r="BB73" s="2">
        <v>1111320</v>
      </c>
      <c r="BC73" s="2">
        <f t="shared" si="4"/>
        <v>73.344000000000051</v>
      </c>
      <c r="BD73" s="2">
        <v>758.47800000000007</v>
      </c>
      <c r="BE73" s="2">
        <v>4.071269</v>
      </c>
      <c r="BG73">
        <v>406.80599999999998</v>
      </c>
      <c r="BH73" s="2">
        <f t="shared" si="5"/>
        <v>679.9559999999999</v>
      </c>
      <c r="BK73" s="2" t="s">
        <v>205</v>
      </c>
    </row>
    <row r="74" spans="1:63" x14ac:dyDescent="0.3">
      <c r="A74" s="6">
        <v>73</v>
      </c>
      <c r="B74" s="1" t="s">
        <v>206</v>
      </c>
      <c r="C74" s="1" t="s">
        <v>207</v>
      </c>
      <c r="D74" s="1" t="s">
        <v>208</v>
      </c>
      <c r="E74" s="1">
        <v>368.64391999999998</v>
      </c>
      <c r="F74" s="1">
        <v>673.67100000000005</v>
      </c>
      <c r="G74" s="1">
        <v>792</v>
      </c>
      <c r="H74" s="1">
        <v>298.14999999999998</v>
      </c>
      <c r="I74" s="6">
        <f t="shared" si="3"/>
        <v>396</v>
      </c>
      <c r="J74">
        <v>0</v>
      </c>
      <c r="K74">
        <v>24</v>
      </c>
      <c r="L74" s="6" t="s">
        <v>740</v>
      </c>
      <c r="M74">
        <v>1</v>
      </c>
      <c r="N74">
        <v>22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 s="6">
        <v>0</v>
      </c>
      <c r="V74">
        <v>0</v>
      </c>
      <c r="W74">
        <v>0</v>
      </c>
      <c r="X74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>
        <v>355.8</v>
      </c>
      <c r="AG74">
        <v>397.6</v>
      </c>
      <c r="AH74">
        <v>439.4</v>
      </c>
      <c r="AI74">
        <v>481.2</v>
      </c>
      <c r="AJ74">
        <v>523</v>
      </c>
      <c r="AK74">
        <v>564.79999999999995</v>
      </c>
      <c r="AL74">
        <v>606.6</v>
      </c>
      <c r="AM74">
        <v>648.4</v>
      </c>
      <c r="AN74">
        <v>690.2</v>
      </c>
      <c r="AO74">
        <v>732</v>
      </c>
      <c r="AP74">
        <v>0.22384219999999999</v>
      </c>
      <c r="AQ74">
        <v>6.0931179999999996</v>
      </c>
      <c r="AR74">
        <v>76.179839999999999</v>
      </c>
      <c r="AS74">
        <v>547.601</v>
      </c>
      <c r="AT74">
        <v>2630.0479999999998</v>
      </c>
      <c r="AU74">
        <v>9363.2880000000005</v>
      </c>
      <c r="AV74">
        <v>26601.27</v>
      </c>
      <c r="AW74">
        <v>63646.87</v>
      </c>
      <c r="AX74">
        <v>133548</v>
      </c>
      <c r="AY74">
        <v>253653</v>
      </c>
      <c r="AZ74" s="19">
        <v>8.4850100000000008</v>
      </c>
      <c r="BA74" s="2">
        <v>1.0097959999999999</v>
      </c>
      <c r="BB74" s="2">
        <v>564389</v>
      </c>
      <c r="BC74" s="2">
        <f t="shared" si="4"/>
        <v>39.129000000000019</v>
      </c>
      <c r="BD74" s="2">
        <v>732.83550000000002</v>
      </c>
      <c r="BE74" s="2">
        <v>2.5671409999999999</v>
      </c>
      <c r="BG74">
        <v>400.52100000000002</v>
      </c>
      <c r="BH74" s="2">
        <f t="shared" si="5"/>
        <v>673.67100000000005</v>
      </c>
      <c r="BK74" s="2" t="s">
        <v>208</v>
      </c>
    </row>
    <row r="75" spans="1:63" x14ac:dyDescent="0.3">
      <c r="A75" s="6">
        <v>74</v>
      </c>
      <c r="B75" s="1" t="s">
        <v>209</v>
      </c>
      <c r="C75" s="1" t="s">
        <v>210</v>
      </c>
      <c r="D75" s="1" t="s">
        <v>211</v>
      </c>
      <c r="E75" s="1">
        <v>106.1674</v>
      </c>
      <c r="F75" s="1">
        <v>411.43</v>
      </c>
      <c r="G75" s="1">
        <v>616.20000000000005</v>
      </c>
      <c r="H75" s="1">
        <v>298.14999999999998</v>
      </c>
      <c r="I75" s="6">
        <f t="shared" si="3"/>
        <v>308.10000000000002</v>
      </c>
      <c r="J75">
        <v>0</v>
      </c>
      <c r="K75">
        <v>8</v>
      </c>
      <c r="L75" s="6" t="s">
        <v>741</v>
      </c>
      <c r="M75">
        <v>0</v>
      </c>
      <c r="N75">
        <v>0</v>
      </c>
      <c r="O75">
        <v>0</v>
      </c>
      <c r="P75">
        <v>0</v>
      </c>
      <c r="Q75">
        <v>4</v>
      </c>
      <c r="R75">
        <v>2</v>
      </c>
      <c r="S75">
        <v>0</v>
      </c>
      <c r="T75">
        <v>0</v>
      </c>
      <c r="U75" s="6">
        <v>0</v>
      </c>
      <c r="V75">
        <v>0</v>
      </c>
      <c r="W75">
        <v>0</v>
      </c>
      <c r="X75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>
        <v>286.40199999999999</v>
      </c>
      <c r="AG75">
        <v>315.24619999999999</v>
      </c>
      <c r="AH75">
        <v>344.09039999999999</v>
      </c>
      <c r="AI75">
        <v>372.93470000000002</v>
      </c>
      <c r="AJ75">
        <v>401.77890000000002</v>
      </c>
      <c r="AK75">
        <v>430.62310000000002</v>
      </c>
      <c r="AL75">
        <v>459.46730000000002</v>
      </c>
      <c r="AM75">
        <v>488.3116</v>
      </c>
      <c r="AN75">
        <v>517.1558</v>
      </c>
      <c r="AO75">
        <v>546</v>
      </c>
      <c r="AP75">
        <v>585.5471</v>
      </c>
      <c r="AQ75">
        <v>2944.6170000000002</v>
      </c>
      <c r="AR75">
        <v>10869.47</v>
      </c>
      <c r="AS75">
        <v>31774.65</v>
      </c>
      <c r="AT75">
        <v>77647.28</v>
      </c>
      <c r="AU75">
        <v>165041</v>
      </c>
      <c r="AV75">
        <v>314423</v>
      </c>
      <c r="AW75">
        <v>549600</v>
      </c>
      <c r="AX75">
        <v>898083</v>
      </c>
      <c r="AY75">
        <v>1393280</v>
      </c>
      <c r="AZ75" s="2">
        <v>35.31</v>
      </c>
      <c r="BA75" s="2">
        <v>1.0132589999999999</v>
      </c>
      <c r="BB75" s="2">
        <v>3530890</v>
      </c>
      <c r="BC75" s="2">
        <f t="shared" si="4"/>
        <v>143.15000000000003</v>
      </c>
      <c r="BD75" s="2">
        <v>513.81500000000005</v>
      </c>
      <c r="BE75" s="2">
        <v>8.5091750000000008</v>
      </c>
      <c r="BG75">
        <v>138.28</v>
      </c>
      <c r="BH75" s="2">
        <f t="shared" si="5"/>
        <v>411.42999999999995</v>
      </c>
      <c r="BK75" s="2" t="s">
        <v>211</v>
      </c>
    </row>
    <row r="76" spans="1:63" x14ac:dyDescent="0.3">
      <c r="A76" s="6">
        <v>75</v>
      </c>
      <c r="B76" s="1" t="s">
        <v>212</v>
      </c>
      <c r="C76" s="1" t="s">
        <v>210</v>
      </c>
      <c r="D76" s="1" t="s">
        <v>213</v>
      </c>
      <c r="E76" s="1">
        <v>106.1674</v>
      </c>
      <c r="F76" s="1">
        <v>417.44</v>
      </c>
      <c r="G76" s="1">
        <v>630.29999999999995</v>
      </c>
      <c r="H76" s="1">
        <v>298.14999999999998</v>
      </c>
      <c r="I76" s="6">
        <f t="shared" si="3"/>
        <v>315.14999999999998</v>
      </c>
      <c r="J76">
        <v>0</v>
      </c>
      <c r="K76">
        <v>8</v>
      </c>
      <c r="L76" s="6" t="s">
        <v>742</v>
      </c>
      <c r="M76">
        <v>0</v>
      </c>
      <c r="N76">
        <v>0</v>
      </c>
      <c r="O76">
        <v>0</v>
      </c>
      <c r="P76">
        <v>0</v>
      </c>
      <c r="Q76">
        <v>4</v>
      </c>
      <c r="R76">
        <v>2</v>
      </c>
      <c r="S76">
        <v>0</v>
      </c>
      <c r="T76">
        <v>0</v>
      </c>
      <c r="U76" s="6">
        <v>0</v>
      </c>
      <c r="V76">
        <v>0</v>
      </c>
      <c r="W76">
        <v>0</v>
      </c>
      <c r="X7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>
        <v>247.98</v>
      </c>
      <c r="AG76">
        <v>282.64890000000003</v>
      </c>
      <c r="AH76">
        <v>317.31779999999998</v>
      </c>
      <c r="AI76">
        <v>351.98669999999998</v>
      </c>
      <c r="AJ76">
        <v>386.65559999999999</v>
      </c>
      <c r="AK76">
        <v>421.32440000000003</v>
      </c>
      <c r="AL76">
        <v>455.99329999999998</v>
      </c>
      <c r="AM76">
        <v>490.66219999999998</v>
      </c>
      <c r="AN76">
        <v>525.33109999999999</v>
      </c>
      <c r="AO76">
        <v>560</v>
      </c>
      <c r="AP76">
        <v>23.820209999999999</v>
      </c>
      <c r="AQ76">
        <v>340.94760000000002</v>
      </c>
      <c r="AR76">
        <v>2540.58</v>
      </c>
      <c r="AS76">
        <v>12053.61</v>
      </c>
      <c r="AT76">
        <v>41401.15</v>
      </c>
      <c r="AU76">
        <v>112198</v>
      </c>
      <c r="AV76">
        <v>254781</v>
      </c>
      <c r="AW76">
        <v>506533</v>
      </c>
      <c r="AX76">
        <v>911485</v>
      </c>
      <c r="AY76">
        <v>1524130</v>
      </c>
      <c r="AZ76" s="2">
        <v>37.630000000000003</v>
      </c>
      <c r="BA76" s="2">
        <v>1.0132110000000001</v>
      </c>
      <c r="BB76" s="2">
        <v>3762970</v>
      </c>
      <c r="BC76" s="2">
        <f t="shared" si="4"/>
        <v>149.82999999999998</v>
      </c>
      <c r="BD76" s="2">
        <v>523.87</v>
      </c>
      <c r="BE76" s="2">
        <v>8.9065999999999992</v>
      </c>
      <c r="BG76">
        <v>144.29</v>
      </c>
      <c r="BH76" s="2">
        <f t="shared" si="5"/>
        <v>417.43999999999994</v>
      </c>
      <c r="BK76" s="2" t="s">
        <v>213</v>
      </c>
    </row>
    <row r="77" spans="1:63" x14ac:dyDescent="0.3">
      <c r="A77" s="6">
        <v>76</v>
      </c>
      <c r="B77" s="1" t="s">
        <v>214</v>
      </c>
      <c r="C77" s="1" t="s">
        <v>215</v>
      </c>
      <c r="D77" s="1" t="s">
        <v>216</v>
      </c>
      <c r="E77" s="1">
        <v>120.19428000000001</v>
      </c>
      <c r="F77" s="1">
        <v>442.53</v>
      </c>
      <c r="G77" s="1">
        <v>649.1</v>
      </c>
      <c r="H77" s="1">
        <v>298.14999999999998</v>
      </c>
      <c r="I77" s="6">
        <f t="shared" si="3"/>
        <v>324.55</v>
      </c>
      <c r="J77">
        <v>0</v>
      </c>
      <c r="K77">
        <v>9</v>
      </c>
      <c r="L77" s="6" t="s">
        <v>743</v>
      </c>
      <c r="M77">
        <v>0</v>
      </c>
      <c r="N77">
        <v>0</v>
      </c>
      <c r="O77">
        <v>0</v>
      </c>
      <c r="P77">
        <v>0</v>
      </c>
      <c r="Q77">
        <v>3</v>
      </c>
      <c r="R77">
        <v>3</v>
      </c>
      <c r="S77">
        <v>0</v>
      </c>
      <c r="T77">
        <v>0</v>
      </c>
      <c r="U77" s="6">
        <v>0</v>
      </c>
      <c r="V77">
        <v>0</v>
      </c>
      <c r="W77">
        <v>0</v>
      </c>
      <c r="X77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>
        <v>229.33</v>
      </c>
      <c r="AG77">
        <v>268.19330000000002</v>
      </c>
      <c r="AH77">
        <v>307.05669999999998</v>
      </c>
      <c r="AI77">
        <v>345.92</v>
      </c>
      <c r="AJ77">
        <v>384.7833</v>
      </c>
      <c r="AK77">
        <v>423.64670000000001</v>
      </c>
      <c r="AL77">
        <v>462.51</v>
      </c>
      <c r="AM77">
        <v>501.37329999999997</v>
      </c>
      <c r="AN77">
        <v>540.23670000000004</v>
      </c>
      <c r="AO77">
        <v>579.1</v>
      </c>
      <c r="AP77">
        <v>0.69346960000000002</v>
      </c>
      <c r="AQ77">
        <v>32.308190000000003</v>
      </c>
      <c r="AR77">
        <v>499.02080000000001</v>
      </c>
      <c r="AS77">
        <v>3797.491</v>
      </c>
      <c r="AT77">
        <v>17959.560000000001</v>
      </c>
      <c r="AU77">
        <v>60994.37</v>
      </c>
      <c r="AV77">
        <v>163473</v>
      </c>
      <c r="AW77">
        <v>368592</v>
      </c>
      <c r="AX77">
        <v>731180</v>
      </c>
      <c r="AY77">
        <v>1317800</v>
      </c>
      <c r="AZ77" s="2">
        <v>32.32</v>
      </c>
      <c r="BA77" s="2">
        <v>1.009749</v>
      </c>
      <c r="BB77" s="2">
        <v>3211470</v>
      </c>
      <c r="BC77" s="2">
        <f t="shared" si="4"/>
        <v>141.66000000000008</v>
      </c>
      <c r="BD77" s="2">
        <v>545.81500000000005</v>
      </c>
      <c r="BE77" s="2">
        <v>7.9989109999999997</v>
      </c>
      <c r="BG77">
        <v>169.38</v>
      </c>
      <c r="BH77" s="2">
        <f t="shared" si="5"/>
        <v>442.53</v>
      </c>
      <c r="BK77" s="2" t="s">
        <v>216</v>
      </c>
    </row>
    <row r="78" spans="1:63" x14ac:dyDescent="0.3">
      <c r="A78" s="6">
        <v>77</v>
      </c>
      <c r="B78" s="1" t="s">
        <v>217</v>
      </c>
      <c r="C78" s="1" t="s">
        <v>218</v>
      </c>
      <c r="D78" s="1" t="s">
        <v>219</v>
      </c>
      <c r="E78" s="1">
        <v>74.122799999999998</v>
      </c>
      <c r="F78" s="1">
        <v>391.9</v>
      </c>
      <c r="G78" s="1">
        <v>563.1</v>
      </c>
      <c r="H78" s="1">
        <v>298.14999999999998</v>
      </c>
      <c r="I78" s="6">
        <f t="shared" si="3"/>
        <v>281.55</v>
      </c>
      <c r="J78">
        <v>0</v>
      </c>
      <c r="K78">
        <v>4</v>
      </c>
      <c r="L78" s="6" t="s">
        <v>744</v>
      </c>
      <c r="M78">
        <v>1</v>
      </c>
      <c r="N78">
        <v>3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 s="6">
        <v>0</v>
      </c>
      <c r="V78">
        <v>0</v>
      </c>
      <c r="W78">
        <v>0</v>
      </c>
      <c r="X78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>
        <v>183.85</v>
      </c>
      <c r="AG78">
        <v>219.32220000000001</v>
      </c>
      <c r="AH78">
        <v>254.7944</v>
      </c>
      <c r="AI78">
        <v>290.26670000000001</v>
      </c>
      <c r="AJ78">
        <v>325.7389</v>
      </c>
      <c r="AK78">
        <v>361.21109999999999</v>
      </c>
      <c r="AL78">
        <v>396.68329999999997</v>
      </c>
      <c r="AM78">
        <v>432.15559999999999</v>
      </c>
      <c r="AN78">
        <v>467.62779999999998</v>
      </c>
      <c r="AO78">
        <v>503.1</v>
      </c>
      <c r="AP78">
        <v>2.8999700000000001E-4</v>
      </c>
      <c r="AQ78">
        <v>0.21840010000000001</v>
      </c>
      <c r="AR78">
        <v>20.004490000000001</v>
      </c>
      <c r="AS78">
        <v>498.9427</v>
      </c>
      <c r="AT78">
        <v>5306.5559999999996</v>
      </c>
      <c r="AU78">
        <v>31495.439999999999</v>
      </c>
      <c r="AV78">
        <v>123809</v>
      </c>
      <c r="AW78">
        <v>361564</v>
      </c>
      <c r="AX78">
        <v>850273</v>
      </c>
      <c r="AY78">
        <v>1708520</v>
      </c>
      <c r="AZ78" s="2">
        <v>44.14</v>
      </c>
      <c r="BA78" s="2">
        <v>1.0496160000000001</v>
      </c>
      <c r="BB78" s="2">
        <v>4400810</v>
      </c>
      <c r="BC78" s="2">
        <f t="shared" si="4"/>
        <v>114.89000000000004</v>
      </c>
      <c r="BD78" s="2">
        <v>477.5</v>
      </c>
      <c r="BE78" s="2">
        <v>10.4671</v>
      </c>
      <c r="BG78">
        <v>118.75</v>
      </c>
      <c r="BH78" s="2">
        <f t="shared" si="5"/>
        <v>391.9</v>
      </c>
      <c r="BK78" s="2" t="s">
        <v>219</v>
      </c>
    </row>
    <row r="79" spans="1:63" x14ac:dyDescent="0.3">
      <c r="A79" s="6">
        <v>78</v>
      </c>
      <c r="B79" s="1" t="s">
        <v>131</v>
      </c>
      <c r="C79" s="1" t="s">
        <v>132</v>
      </c>
      <c r="D79" s="8" t="s">
        <v>220</v>
      </c>
      <c r="E79" s="1">
        <v>130.23032000000001</v>
      </c>
      <c r="F79" s="1">
        <v>467.1</v>
      </c>
      <c r="G79" s="1">
        <v>652.29999999999995</v>
      </c>
      <c r="H79" s="1">
        <v>298.14999999999998</v>
      </c>
      <c r="I79" s="6">
        <f t="shared" si="3"/>
        <v>326.14999999999998</v>
      </c>
      <c r="J79">
        <v>0</v>
      </c>
      <c r="K79">
        <v>8</v>
      </c>
      <c r="L79" s="6" t="s">
        <v>745</v>
      </c>
      <c r="M79">
        <v>1</v>
      </c>
      <c r="N79">
        <v>7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 s="6">
        <v>0</v>
      </c>
      <c r="V79">
        <v>0</v>
      </c>
      <c r="W79">
        <v>0</v>
      </c>
      <c r="X79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>
        <v>257.64999999999998</v>
      </c>
      <c r="AG79">
        <v>294.8</v>
      </c>
      <c r="AH79">
        <v>331.95</v>
      </c>
      <c r="AI79">
        <v>369.1</v>
      </c>
      <c r="AJ79">
        <v>406.25</v>
      </c>
      <c r="AK79">
        <v>443.4</v>
      </c>
      <c r="AL79">
        <v>480.55</v>
      </c>
      <c r="AM79">
        <v>517.70000000000005</v>
      </c>
      <c r="AN79">
        <v>554.85</v>
      </c>
      <c r="AO79">
        <v>592</v>
      </c>
      <c r="AP79">
        <v>9.6005900000000005E-2</v>
      </c>
      <c r="AQ79">
        <v>7.9906170000000003</v>
      </c>
      <c r="AR79">
        <v>195.58629999999999</v>
      </c>
      <c r="AS79">
        <v>2092.5810000000001</v>
      </c>
      <c r="AT79">
        <v>12544.07</v>
      </c>
      <c r="AU79">
        <v>49632.65</v>
      </c>
      <c r="AV79">
        <v>145165</v>
      </c>
      <c r="AW79">
        <v>340622</v>
      </c>
      <c r="AX79">
        <v>682151</v>
      </c>
      <c r="AY79">
        <v>1224640</v>
      </c>
      <c r="AZ79" s="2">
        <v>27.83</v>
      </c>
      <c r="BA79" s="2">
        <v>1.01345</v>
      </c>
      <c r="BB79" s="2">
        <v>2781680</v>
      </c>
      <c r="BC79" s="2">
        <f t="shared" si="4"/>
        <v>119.96999999999991</v>
      </c>
      <c r="BD79" s="2">
        <v>559.70000000000005</v>
      </c>
      <c r="BE79" s="2">
        <v>7.4018940000000004</v>
      </c>
      <c r="BG79">
        <v>193.95</v>
      </c>
      <c r="BH79" s="2">
        <f t="shared" si="5"/>
        <v>467.09999999999997</v>
      </c>
      <c r="BK79" s="17">
        <v>37895</v>
      </c>
    </row>
    <row r="80" spans="1:63" x14ac:dyDescent="0.3">
      <c r="A80" s="6">
        <v>79</v>
      </c>
      <c r="B80" s="1" t="s">
        <v>134</v>
      </c>
      <c r="C80" s="1" t="s">
        <v>135</v>
      </c>
      <c r="D80" s="8" t="s">
        <v>221</v>
      </c>
      <c r="E80" s="1">
        <v>158.28407999999999</v>
      </c>
      <c r="F80" s="1">
        <v>503</v>
      </c>
      <c r="G80" s="1">
        <v>688</v>
      </c>
      <c r="H80" s="1">
        <v>298.14999999999998</v>
      </c>
      <c r="I80" s="6">
        <f t="shared" si="3"/>
        <v>344</v>
      </c>
      <c r="J80">
        <v>0</v>
      </c>
      <c r="K80">
        <v>10</v>
      </c>
      <c r="L80" s="6" t="s">
        <v>746</v>
      </c>
      <c r="M80">
        <v>1</v>
      </c>
      <c r="N80">
        <v>9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 s="6">
        <v>0</v>
      </c>
      <c r="V80">
        <v>0</v>
      </c>
      <c r="W80">
        <v>0</v>
      </c>
      <c r="X80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>
        <v>280.05</v>
      </c>
      <c r="AG80">
        <v>318.71109999999999</v>
      </c>
      <c r="AH80">
        <v>357.37220000000002</v>
      </c>
      <c r="AI80">
        <v>396.0333</v>
      </c>
      <c r="AJ80">
        <v>434.69439999999997</v>
      </c>
      <c r="AK80">
        <v>473.35559999999998</v>
      </c>
      <c r="AL80">
        <v>512.01670000000001</v>
      </c>
      <c r="AM80">
        <v>550.67780000000005</v>
      </c>
      <c r="AN80">
        <v>589.33889999999997</v>
      </c>
      <c r="AO80">
        <v>628</v>
      </c>
      <c r="AP80">
        <v>0.15055540000000001</v>
      </c>
      <c r="AQ80">
        <v>10.155099999999999</v>
      </c>
      <c r="AR80">
        <v>217.20500000000001</v>
      </c>
      <c r="AS80">
        <v>2119.134</v>
      </c>
      <c r="AT80">
        <v>11889.69</v>
      </c>
      <c r="AU80">
        <v>44805.61</v>
      </c>
      <c r="AV80">
        <v>126462</v>
      </c>
      <c r="AW80">
        <v>289608</v>
      </c>
      <c r="AX80">
        <v>572324</v>
      </c>
      <c r="AY80">
        <v>1025980</v>
      </c>
      <c r="AZ80" s="2">
        <v>23.08</v>
      </c>
      <c r="BA80" s="2">
        <v>1.014151</v>
      </c>
      <c r="BB80" s="2">
        <v>2309500</v>
      </c>
      <c r="BC80" s="2">
        <f t="shared" si="4"/>
        <v>116.20000000000005</v>
      </c>
      <c r="BD80" s="2">
        <v>595.5</v>
      </c>
      <c r="BE80" s="2">
        <v>6.3148960000000001</v>
      </c>
      <c r="BG80">
        <v>229.85</v>
      </c>
      <c r="BH80" s="2">
        <f t="shared" si="5"/>
        <v>503</v>
      </c>
      <c r="BK80" s="17">
        <v>37591</v>
      </c>
    </row>
    <row r="81" spans="1:63" x14ac:dyDescent="0.3">
      <c r="A81" s="6">
        <v>80</v>
      </c>
      <c r="B81" s="1" t="s">
        <v>222</v>
      </c>
      <c r="C81" s="1" t="s">
        <v>223</v>
      </c>
      <c r="D81" s="1" t="s">
        <v>224</v>
      </c>
      <c r="E81" s="1">
        <v>242.44535999999999</v>
      </c>
      <c r="F81" s="1">
        <v>598</v>
      </c>
      <c r="G81" s="1">
        <v>768.6</v>
      </c>
      <c r="H81" s="1">
        <v>298.14999999999998</v>
      </c>
      <c r="I81" s="6">
        <f t="shared" si="3"/>
        <v>384.3</v>
      </c>
      <c r="J81">
        <v>0</v>
      </c>
      <c r="K81">
        <v>16</v>
      </c>
      <c r="L81" s="6" t="s">
        <v>747</v>
      </c>
      <c r="M81">
        <v>1</v>
      </c>
      <c r="N81">
        <v>15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 s="6">
        <v>0</v>
      </c>
      <c r="V81">
        <v>0</v>
      </c>
      <c r="W81">
        <v>0</v>
      </c>
      <c r="X81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>
        <v>322.35000000000002</v>
      </c>
      <c r="AG81">
        <v>365.26670000000001</v>
      </c>
      <c r="AH81">
        <v>408.18329999999997</v>
      </c>
      <c r="AI81">
        <v>451.1</v>
      </c>
      <c r="AJ81">
        <v>494.01670000000001</v>
      </c>
      <c r="AK81">
        <v>536.93330000000003</v>
      </c>
      <c r="AL81">
        <v>579.85</v>
      </c>
      <c r="AM81">
        <v>622.76670000000001</v>
      </c>
      <c r="AN81">
        <v>665.68330000000003</v>
      </c>
      <c r="AO81">
        <v>708.6</v>
      </c>
      <c r="AP81">
        <v>5.3843799999999997E-2</v>
      </c>
      <c r="AQ81">
        <v>4.1379640000000002</v>
      </c>
      <c r="AR81">
        <v>97.653300000000002</v>
      </c>
      <c r="AS81">
        <v>1023.088</v>
      </c>
      <c r="AT81">
        <v>6039.5940000000001</v>
      </c>
      <c r="AU81">
        <v>23626.68</v>
      </c>
      <c r="AV81">
        <v>68764.11</v>
      </c>
      <c r="AW81">
        <v>162390</v>
      </c>
      <c r="AX81">
        <v>333232</v>
      </c>
      <c r="AY81">
        <v>629148</v>
      </c>
      <c r="AZ81" s="2">
        <v>14.68</v>
      </c>
      <c r="BA81" s="2">
        <v>1.010192</v>
      </c>
      <c r="BB81" s="2">
        <v>1463310</v>
      </c>
      <c r="BC81" s="2">
        <f t="shared" si="4"/>
        <v>93.740000000000009</v>
      </c>
      <c r="BD81" s="2">
        <v>683.3</v>
      </c>
      <c r="BE81" s="2">
        <v>4.3563679999999998</v>
      </c>
      <c r="BG81">
        <v>324.85000000000002</v>
      </c>
      <c r="BH81" s="2">
        <f t="shared" si="5"/>
        <v>598</v>
      </c>
      <c r="BK81" s="2" t="s">
        <v>224</v>
      </c>
    </row>
    <row r="82" spans="1:63" x14ac:dyDescent="0.3">
      <c r="A82" s="6">
        <v>81</v>
      </c>
      <c r="B82" s="1" t="s">
        <v>225</v>
      </c>
      <c r="C82" s="1" t="s">
        <v>108</v>
      </c>
      <c r="D82" s="8" t="s">
        <v>226</v>
      </c>
      <c r="E82" s="1">
        <v>270.49912</v>
      </c>
      <c r="F82" s="1">
        <v>623.6</v>
      </c>
      <c r="G82" s="1">
        <v>789.3</v>
      </c>
      <c r="H82" s="1">
        <v>298.14999999999998</v>
      </c>
      <c r="I82" s="6">
        <f t="shared" si="3"/>
        <v>394.65</v>
      </c>
      <c r="J82">
        <v>0</v>
      </c>
      <c r="K82">
        <v>18</v>
      </c>
      <c r="L82" s="6" t="s">
        <v>748</v>
      </c>
      <c r="M82">
        <v>1</v>
      </c>
      <c r="N82">
        <v>17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 s="6">
        <v>0</v>
      </c>
      <c r="V82">
        <v>0</v>
      </c>
      <c r="W82">
        <v>0</v>
      </c>
      <c r="X82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>
        <v>331.05</v>
      </c>
      <c r="AG82">
        <v>375.26670000000001</v>
      </c>
      <c r="AH82">
        <v>419.48329999999999</v>
      </c>
      <c r="AI82">
        <v>463.7</v>
      </c>
      <c r="AJ82">
        <v>507.91669999999999</v>
      </c>
      <c r="AK82">
        <v>552.13329999999996</v>
      </c>
      <c r="AL82">
        <v>596.35</v>
      </c>
      <c r="AM82">
        <v>640.56669999999997</v>
      </c>
      <c r="AN82">
        <v>684.78330000000005</v>
      </c>
      <c r="AO82">
        <v>729</v>
      </c>
      <c r="AP82">
        <v>2.9117799999999999E-2</v>
      </c>
      <c r="AQ82">
        <v>2.5125199999999999</v>
      </c>
      <c r="AR82">
        <v>64.967240000000004</v>
      </c>
      <c r="AS82">
        <v>732.99599999999998</v>
      </c>
      <c r="AT82">
        <v>4599.6080000000002</v>
      </c>
      <c r="AU82">
        <v>18927.38</v>
      </c>
      <c r="AV82">
        <v>57426.26</v>
      </c>
      <c r="AW82">
        <v>140205</v>
      </c>
      <c r="AX82">
        <v>295025</v>
      </c>
      <c r="AY82">
        <v>566347</v>
      </c>
      <c r="AZ82" s="2">
        <v>12.95</v>
      </c>
      <c r="BA82" s="2">
        <v>1.0165630000000001</v>
      </c>
      <c r="BB82" s="2">
        <v>1299670</v>
      </c>
      <c r="BC82" s="2">
        <f t="shared" si="4"/>
        <v>86.769999999999982</v>
      </c>
      <c r="BD82" s="2">
        <v>706.45</v>
      </c>
      <c r="BE82" s="2">
        <v>4.0947639999999996</v>
      </c>
      <c r="BG82">
        <v>350.45</v>
      </c>
      <c r="BH82" s="2">
        <f t="shared" si="5"/>
        <v>623.59999999999991</v>
      </c>
      <c r="BK82" s="17">
        <v>38261</v>
      </c>
    </row>
    <row r="83" spans="1:63" x14ac:dyDescent="0.3">
      <c r="A83" s="6">
        <v>82</v>
      </c>
      <c r="B83" s="1" t="s">
        <v>200</v>
      </c>
      <c r="C83" s="1" t="s">
        <v>201</v>
      </c>
      <c r="D83" s="1" t="s">
        <v>227</v>
      </c>
      <c r="E83" s="1">
        <v>60.05256</v>
      </c>
      <c r="F83" s="1">
        <v>391.05</v>
      </c>
      <c r="G83" s="1">
        <v>591.95000000000005</v>
      </c>
      <c r="H83" s="1">
        <v>298.14999999999998</v>
      </c>
      <c r="I83" s="6">
        <f t="shared" si="3"/>
        <v>295.97500000000002</v>
      </c>
      <c r="J83">
        <v>0</v>
      </c>
      <c r="K83">
        <v>2</v>
      </c>
      <c r="L83" s="6" t="s">
        <v>749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 s="6">
        <v>0</v>
      </c>
      <c r="V83">
        <v>0</v>
      </c>
      <c r="W83">
        <v>0</v>
      </c>
      <c r="X83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>
        <v>289.81</v>
      </c>
      <c r="AG83">
        <v>314.38670000000002</v>
      </c>
      <c r="AH83">
        <v>338.9633</v>
      </c>
      <c r="AI83">
        <v>363.54</v>
      </c>
      <c r="AJ83">
        <v>388.11669999999998</v>
      </c>
      <c r="AK83">
        <v>412.69330000000002</v>
      </c>
      <c r="AL83">
        <v>437.27</v>
      </c>
      <c r="AM83">
        <v>461.8467</v>
      </c>
      <c r="AN83">
        <v>486.42329999999998</v>
      </c>
      <c r="AO83">
        <v>511</v>
      </c>
      <c r="AP83">
        <v>1276.9000000000001</v>
      </c>
      <c r="AQ83">
        <v>4945.3010000000004</v>
      </c>
      <c r="AR83">
        <v>15390.8</v>
      </c>
      <c r="AS83">
        <v>40338.54</v>
      </c>
      <c r="AT83">
        <v>92214.57</v>
      </c>
      <c r="AU83">
        <v>188873</v>
      </c>
      <c r="AV83">
        <v>353984</v>
      </c>
      <c r="AW83">
        <v>617422</v>
      </c>
      <c r="AX83">
        <v>1016240</v>
      </c>
      <c r="AY83">
        <v>1596960</v>
      </c>
      <c r="AZ83" s="2">
        <v>57.86</v>
      </c>
      <c r="BA83" s="2">
        <v>1.0098830000000001</v>
      </c>
      <c r="BB83" s="2">
        <v>5739020</v>
      </c>
      <c r="BC83" s="2">
        <f t="shared" si="4"/>
        <v>141.7050000000001</v>
      </c>
      <c r="BD83" s="2">
        <v>491.5</v>
      </c>
      <c r="BE83" s="2">
        <v>11.19538</v>
      </c>
      <c r="BG83">
        <v>117.9</v>
      </c>
      <c r="BH83" s="2">
        <f t="shared" si="5"/>
        <v>391.04999999999995</v>
      </c>
      <c r="BK83" s="2" t="s">
        <v>227</v>
      </c>
    </row>
    <row r="84" spans="1:63" x14ac:dyDescent="0.3">
      <c r="A84" s="6">
        <v>83</v>
      </c>
      <c r="B84" s="1" t="s">
        <v>228</v>
      </c>
      <c r="C84" s="1" t="s">
        <v>229</v>
      </c>
      <c r="D84" s="1" t="s">
        <v>230</v>
      </c>
      <c r="E84" s="1">
        <v>74.079440000000005</v>
      </c>
      <c r="F84" s="1">
        <v>414.32</v>
      </c>
      <c r="G84" s="1">
        <v>600.80999999999995</v>
      </c>
      <c r="H84" s="1">
        <v>298.14999999999998</v>
      </c>
      <c r="I84" s="6">
        <f t="shared" si="3"/>
        <v>300.40499999999997</v>
      </c>
      <c r="J84">
        <v>0</v>
      </c>
      <c r="K84">
        <v>3</v>
      </c>
      <c r="L84" s="6" t="s">
        <v>750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 s="6">
        <v>0</v>
      </c>
      <c r="V84">
        <v>0</v>
      </c>
      <c r="W84">
        <v>0</v>
      </c>
      <c r="X84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>
        <v>252.45</v>
      </c>
      <c r="AG84">
        <v>282.17779999999999</v>
      </c>
      <c r="AH84">
        <v>311.90559999999999</v>
      </c>
      <c r="AI84">
        <v>341.63330000000002</v>
      </c>
      <c r="AJ84">
        <v>371.36110000000002</v>
      </c>
      <c r="AK84">
        <v>401.08890000000002</v>
      </c>
      <c r="AL84">
        <v>430.81670000000003</v>
      </c>
      <c r="AM84">
        <v>460.5444</v>
      </c>
      <c r="AN84">
        <v>490.2722</v>
      </c>
      <c r="AO84">
        <v>520</v>
      </c>
      <c r="AP84">
        <v>13.14179</v>
      </c>
      <c r="AQ84">
        <v>161.34100000000001</v>
      </c>
      <c r="AR84">
        <v>1176.68</v>
      </c>
      <c r="AS84">
        <v>5863.2160000000003</v>
      </c>
      <c r="AT84">
        <v>21939.84</v>
      </c>
      <c r="AU84">
        <v>65869.62</v>
      </c>
      <c r="AV84">
        <v>166418</v>
      </c>
      <c r="AW84">
        <v>366516</v>
      </c>
      <c r="AX84">
        <v>722670</v>
      </c>
      <c r="AY84">
        <v>1302200</v>
      </c>
      <c r="AZ84" s="2">
        <v>46.68</v>
      </c>
      <c r="BA84" s="2">
        <v>1.0140880000000001</v>
      </c>
      <c r="BB84" s="2">
        <v>4607990</v>
      </c>
      <c r="BC84" s="2">
        <f t="shared" si="4"/>
        <v>126.40899999999993</v>
      </c>
      <c r="BD84" s="2">
        <v>507.56499999999994</v>
      </c>
      <c r="BE84" s="2">
        <v>10.27957</v>
      </c>
      <c r="BG84">
        <v>141.16999999999999</v>
      </c>
      <c r="BH84" s="2">
        <f t="shared" si="5"/>
        <v>414.31999999999994</v>
      </c>
      <c r="BK84" s="2" t="s">
        <v>230</v>
      </c>
    </row>
    <row r="85" spans="1:63" x14ac:dyDescent="0.3">
      <c r="A85" s="6">
        <v>84</v>
      </c>
      <c r="B85" s="1" t="s">
        <v>231</v>
      </c>
      <c r="C85" s="1" t="s">
        <v>232</v>
      </c>
      <c r="D85" s="1" t="s">
        <v>233</v>
      </c>
      <c r="E85" s="1">
        <v>88.106319999999997</v>
      </c>
      <c r="F85" s="1">
        <v>436.42</v>
      </c>
      <c r="G85" s="1">
        <v>615.70000000000005</v>
      </c>
      <c r="H85" s="1">
        <v>298.14999999999998</v>
      </c>
      <c r="I85" s="6">
        <f t="shared" si="3"/>
        <v>307.85000000000002</v>
      </c>
      <c r="J85">
        <v>0</v>
      </c>
      <c r="K85">
        <v>4</v>
      </c>
      <c r="L85" s="6" t="s">
        <v>751</v>
      </c>
      <c r="M85">
        <v>1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 s="6">
        <v>0</v>
      </c>
      <c r="V85">
        <v>0</v>
      </c>
      <c r="W85">
        <v>0</v>
      </c>
      <c r="X85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>
        <v>267.95</v>
      </c>
      <c r="AG85">
        <v>298.73329999999999</v>
      </c>
      <c r="AH85">
        <v>329.51670000000001</v>
      </c>
      <c r="AI85">
        <v>360.3</v>
      </c>
      <c r="AJ85">
        <v>391.08330000000001</v>
      </c>
      <c r="AK85">
        <v>421.86669999999998</v>
      </c>
      <c r="AL85">
        <v>452.65</v>
      </c>
      <c r="AM85">
        <v>483.43329999999997</v>
      </c>
      <c r="AN85">
        <v>514.21669999999995</v>
      </c>
      <c r="AO85">
        <v>545</v>
      </c>
      <c r="AP85">
        <v>10.25076</v>
      </c>
      <c r="AQ85">
        <v>139.14510000000001</v>
      </c>
      <c r="AR85">
        <v>1080.577</v>
      </c>
      <c r="AS85">
        <v>5581.4790000000003</v>
      </c>
      <c r="AT85">
        <v>21250.48</v>
      </c>
      <c r="AU85">
        <v>64132.31</v>
      </c>
      <c r="AV85">
        <v>161790</v>
      </c>
      <c r="AW85">
        <v>355142</v>
      </c>
      <c r="AX85">
        <v>699819</v>
      </c>
      <c r="AY85">
        <v>1269410</v>
      </c>
      <c r="AZ85" s="2">
        <v>40.6</v>
      </c>
      <c r="BA85" s="2">
        <v>1.0129699999999999</v>
      </c>
      <c r="BB85" s="2">
        <v>4058930</v>
      </c>
      <c r="BC85" s="2">
        <f t="shared" si="4"/>
        <v>117.71000000000009</v>
      </c>
      <c r="BD85" s="2">
        <v>526.06000000000006</v>
      </c>
      <c r="BE85" s="2">
        <v>8.8758990000000004</v>
      </c>
      <c r="BG85">
        <v>163.27000000000001</v>
      </c>
      <c r="BH85" s="2">
        <f t="shared" si="5"/>
        <v>436.41999999999996</v>
      </c>
      <c r="BK85" s="2" t="s">
        <v>233</v>
      </c>
    </row>
    <row r="86" spans="1:63" x14ac:dyDescent="0.3">
      <c r="A86" s="6">
        <v>85</v>
      </c>
      <c r="B86" s="1" t="s">
        <v>234</v>
      </c>
      <c r="C86" s="1" t="s">
        <v>235</v>
      </c>
      <c r="D86" s="1" t="s">
        <v>236</v>
      </c>
      <c r="E86" s="1">
        <v>102.1332</v>
      </c>
      <c r="F86" s="1">
        <v>458.95</v>
      </c>
      <c r="G86" s="1">
        <v>639.16</v>
      </c>
      <c r="H86" s="1">
        <v>298.14999999999998</v>
      </c>
      <c r="I86" s="6">
        <f t="shared" si="3"/>
        <v>319.58</v>
      </c>
      <c r="J86">
        <v>0</v>
      </c>
      <c r="K86">
        <v>5</v>
      </c>
      <c r="L86" s="6" t="s">
        <v>752</v>
      </c>
      <c r="M86">
        <v>1</v>
      </c>
      <c r="N86">
        <v>3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 s="6">
        <v>0</v>
      </c>
      <c r="V86">
        <v>0</v>
      </c>
      <c r="W86">
        <v>0</v>
      </c>
      <c r="X8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>
        <v>239.15</v>
      </c>
      <c r="AG86">
        <v>275.8</v>
      </c>
      <c r="AH86">
        <v>312.45</v>
      </c>
      <c r="AI86">
        <v>349.1</v>
      </c>
      <c r="AJ86">
        <v>385.75</v>
      </c>
      <c r="AK86">
        <v>422.4</v>
      </c>
      <c r="AL86">
        <v>459.05</v>
      </c>
      <c r="AM86">
        <v>495.7</v>
      </c>
      <c r="AN86">
        <v>532.35</v>
      </c>
      <c r="AO86">
        <v>569</v>
      </c>
      <c r="AP86">
        <v>3.9589100000000002E-2</v>
      </c>
      <c r="AQ86">
        <v>3.3865080000000001</v>
      </c>
      <c r="AR86">
        <v>87.92165</v>
      </c>
      <c r="AS86">
        <v>1025.982</v>
      </c>
      <c r="AT86">
        <v>6848.3590000000004</v>
      </c>
      <c r="AU86">
        <v>30571.71</v>
      </c>
      <c r="AV86">
        <v>101491</v>
      </c>
      <c r="AW86">
        <v>270100</v>
      </c>
      <c r="AX86">
        <v>609010</v>
      </c>
      <c r="AY86">
        <v>1213750</v>
      </c>
      <c r="AZ86" s="2">
        <v>36.299999999999997</v>
      </c>
      <c r="BA86" s="2">
        <v>1.0119260000000001</v>
      </c>
      <c r="BB86" s="2">
        <v>3626340</v>
      </c>
      <c r="BC86" s="2">
        <f t="shared" si="4"/>
        <v>116.29400000000004</v>
      </c>
      <c r="BD86" s="2">
        <v>549.05499999999995</v>
      </c>
      <c r="BE86" s="2">
        <v>8.4494869999999995</v>
      </c>
      <c r="BG86">
        <v>185.8</v>
      </c>
      <c r="BH86" s="2">
        <f t="shared" si="5"/>
        <v>458.95</v>
      </c>
      <c r="BK86" s="2" t="s">
        <v>236</v>
      </c>
    </row>
    <row r="87" spans="1:63" x14ac:dyDescent="0.3">
      <c r="A87" s="6">
        <v>86</v>
      </c>
      <c r="B87" s="1" t="s">
        <v>237</v>
      </c>
      <c r="C87" s="1" t="s">
        <v>238</v>
      </c>
      <c r="D87" s="1" t="s">
        <v>239</v>
      </c>
      <c r="E87" s="1">
        <v>116.16007999999999</v>
      </c>
      <c r="F87" s="1">
        <v>478.85</v>
      </c>
      <c r="G87" s="1">
        <v>660.2</v>
      </c>
      <c r="H87" s="1">
        <v>298.14999999999998</v>
      </c>
      <c r="I87" s="6">
        <f t="shared" si="3"/>
        <v>330.1</v>
      </c>
      <c r="J87">
        <v>0</v>
      </c>
      <c r="K87">
        <v>6</v>
      </c>
      <c r="L87" s="6" t="s">
        <v>753</v>
      </c>
      <c r="M87">
        <v>1</v>
      </c>
      <c r="N87">
        <v>4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 s="6">
        <v>0</v>
      </c>
      <c r="V87">
        <v>0</v>
      </c>
      <c r="W87">
        <v>0</v>
      </c>
      <c r="X87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>
        <v>269.25</v>
      </c>
      <c r="AG87">
        <v>306</v>
      </c>
      <c r="AH87">
        <v>342.75</v>
      </c>
      <c r="AI87">
        <v>379.5</v>
      </c>
      <c r="AJ87">
        <v>416.25</v>
      </c>
      <c r="AK87">
        <v>453</v>
      </c>
      <c r="AL87">
        <v>489.75</v>
      </c>
      <c r="AM87">
        <v>526.5</v>
      </c>
      <c r="AN87">
        <v>563.25</v>
      </c>
      <c r="AO87">
        <v>600</v>
      </c>
      <c r="AP87">
        <v>0.31691550000000002</v>
      </c>
      <c r="AQ87">
        <v>13.82498</v>
      </c>
      <c r="AR87">
        <v>235.55680000000001</v>
      </c>
      <c r="AS87">
        <v>2088.6579999999999</v>
      </c>
      <c r="AT87">
        <v>11583.03</v>
      </c>
      <c r="AU87">
        <v>45445.68</v>
      </c>
      <c r="AV87">
        <v>137469</v>
      </c>
      <c r="AW87">
        <v>341124</v>
      </c>
      <c r="AX87">
        <v>727368</v>
      </c>
      <c r="AY87">
        <v>1381270</v>
      </c>
      <c r="AZ87" s="2">
        <v>33.08</v>
      </c>
      <c r="BA87" s="2">
        <v>1.013109</v>
      </c>
      <c r="BB87" s="2">
        <v>3307360</v>
      </c>
      <c r="BC87" s="2">
        <f t="shared" si="4"/>
        <v>115.33000000000004</v>
      </c>
      <c r="BD87" s="2">
        <v>569.52500000000009</v>
      </c>
      <c r="BE87" s="2">
        <v>8.175179</v>
      </c>
      <c r="BG87">
        <v>205.7</v>
      </c>
      <c r="BH87" s="2">
        <f t="shared" si="5"/>
        <v>478.84999999999997</v>
      </c>
      <c r="BK87" s="2" t="s">
        <v>239</v>
      </c>
    </row>
    <row r="88" spans="1:63" x14ac:dyDescent="0.3">
      <c r="A88" s="6">
        <v>87</v>
      </c>
      <c r="B88" s="1" t="s">
        <v>240</v>
      </c>
      <c r="C88" s="1" t="s">
        <v>65</v>
      </c>
      <c r="D88" s="1" t="s">
        <v>241</v>
      </c>
      <c r="E88" s="1">
        <v>144.21384</v>
      </c>
      <c r="F88" s="1">
        <v>512.85</v>
      </c>
      <c r="G88" s="1">
        <v>694.26</v>
      </c>
      <c r="H88" s="1">
        <v>298.14999999999998</v>
      </c>
      <c r="I88" s="6">
        <f t="shared" si="3"/>
        <v>347.13</v>
      </c>
      <c r="J88">
        <v>0</v>
      </c>
      <c r="K88">
        <v>8</v>
      </c>
      <c r="L88" s="6" t="s">
        <v>690</v>
      </c>
      <c r="M88">
        <v>1</v>
      </c>
      <c r="N88">
        <v>6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 s="6">
        <v>0</v>
      </c>
      <c r="V88">
        <v>0</v>
      </c>
      <c r="W88">
        <v>0</v>
      </c>
      <c r="X88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>
        <v>289.64999999999998</v>
      </c>
      <c r="AG88">
        <v>326.8</v>
      </c>
      <c r="AH88">
        <v>363.95</v>
      </c>
      <c r="AI88">
        <v>401.1</v>
      </c>
      <c r="AJ88">
        <v>438.25</v>
      </c>
      <c r="AK88">
        <v>475.4</v>
      </c>
      <c r="AL88">
        <v>512.54999999999995</v>
      </c>
      <c r="AM88">
        <v>549.70000000000005</v>
      </c>
      <c r="AN88">
        <v>586.85</v>
      </c>
      <c r="AO88">
        <v>624</v>
      </c>
      <c r="AP88">
        <v>0.2764934</v>
      </c>
      <c r="AQ88">
        <v>11.102690000000001</v>
      </c>
      <c r="AR88">
        <v>181.47040000000001</v>
      </c>
      <c r="AS88">
        <v>1573.6479999999999</v>
      </c>
      <c r="AT88">
        <v>8611.8070000000007</v>
      </c>
      <c r="AU88">
        <v>33485.199999999997</v>
      </c>
      <c r="AV88">
        <v>100626</v>
      </c>
      <c r="AW88">
        <v>248597</v>
      </c>
      <c r="AX88">
        <v>529209</v>
      </c>
      <c r="AY88">
        <v>1007370</v>
      </c>
      <c r="AZ88" s="2">
        <v>27.79</v>
      </c>
      <c r="BA88" s="2">
        <v>1.014354</v>
      </c>
      <c r="BB88" s="2">
        <v>2781180</v>
      </c>
      <c r="BC88" s="2">
        <f t="shared" si="4"/>
        <v>111.98400000000004</v>
      </c>
      <c r="BD88" s="2">
        <v>603.55500000000006</v>
      </c>
      <c r="BE88" s="2">
        <v>7.1532419999999997</v>
      </c>
      <c r="BG88">
        <v>239.7</v>
      </c>
      <c r="BH88" s="2">
        <f t="shared" si="5"/>
        <v>512.84999999999991</v>
      </c>
      <c r="BK88" s="2" t="s">
        <v>241</v>
      </c>
    </row>
    <row r="89" spans="1:63" x14ac:dyDescent="0.3">
      <c r="A89" s="6">
        <v>88</v>
      </c>
      <c r="B89" s="1" t="s">
        <v>242</v>
      </c>
      <c r="C89" s="1" t="s">
        <v>71</v>
      </c>
      <c r="D89" s="1" t="s">
        <v>243</v>
      </c>
      <c r="E89" s="1">
        <v>200.32136</v>
      </c>
      <c r="F89" s="1">
        <v>571.85</v>
      </c>
      <c r="G89" s="1">
        <v>743</v>
      </c>
      <c r="H89" s="1">
        <v>298.14999999999998</v>
      </c>
      <c r="I89" s="6">
        <f t="shared" si="3"/>
        <v>371.5</v>
      </c>
      <c r="J89">
        <v>0</v>
      </c>
      <c r="K89">
        <v>12</v>
      </c>
      <c r="L89" s="6" t="s">
        <v>692</v>
      </c>
      <c r="M89">
        <v>1</v>
      </c>
      <c r="N89">
        <v>10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 s="6">
        <v>0</v>
      </c>
      <c r="V89">
        <v>0</v>
      </c>
      <c r="W89">
        <v>0</v>
      </c>
      <c r="X89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>
        <v>316.98</v>
      </c>
      <c r="AG89">
        <v>355.42669999999998</v>
      </c>
      <c r="AH89">
        <v>393.87329999999997</v>
      </c>
      <c r="AI89">
        <v>432.32</v>
      </c>
      <c r="AJ89">
        <v>470.76670000000001</v>
      </c>
      <c r="AK89">
        <v>509.2133</v>
      </c>
      <c r="AL89">
        <v>547.66</v>
      </c>
      <c r="AM89">
        <v>586.10670000000005</v>
      </c>
      <c r="AN89">
        <v>624.55330000000004</v>
      </c>
      <c r="AO89">
        <v>663</v>
      </c>
      <c r="AP89">
        <v>7.9033400000000004E-2</v>
      </c>
      <c r="AQ89">
        <v>3.7361789999999999</v>
      </c>
      <c r="AR89">
        <v>70.275260000000003</v>
      </c>
      <c r="AS89">
        <v>684.23710000000005</v>
      </c>
      <c r="AT89">
        <v>4110.0630000000001</v>
      </c>
      <c r="AU89">
        <v>17202.759999999998</v>
      </c>
      <c r="AV89">
        <v>54759.34</v>
      </c>
      <c r="AW89">
        <v>141475</v>
      </c>
      <c r="AX89">
        <v>311870</v>
      </c>
      <c r="AY89">
        <v>610415</v>
      </c>
      <c r="AZ89" s="2">
        <v>19.3</v>
      </c>
      <c r="BA89" s="2">
        <v>1.016024</v>
      </c>
      <c r="BB89" s="2">
        <v>1935530</v>
      </c>
      <c r="BC89" s="2">
        <f t="shared" si="4"/>
        <v>96.850000000000023</v>
      </c>
      <c r="BD89" s="2">
        <v>657.42499999999995</v>
      </c>
      <c r="BE89" s="2">
        <v>5.5713679999999997</v>
      </c>
      <c r="BG89">
        <v>298.7</v>
      </c>
      <c r="BH89" s="2">
        <f t="shared" si="5"/>
        <v>571.84999999999991</v>
      </c>
      <c r="BK89" s="2" t="s">
        <v>243</v>
      </c>
    </row>
    <row r="90" spans="1:63" x14ac:dyDescent="0.3">
      <c r="A90" s="6">
        <v>89</v>
      </c>
      <c r="B90" s="1" t="s">
        <v>244</v>
      </c>
      <c r="C90" s="1" t="s">
        <v>245</v>
      </c>
      <c r="D90" s="1" t="s">
        <v>246</v>
      </c>
      <c r="E90" s="1">
        <v>56.107520000000001</v>
      </c>
      <c r="F90" s="1">
        <v>285.66000000000003</v>
      </c>
      <c r="G90" s="1">
        <v>459.93</v>
      </c>
      <c r="H90" s="1">
        <v>298.14999999999998</v>
      </c>
      <c r="I90" s="6">
        <f t="shared" si="3"/>
        <v>229.965</v>
      </c>
      <c r="J90">
        <v>0</v>
      </c>
      <c r="K90">
        <v>4</v>
      </c>
      <c r="L90" s="6" t="s">
        <v>754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s="6">
        <v>0</v>
      </c>
      <c r="V90">
        <v>4</v>
      </c>
      <c r="W90">
        <v>0</v>
      </c>
      <c r="X90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>
        <v>182.48</v>
      </c>
      <c r="AG90">
        <v>206.5378</v>
      </c>
      <c r="AH90">
        <v>230.59559999999999</v>
      </c>
      <c r="AI90">
        <v>254.6533</v>
      </c>
      <c r="AJ90">
        <v>278.71109999999999</v>
      </c>
      <c r="AK90">
        <v>302.76889999999997</v>
      </c>
      <c r="AL90">
        <v>326.82670000000002</v>
      </c>
      <c r="AM90">
        <v>350.88440000000003</v>
      </c>
      <c r="AN90">
        <v>374.94220000000001</v>
      </c>
      <c r="AO90">
        <v>399</v>
      </c>
      <c r="AP90">
        <v>180.101</v>
      </c>
      <c r="AQ90">
        <v>1514.502</v>
      </c>
      <c r="AR90">
        <v>7710.0379999999996</v>
      </c>
      <c r="AS90">
        <v>27740.3</v>
      </c>
      <c r="AT90">
        <v>77894.63</v>
      </c>
      <c r="AU90">
        <v>182383</v>
      </c>
      <c r="AV90">
        <v>372704</v>
      </c>
      <c r="AW90">
        <v>686597</v>
      </c>
      <c r="AX90">
        <v>1167360</v>
      </c>
      <c r="AY90">
        <v>1863930</v>
      </c>
      <c r="AZ90" s="2">
        <v>49.8</v>
      </c>
      <c r="BA90" s="2">
        <v>1.0123340000000001</v>
      </c>
      <c r="BB90" s="2">
        <v>4991450</v>
      </c>
      <c r="BC90" s="2">
        <f t="shared" si="4"/>
        <v>128.27699999999999</v>
      </c>
      <c r="BD90" s="2">
        <v>372.79500000000002</v>
      </c>
      <c r="BE90" s="2">
        <v>11.164429999999999</v>
      </c>
      <c r="BG90">
        <v>12.51</v>
      </c>
      <c r="BH90" s="2">
        <f t="shared" si="5"/>
        <v>285.65999999999997</v>
      </c>
      <c r="BK90" s="2" t="s">
        <v>246</v>
      </c>
    </row>
    <row r="91" spans="1:63" x14ac:dyDescent="0.3">
      <c r="A91" s="6">
        <v>90</v>
      </c>
      <c r="B91" s="1" t="s">
        <v>247</v>
      </c>
      <c r="C91" s="1" t="s">
        <v>248</v>
      </c>
      <c r="D91" s="1" t="s">
        <v>249</v>
      </c>
      <c r="E91" s="1">
        <v>70.134399999999999</v>
      </c>
      <c r="F91" s="1">
        <v>322.39999999999998</v>
      </c>
      <c r="G91" s="1">
        <v>511.7</v>
      </c>
      <c r="H91" s="1">
        <v>298.14999999999998</v>
      </c>
      <c r="I91" s="6">
        <f t="shared" si="3"/>
        <v>255.85</v>
      </c>
      <c r="J91">
        <v>0</v>
      </c>
      <c r="K91">
        <v>5</v>
      </c>
      <c r="L91" s="6" t="s">
        <v>755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s="6">
        <v>0</v>
      </c>
      <c r="V91">
        <v>5</v>
      </c>
      <c r="W91">
        <v>0</v>
      </c>
      <c r="X91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>
        <v>179.31100000000001</v>
      </c>
      <c r="AG91">
        <v>208.38759999999999</v>
      </c>
      <c r="AH91">
        <v>237.4641</v>
      </c>
      <c r="AI91">
        <v>266.54070000000002</v>
      </c>
      <c r="AJ91">
        <v>295.61720000000003</v>
      </c>
      <c r="AK91">
        <v>324.69380000000001</v>
      </c>
      <c r="AL91">
        <v>353.77030000000002</v>
      </c>
      <c r="AM91">
        <v>382.84690000000001</v>
      </c>
      <c r="AN91">
        <v>411.92340000000002</v>
      </c>
      <c r="AO91">
        <v>441</v>
      </c>
      <c r="AP91">
        <v>9.1076580000000007</v>
      </c>
      <c r="AQ91">
        <v>200.47970000000001</v>
      </c>
      <c r="AR91">
        <v>1893.222</v>
      </c>
      <c r="AS91">
        <v>10283.24</v>
      </c>
      <c r="AT91">
        <v>38281.43</v>
      </c>
      <c r="AU91">
        <v>109127</v>
      </c>
      <c r="AV91">
        <v>256340</v>
      </c>
      <c r="AW91">
        <v>521781</v>
      </c>
      <c r="AX91">
        <v>953658</v>
      </c>
      <c r="AY91">
        <v>1605940</v>
      </c>
      <c r="AZ91" s="2">
        <v>45.1</v>
      </c>
      <c r="BA91" s="2">
        <v>1.012602</v>
      </c>
      <c r="BB91" s="2">
        <v>4512730</v>
      </c>
      <c r="BC91" s="2">
        <f t="shared" si="4"/>
        <v>138.13</v>
      </c>
      <c r="BD91" s="2">
        <v>417.04999999999995</v>
      </c>
      <c r="BE91" s="2">
        <v>10.510260000000001</v>
      </c>
      <c r="BG91">
        <v>49.25</v>
      </c>
      <c r="BH91" s="2">
        <f t="shared" si="5"/>
        <v>322.39999999999998</v>
      </c>
      <c r="BK91" s="2" t="s">
        <v>249</v>
      </c>
    </row>
    <row r="92" spans="1:63" x14ac:dyDescent="0.3">
      <c r="A92" s="6">
        <v>91</v>
      </c>
      <c r="B92" s="1" t="s">
        <v>250</v>
      </c>
      <c r="C92" s="1" t="s">
        <v>251</v>
      </c>
      <c r="D92" s="1" t="s">
        <v>252</v>
      </c>
      <c r="E92" s="1">
        <v>98.188159999999996</v>
      </c>
      <c r="F92" s="1">
        <v>391.94</v>
      </c>
      <c r="G92" s="1">
        <v>604.20000000000005</v>
      </c>
      <c r="H92" s="1">
        <v>298.14999999999998</v>
      </c>
      <c r="I92" s="6">
        <f t="shared" si="3"/>
        <v>302.10000000000002</v>
      </c>
      <c r="J92">
        <v>0</v>
      </c>
      <c r="K92">
        <v>7</v>
      </c>
      <c r="L92" s="6" t="s">
        <v>756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s="6">
        <v>0</v>
      </c>
      <c r="V92">
        <v>7</v>
      </c>
      <c r="W92">
        <v>0</v>
      </c>
      <c r="X92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>
        <v>265.12</v>
      </c>
      <c r="AG92">
        <v>296.10669999999999</v>
      </c>
      <c r="AH92">
        <v>327.0933</v>
      </c>
      <c r="AI92">
        <v>358.08</v>
      </c>
      <c r="AJ92">
        <v>389.06670000000003</v>
      </c>
      <c r="AK92">
        <v>420.05329999999998</v>
      </c>
      <c r="AL92">
        <v>451.04</v>
      </c>
      <c r="AM92">
        <v>482.02670000000001</v>
      </c>
      <c r="AN92">
        <v>513.01329999999996</v>
      </c>
      <c r="AO92">
        <v>544</v>
      </c>
      <c r="AP92">
        <v>398.71140000000003</v>
      </c>
      <c r="AQ92">
        <v>2613.7869999999998</v>
      </c>
      <c r="AR92">
        <v>11292.49</v>
      </c>
      <c r="AS92">
        <v>36230.01</v>
      </c>
      <c r="AT92">
        <v>93514.58</v>
      </c>
      <c r="AU92">
        <v>205277</v>
      </c>
      <c r="AV92">
        <v>398708</v>
      </c>
      <c r="AW92">
        <v>705332</v>
      </c>
      <c r="AX92">
        <v>1161250</v>
      </c>
      <c r="AY92">
        <v>1808700</v>
      </c>
      <c r="AZ92" s="2">
        <v>38.200000000000003</v>
      </c>
      <c r="BA92" s="2">
        <v>1.0120359999999999</v>
      </c>
      <c r="BB92" s="2">
        <v>3818490</v>
      </c>
      <c r="BC92" s="2">
        <f t="shared" si="4"/>
        <v>151.84000000000009</v>
      </c>
      <c r="BD92" s="2">
        <v>498.07000000000005</v>
      </c>
      <c r="BE92" s="2">
        <v>9.2025030000000001</v>
      </c>
      <c r="BG92">
        <v>118.79</v>
      </c>
      <c r="BH92" s="2">
        <f t="shared" si="5"/>
        <v>391.94</v>
      </c>
      <c r="BK92" s="2" t="s">
        <v>252</v>
      </c>
    </row>
    <row r="93" spans="1:63" x14ac:dyDescent="0.3">
      <c r="A93" s="6">
        <v>92</v>
      </c>
      <c r="B93" s="1" t="s">
        <v>253</v>
      </c>
      <c r="C93" s="1" t="s">
        <v>254</v>
      </c>
      <c r="D93" s="1" t="s">
        <v>255</v>
      </c>
      <c r="E93" s="1">
        <v>112.21504</v>
      </c>
      <c r="F93" s="1">
        <v>424.29</v>
      </c>
      <c r="G93" s="1">
        <v>647.20000000000005</v>
      </c>
      <c r="H93" s="1">
        <v>298.14999999999998</v>
      </c>
      <c r="I93" s="6">
        <f t="shared" si="3"/>
        <v>323.60000000000002</v>
      </c>
      <c r="J93">
        <v>0</v>
      </c>
      <c r="K93">
        <v>8</v>
      </c>
      <c r="L93" s="6" t="s">
        <v>757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s="6">
        <v>0</v>
      </c>
      <c r="V93">
        <v>8</v>
      </c>
      <c r="W93">
        <v>0</v>
      </c>
      <c r="X93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>
        <v>287.95</v>
      </c>
      <c r="AG93">
        <v>321.17779999999999</v>
      </c>
      <c r="AH93">
        <v>354.40559999999999</v>
      </c>
      <c r="AI93">
        <v>387.63330000000002</v>
      </c>
      <c r="AJ93">
        <v>420.86110000000002</v>
      </c>
      <c r="AK93">
        <v>454.08890000000002</v>
      </c>
      <c r="AL93">
        <v>487.31670000000003</v>
      </c>
      <c r="AM93">
        <v>520.5444</v>
      </c>
      <c r="AN93">
        <v>553.7722</v>
      </c>
      <c r="AO93">
        <v>587</v>
      </c>
      <c r="AP93">
        <v>401.58640000000003</v>
      </c>
      <c r="AQ93">
        <v>2611.299</v>
      </c>
      <c r="AR93">
        <v>11240.56</v>
      </c>
      <c r="AS93">
        <v>36006.160000000003</v>
      </c>
      <c r="AT93">
        <v>92861.48</v>
      </c>
      <c r="AU93">
        <v>203693</v>
      </c>
      <c r="AV93">
        <v>395213</v>
      </c>
      <c r="AW93">
        <v>698041</v>
      </c>
      <c r="AX93">
        <v>1146690</v>
      </c>
      <c r="AY93">
        <v>1780820</v>
      </c>
      <c r="AZ93" s="2">
        <v>35.6</v>
      </c>
      <c r="BA93" s="2">
        <v>1.0138119999999999</v>
      </c>
      <c r="BB93" s="2">
        <v>3562590</v>
      </c>
      <c r="BC93" s="2">
        <f t="shared" si="4"/>
        <v>158.19</v>
      </c>
      <c r="BD93" s="2">
        <v>535.745</v>
      </c>
      <c r="BE93" s="2">
        <v>8.8293900000000001</v>
      </c>
      <c r="BG93">
        <v>151.13999999999999</v>
      </c>
      <c r="BH93" s="2">
        <f t="shared" si="5"/>
        <v>424.28999999999996</v>
      </c>
      <c r="BK93" s="2" t="s">
        <v>255</v>
      </c>
    </row>
    <row r="94" spans="1:63" x14ac:dyDescent="0.3">
      <c r="A94" s="6">
        <v>93</v>
      </c>
      <c r="B94" s="1" t="s">
        <v>256</v>
      </c>
      <c r="C94" s="1" t="s">
        <v>257</v>
      </c>
      <c r="D94" s="1" t="s">
        <v>258</v>
      </c>
      <c r="E94" s="1">
        <v>254.41300000000001</v>
      </c>
      <c r="F94" s="1">
        <v>632.50199999999995</v>
      </c>
      <c r="G94" s="1">
        <v>789</v>
      </c>
      <c r="H94" s="1">
        <v>298.14999999999998</v>
      </c>
      <c r="I94" s="6">
        <f t="shared" si="3"/>
        <v>394.5</v>
      </c>
      <c r="J94">
        <v>0</v>
      </c>
      <c r="K94">
        <v>16</v>
      </c>
      <c r="L94" s="6" t="s">
        <v>758</v>
      </c>
      <c r="M94">
        <v>1</v>
      </c>
      <c r="N94">
        <v>12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 s="6">
        <v>0</v>
      </c>
      <c r="V94">
        <v>0</v>
      </c>
      <c r="W94">
        <v>2</v>
      </c>
      <c r="X94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>
        <v>274.8</v>
      </c>
      <c r="AG94">
        <v>325.26670000000001</v>
      </c>
      <c r="AH94">
        <v>375.73329999999999</v>
      </c>
      <c r="AI94">
        <v>426.2</v>
      </c>
      <c r="AJ94">
        <v>476.66669999999999</v>
      </c>
      <c r="AK94">
        <v>527.13329999999996</v>
      </c>
      <c r="AL94">
        <v>577.6</v>
      </c>
      <c r="AM94">
        <v>628.06669999999997</v>
      </c>
      <c r="AN94">
        <v>678.53330000000005</v>
      </c>
      <c r="AO94">
        <v>729</v>
      </c>
      <c r="AP94" s="13">
        <v>1.10408E-6</v>
      </c>
      <c r="AQ94">
        <v>3.4487400000000001E-3</v>
      </c>
      <c r="AR94">
        <v>0.80885810000000002</v>
      </c>
      <c r="AS94">
        <v>38.117449999999998</v>
      </c>
      <c r="AT94">
        <v>631.47720000000004</v>
      </c>
      <c r="AU94">
        <v>5162.8890000000001</v>
      </c>
      <c r="AV94">
        <v>25870.09</v>
      </c>
      <c r="AW94">
        <v>91823.59</v>
      </c>
      <c r="AX94">
        <v>255576</v>
      </c>
      <c r="AY94">
        <v>602392</v>
      </c>
      <c r="AZ94" s="2">
        <v>14.875</v>
      </c>
      <c r="BA94" s="2">
        <v>1.0132509999999999</v>
      </c>
      <c r="BB94" s="2">
        <v>1486560</v>
      </c>
      <c r="BC94" s="2">
        <f t="shared" si="4"/>
        <v>77.59800000000007</v>
      </c>
      <c r="BD94" s="2">
        <v>710.75099999999998</v>
      </c>
      <c r="BE94" s="2">
        <v>4.4844480000000004</v>
      </c>
      <c r="BG94">
        <v>359.35199999999998</v>
      </c>
      <c r="BH94" s="2">
        <f t="shared" si="5"/>
        <v>632.50199999999995</v>
      </c>
      <c r="BK94" s="2" t="s">
        <v>258</v>
      </c>
    </row>
    <row r="95" spans="1:63" x14ac:dyDescent="0.3">
      <c r="A95" s="6">
        <v>94</v>
      </c>
      <c r="B95" s="1" t="s">
        <v>259</v>
      </c>
      <c r="C95" s="1" t="s">
        <v>105</v>
      </c>
      <c r="D95" s="1" t="s">
        <v>260</v>
      </c>
      <c r="E95" s="1">
        <v>282.46676000000002</v>
      </c>
      <c r="F95" s="1">
        <v>633</v>
      </c>
      <c r="G95" s="1">
        <v>781</v>
      </c>
      <c r="H95" s="1">
        <v>298.14999999999998</v>
      </c>
      <c r="I95" s="6">
        <f t="shared" si="3"/>
        <v>390.5</v>
      </c>
      <c r="J95">
        <v>0</v>
      </c>
      <c r="K95">
        <v>18</v>
      </c>
      <c r="L95" s="6" t="s">
        <v>759</v>
      </c>
      <c r="M95">
        <v>1</v>
      </c>
      <c r="N95">
        <v>14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 s="6">
        <v>0</v>
      </c>
      <c r="V95">
        <v>0</v>
      </c>
      <c r="W95">
        <v>2</v>
      </c>
      <c r="X95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>
        <v>286.52999999999997</v>
      </c>
      <c r="AG95">
        <v>334.80439999999999</v>
      </c>
      <c r="AH95">
        <v>383.07889999999998</v>
      </c>
      <c r="AI95">
        <v>431.35329999999999</v>
      </c>
      <c r="AJ95">
        <v>479.62779999999998</v>
      </c>
      <c r="AK95">
        <v>527.90219999999999</v>
      </c>
      <c r="AL95">
        <v>576.17669999999998</v>
      </c>
      <c r="AM95">
        <v>624.4511</v>
      </c>
      <c r="AN95">
        <v>672.72559999999999</v>
      </c>
      <c r="AO95">
        <v>721</v>
      </c>
      <c r="AP95" s="13">
        <v>1.3990300000000001E-5</v>
      </c>
      <c r="AQ95">
        <v>1.2044300000000001E-2</v>
      </c>
      <c r="AR95">
        <v>1.4068879999999999</v>
      </c>
      <c r="AS95">
        <v>45.639490000000002</v>
      </c>
      <c r="AT95">
        <v>625.79790000000003</v>
      </c>
      <c r="AU95">
        <v>4710.38</v>
      </c>
      <c r="AV95">
        <v>23080.28</v>
      </c>
      <c r="AW95">
        <v>82630.009999999995</v>
      </c>
      <c r="AX95">
        <v>234312</v>
      </c>
      <c r="AY95">
        <v>557641</v>
      </c>
      <c r="AZ95" s="2">
        <v>13.9</v>
      </c>
      <c r="BA95" s="2">
        <v>1.0089030000000001</v>
      </c>
      <c r="BB95" s="2">
        <v>1366660</v>
      </c>
      <c r="BC95" s="2">
        <f t="shared" si="4"/>
        <v>69.899999999999977</v>
      </c>
      <c r="BD95" s="2">
        <v>707</v>
      </c>
      <c r="BE95" s="2">
        <v>4.4035000000000002</v>
      </c>
      <c r="BG95">
        <v>359.85</v>
      </c>
      <c r="BH95" s="2">
        <f t="shared" si="5"/>
        <v>633</v>
      </c>
      <c r="BK95" s="2" t="s">
        <v>260</v>
      </c>
    </row>
    <row r="96" spans="1:63" x14ac:dyDescent="0.3">
      <c r="A96" s="6">
        <v>95</v>
      </c>
      <c r="B96" s="1" t="s">
        <v>261</v>
      </c>
      <c r="C96" s="1" t="s">
        <v>262</v>
      </c>
      <c r="D96" s="1" t="s">
        <v>263</v>
      </c>
      <c r="E96" s="1">
        <v>280.45087999999998</v>
      </c>
      <c r="F96" s="1">
        <v>628</v>
      </c>
      <c r="G96" s="1">
        <v>775</v>
      </c>
      <c r="H96" s="1">
        <v>298.14999999999998</v>
      </c>
      <c r="I96" s="6">
        <f t="shared" si="3"/>
        <v>387.5</v>
      </c>
      <c r="J96">
        <v>0</v>
      </c>
      <c r="K96">
        <v>18</v>
      </c>
      <c r="L96" s="6" t="s">
        <v>760</v>
      </c>
      <c r="M96">
        <v>1</v>
      </c>
      <c r="N96">
        <v>12</v>
      </c>
      <c r="O96">
        <v>0</v>
      </c>
      <c r="P96">
        <v>2</v>
      </c>
      <c r="Q96">
        <v>0</v>
      </c>
      <c r="R96">
        <v>0</v>
      </c>
      <c r="S96">
        <v>0</v>
      </c>
      <c r="T96">
        <v>1</v>
      </c>
      <c r="U96" s="6">
        <v>0</v>
      </c>
      <c r="V96">
        <v>0</v>
      </c>
      <c r="W96">
        <v>4</v>
      </c>
      <c r="X9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>
        <v>268.14999999999998</v>
      </c>
      <c r="AG96">
        <v>317.8</v>
      </c>
      <c r="AH96">
        <v>367.45</v>
      </c>
      <c r="AI96">
        <v>417.1</v>
      </c>
      <c r="AJ96">
        <v>466.75</v>
      </c>
      <c r="AK96">
        <v>516.4</v>
      </c>
      <c r="AL96">
        <v>566.04999999999995</v>
      </c>
      <c r="AM96">
        <v>615.70000000000005</v>
      </c>
      <c r="AN96">
        <v>665.35</v>
      </c>
      <c r="AO96">
        <v>715</v>
      </c>
      <c r="AP96" s="13">
        <v>6.4622200000000003E-7</v>
      </c>
      <c r="AQ96">
        <v>1.84487E-3</v>
      </c>
      <c r="AR96">
        <v>0.44096239999999998</v>
      </c>
      <c r="AS96">
        <v>22.32122</v>
      </c>
      <c r="AT96">
        <v>404.9556</v>
      </c>
      <c r="AU96">
        <v>3628.201</v>
      </c>
      <c r="AV96">
        <v>19751.16</v>
      </c>
      <c r="AW96">
        <v>75247.429999999993</v>
      </c>
      <c r="AX96">
        <v>222046</v>
      </c>
      <c r="AY96">
        <v>548008</v>
      </c>
      <c r="AZ96" s="2">
        <v>14.1</v>
      </c>
      <c r="BA96" s="2">
        <v>1.0041910000000001</v>
      </c>
      <c r="BB96" s="2">
        <v>1403250</v>
      </c>
      <c r="BC96" s="2">
        <f t="shared" si="4"/>
        <v>69.5</v>
      </c>
      <c r="BD96" s="2">
        <v>701.5</v>
      </c>
      <c r="BE96" s="2">
        <v>4.3468669999999996</v>
      </c>
      <c r="BG96">
        <v>354.85</v>
      </c>
      <c r="BH96" s="2">
        <f t="shared" si="5"/>
        <v>628</v>
      </c>
      <c r="BK96" s="2" t="s">
        <v>263</v>
      </c>
    </row>
    <row r="97" spans="1:63" x14ac:dyDescent="0.3">
      <c r="A97" s="6">
        <v>96</v>
      </c>
      <c r="B97" s="1" t="s">
        <v>264</v>
      </c>
      <c r="C97" s="1" t="s">
        <v>265</v>
      </c>
      <c r="D97" s="1" t="s">
        <v>266</v>
      </c>
      <c r="E97" s="1">
        <v>278.435</v>
      </c>
      <c r="F97" s="1">
        <v>632</v>
      </c>
      <c r="G97" s="1">
        <v>780</v>
      </c>
      <c r="H97" s="1">
        <v>298.14999999999998</v>
      </c>
      <c r="I97" s="6">
        <f t="shared" si="3"/>
        <v>390</v>
      </c>
      <c r="J97">
        <v>0</v>
      </c>
      <c r="K97">
        <v>18</v>
      </c>
      <c r="L97" s="6" t="s">
        <v>761</v>
      </c>
      <c r="M97">
        <v>1</v>
      </c>
      <c r="N97">
        <v>10</v>
      </c>
      <c r="O97">
        <v>0</v>
      </c>
      <c r="P97">
        <v>3</v>
      </c>
      <c r="Q97">
        <v>0</v>
      </c>
      <c r="R97">
        <v>0</v>
      </c>
      <c r="S97">
        <v>0</v>
      </c>
      <c r="T97">
        <v>1</v>
      </c>
      <c r="U97" s="6">
        <v>0</v>
      </c>
      <c r="V97">
        <v>0</v>
      </c>
      <c r="W97">
        <v>6</v>
      </c>
      <c r="X97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>
        <v>262.05</v>
      </c>
      <c r="AG97">
        <v>312.93329999999997</v>
      </c>
      <c r="AH97">
        <v>363.81670000000003</v>
      </c>
      <c r="AI97">
        <v>414.7</v>
      </c>
      <c r="AJ97">
        <v>465.58330000000001</v>
      </c>
      <c r="AK97">
        <v>516.46669999999995</v>
      </c>
      <c r="AL97">
        <v>567.35</v>
      </c>
      <c r="AM97">
        <v>618.23329999999999</v>
      </c>
      <c r="AN97">
        <v>669.11670000000004</v>
      </c>
      <c r="AO97">
        <v>720</v>
      </c>
      <c r="AP97" s="13">
        <v>1.02048E-7</v>
      </c>
      <c r="AQ97">
        <v>6.3332500000000001E-4</v>
      </c>
      <c r="AR97">
        <v>0.2344473</v>
      </c>
      <c r="AS97">
        <v>15.35834</v>
      </c>
      <c r="AT97">
        <v>325.58390000000003</v>
      </c>
      <c r="AU97">
        <v>3207.7280000000001</v>
      </c>
      <c r="AV97">
        <v>18509.57</v>
      </c>
      <c r="AW97">
        <v>73147.37</v>
      </c>
      <c r="AX97">
        <v>221399</v>
      </c>
      <c r="AY97">
        <v>558616</v>
      </c>
      <c r="AZ97" s="2">
        <v>14.4</v>
      </c>
      <c r="BA97" s="2">
        <v>1.0093780000000001</v>
      </c>
      <c r="BB97" s="2">
        <v>1444080</v>
      </c>
      <c r="BC97" s="2">
        <f t="shared" si="4"/>
        <v>70</v>
      </c>
      <c r="BD97" s="2">
        <v>706</v>
      </c>
      <c r="BE97" s="2">
        <v>4.3914720000000003</v>
      </c>
      <c r="BG97">
        <v>358.85</v>
      </c>
      <c r="BH97" s="2">
        <f t="shared" si="5"/>
        <v>632</v>
      </c>
      <c r="BK97" s="2" t="s">
        <v>266</v>
      </c>
    </row>
    <row r="98" spans="1:63" x14ac:dyDescent="0.3">
      <c r="A98" s="6">
        <v>97</v>
      </c>
      <c r="B98" s="1" t="s">
        <v>267</v>
      </c>
      <c r="C98" s="1" t="s">
        <v>268</v>
      </c>
      <c r="D98" s="1" t="s">
        <v>269</v>
      </c>
      <c r="E98" s="1">
        <v>304.47287999999998</v>
      </c>
      <c r="F98" s="1">
        <v>647.01800000000003</v>
      </c>
      <c r="G98" s="1">
        <v>775</v>
      </c>
      <c r="H98" s="1">
        <v>298.14999999999998</v>
      </c>
      <c r="I98" s="6">
        <f t="shared" si="3"/>
        <v>387.5</v>
      </c>
      <c r="J98">
        <v>0</v>
      </c>
      <c r="K98" s="1">
        <v>20</v>
      </c>
      <c r="L98" s="6" t="s">
        <v>762</v>
      </c>
      <c r="M98">
        <v>1</v>
      </c>
      <c r="N98">
        <v>10</v>
      </c>
      <c r="O98">
        <v>0</v>
      </c>
      <c r="P98">
        <v>4</v>
      </c>
      <c r="Q98">
        <v>0</v>
      </c>
      <c r="R98">
        <v>0</v>
      </c>
      <c r="S98">
        <v>0</v>
      </c>
      <c r="T98">
        <v>1</v>
      </c>
      <c r="U98" s="6">
        <v>0</v>
      </c>
      <c r="V98">
        <v>0</v>
      </c>
      <c r="W98">
        <v>8</v>
      </c>
      <c r="X98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>
        <v>234.8</v>
      </c>
      <c r="AG98">
        <v>288.15559999999999</v>
      </c>
      <c r="AH98">
        <v>341.5111</v>
      </c>
      <c r="AI98">
        <v>394.86669999999998</v>
      </c>
      <c r="AJ98">
        <v>448.22219999999999</v>
      </c>
      <c r="AK98">
        <v>501.57780000000002</v>
      </c>
      <c r="AL98">
        <v>554.93330000000003</v>
      </c>
      <c r="AM98">
        <v>608.28890000000001</v>
      </c>
      <c r="AN98">
        <v>661.64440000000002</v>
      </c>
      <c r="AO98">
        <v>715</v>
      </c>
      <c r="AP98" s="13">
        <v>4.0739999999999999E-14</v>
      </c>
      <c r="AQ98" s="13">
        <v>8.4122700000000002E-8</v>
      </c>
      <c r="AR98">
        <v>8.6888899999999997E-4</v>
      </c>
      <c r="AS98">
        <v>0.42500490000000002</v>
      </c>
      <c r="AT98">
        <v>31.61788</v>
      </c>
      <c r="AU98">
        <v>694.08</v>
      </c>
      <c r="AV98">
        <v>6728.3230000000003</v>
      </c>
      <c r="AW98">
        <v>37348.300000000003</v>
      </c>
      <c r="AX98">
        <v>141789</v>
      </c>
      <c r="AY98">
        <v>420090</v>
      </c>
      <c r="AZ98" s="2">
        <v>12.3896</v>
      </c>
      <c r="BA98" s="2">
        <v>1.0132509999999999</v>
      </c>
      <c r="BB98" s="2">
        <v>1237690</v>
      </c>
      <c r="BC98" s="2">
        <f t="shared" si="4"/>
        <v>50.481999999999971</v>
      </c>
      <c r="BD98" s="2">
        <v>711.00900000000001</v>
      </c>
      <c r="BE98" s="2">
        <v>3.8964430000000001</v>
      </c>
      <c r="BG98">
        <v>373.86799999999999</v>
      </c>
      <c r="BH98" s="2">
        <f t="shared" si="5"/>
        <v>647.01800000000003</v>
      </c>
      <c r="BK98" s="2" t="s">
        <v>269</v>
      </c>
    </row>
    <row r="99" spans="1:63" x14ac:dyDescent="0.3">
      <c r="A99" s="6">
        <v>98</v>
      </c>
      <c r="B99" s="1" t="s">
        <v>270</v>
      </c>
      <c r="C99" s="1" t="s">
        <v>271</v>
      </c>
      <c r="D99" s="1" t="s">
        <v>272</v>
      </c>
      <c r="E99" s="1">
        <v>270.2558803</v>
      </c>
      <c r="F99" s="1">
        <v>634.65</v>
      </c>
      <c r="G99" s="1">
        <v>792</v>
      </c>
      <c r="H99" s="1">
        <v>298.14999999999998</v>
      </c>
      <c r="I99" s="6">
        <f t="shared" si="3"/>
        <v>396</v>
      </c>
      <c r="J99">
        <v>0</v>
      </c>
      <c r="K99" s="2">
        <v>17</v>
      </c>
      <c r="L99" s="1" t="s">
        <v>763</v>
      </c>
      <c r="M99">
        <v>1</v>
      </c>
      <c r="N99">
        <v>15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>
        <v>334.25</v>
      </c>
      <c r="AG99">
        <v>378.44439999999997</v>
      </c>
      <c r="AH99">
        <v>422.63889999999998</v>
      </c>
      <c r="AI99">
        <v>466.83330000000001</v>
      </c>
      <c r="AJ99">
        <v>511.02780000000001</v>
      </c>
      <c r="AK99">
        <v>555.22220000000004</v>
      </c>
      <c r="AL99">
        <v>599.41669999999999</v>
      </c>
      <c r="AM99">
        <v>643.61109999999996</v>
      </c>
      <c r="AN99">
        <v>687.80560000000003</v>
      </c>
      <c r="AO99">
        <v>732</v>
      </c>
      <c r="AP99">
        <v>5.7016200000000001E-3</v>
      </c>
      <c r="AQ99">
        <v>0.74627960000000004</v>
      </c>
      <c r="AR99">
        <v>26.359210000000001</v>
      </c>
      <c r="AS99">
        <v>376.90870000000001</v>
      </c>
      <c r="AT99">
        <v>2837.5920000000001</v>
      </c>
      <c r="AU99">
        <v>13450.39</v>
      </c>
      <c r="AV99">
        <v>45595.66</v>
      </c>
      <c r="AW99">
        <v>121568</v>
      </c>
      <c r="AX99">
        <v>274665</v>
      </c>
      <c r="AY99">
        <v>559287</v>
      </c>
      <c r="AZ99" s="2">
        <v>13.681800000000001</v>
      </c>
      <c r="BA99" s="2">
        <v>101210</v>
      </c>
      <c r="BB99"/>
      <c r="BG99">
        <v>361.5</v>
      </c>
      <c r="BH99" s="2">
        <f t="shared" si="5"/>
        <v>634.65</v>
      </c>
      <c r="BJ99" s="2">
        <f>AZ99*100000</f>
        <v>1368180</v>
      </c>
      <c r="BK99" s="2" t="s">
        <v>272</v>
      </c>
    </row>
    <row r="100" spans="1:63" x14ac:dyDescent="0.3">
      <c r="A100" s="6">
        <v>99</v>
      </c>
      <c r="B100" s="1" t="s">
        <v>273</v>
      </c>
      <c r="C100" s="1" t="s">
        <v>274</v>
      </c>
      <c r="D100" s="1" t="s">
        <v>275</v>
      </c>
      <c r="E100" s="2">
        <v>298.28718049999998</v>
      </c>
      <c r="F100" s="1">
        <v>657.15</v>
      </c>
      <c r="G100" s="1">
        <v>811</v>
      </c>
      <c r="H100" s="1">
        <v>298.14999999999998</v>
      </c>
      <c r="I100" s="6">
        <f t="shared" si="3"/>
        <v>405.5</v>
      </c>
      <c r="J100">
        <v>0</v>
      </c>
      <c r="K100" s="2">
        <v>19</v>
      </c>
      <c r="L100" s="1" t="s">
        <v>764</v>
      </c>
      <c r="M100">
        <v>1</v>
      </c>
      <c r="N100">
        <v>17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>
        <v>341.23</v>
      </c>
      <c r="AG100">
        <v>386.76</v>
      </c>
      <c r="AH100">
        <v>432.29</v>
      </c>
      <c r="AI100">
        <v>477.82</v>
      </c>
      <c r="AJ100">
        <v>523.35</v>
      </c>
      <c r="AK100">
        <v>568.88</v>
      </c>
      <c r="AL100">
        <v>614.41</v>
      </c>
      <c r="AM100">
        <v>659.94</v>
      </c>
      <c r="AN100">
        <v>705.47</v>
      </c>
      <c r="AO100">
        <v>751</v>
      </c>
      <c r="AP100">
        <v>2.5427399999999999E-3</v>
      </c>
      <c r="AQ100">
        <v>0.42746499999999998</v>
      </c>
      <c r="AR100">
        <v>17.762799999999999</v>
      </c>
      <c r="AS100">
        <v>282.38130000000001</v>
      </c>
      <c r="AT100">
        <v>2277.2730000000001</v>
      </c>
      <c r="AU100">
        <v>11284.29</v>
      </c>
      <c r="AV100">
        <v>39381.300000000003</v>
      </c>
      <c r="AW100">
        <v>107195</v>
      </c>
      <c r="AX100">
        <v>246607</v>
      </c>
      <c r="AY100">
        <v>512586</v>
      </c>
      <c r="AZ100" s="2">
        <v>12.706300000000001</v>
      </c>
      <c r="BA100" s="2">
        <v>101379</v>
      </c>
      <c r="BB100"/>
      <c r="BG100">
        <v>384</v>
      </c>
      <c r="BH100" s="2">
        <f t="shared" si="5"/>
        <v>657.15</v>
      </c>
      <c r="BJ100" s="2">
        <f t="shared" ref="BJ100:BJ137" si="6">AZ100/100000</f>
        <v>1.2706300000000001E-4</v>
      </c>
      <c r="BK100" s="2" t="s">
        <v>275</v>
      </c>
    </row>
    <row r="101" spans="1:63" x14ac:dyDescent="0.3">
      <c r="A101" s="6">
        <v>100</v>
      </c>
      <c r="B101" s="1" t="s">
        <v>276</v>
      </c>
      <c r="C101" s="1" t="s">
        <v>277</v>
      </c>
      <c r="D101" s="1" t="s">
        <v>278</v>
      </c>
      <c r="E101" s="2">
        <v>326.31848059999999</v>
      </c>
      <c r="F101" s="1">
        <v>671.37799999999993</v>
      </c>
      <c r="G101" s="1">
        <v>782</v>
      </c>
      <c r="H101" s="1">
        <v>298.14999999999998</v>
      </c>
      <c r="I101" s="6">
        <f t="shared" si="3"/>
        <v>391</v>
      </c>
      <c r="J101">
        <v>0</v>
      </c>
      <c r="K101" s="2">
        <v>21</v>
      </c>
      <c r="L101" s="1" t="s">
        <v>765</v>
      </c>
      <c r="M101">
        <v>1</v>
      </c>
      <c r="N101">
        <v>19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>
        <v>347.26</v>
      </c>
      <c r="AG101">
        <v>388.89780000000002</v>
      </c>
      <c r="AH101">
        <v>430.53559999999999</v>
      </c>
      <c r="AI101">
        <v>472.17329999999998</v>
      </c>
      <c r="AJ101">
        <v>513.81110000000001</v>
      </c>
      <c r="AK101">
        <v>555.44889999999998</v>
      </c>
      <c r="AL101">
        <v>597.08669999999995</v>
      </c>
      <c r="AM101">
        <v>638.72439999999995</v>
      </c>
      <c r="AN101">
        <v>680.36220000000003</v>
      </c>
      <c r="AO101">
        <v>722</v>
      </c>
      <c r="AP101">
        <v>1.2013E-3</v>
      </c>
      <c r="AQ101">
        <v>0.1530907</v>
      </c>
      <c r="AR101">
        <v>5.6938940000000002</v>
      </c>
      <c r="AS101">
        <v>89.056889999999996</v>
      </c>
      <c r="AT101">
        <v>748.41780000000006</v>
      </c>
      <c r="AU101">
        <v>4008.6849999999999</v>
      </c>
      <c r="AV101">
        <v>15483.27</v>
      </c>
      <c r="AW101">
        <v>47329.96</v>
      </c>
      <c r="AX101">
        <v>123329</v>
      </c>
      <c r="AY101">
        <v>292466</v>
      </c>
      <c r="AZ101" s="2">
        <v>10.1258</v>
      </c>
      <c r="BA101" s="2">
        <v>101330</v>
      </c>
      <c r="BB101"/>
      <c r="BG101">
        <v>398.22800000000001</v>
      </c>
      <c r="BH101" s="2">
        <f t="shared" si="5"/>
        <v>671.37799999999993</v>
      </c>
      <c r="BJ101" s="2">
        <f t="shared" si="6"/>
        <v>1.01258E-4</v>
      </c>
      <c r="BK101" s="2" t="s">
        <v>278</v>
      </c>
    </row>
    <row r="102" spans="1:63" x14ac:dyDescent="0.3">
      <c r="A102" s="6">
        <v>101</v>
      </c>
      <c r="B102" s="1" t="s">
        <v>279</v>
      </c>
      <c r="C102" s="1" t="s">
        <v>280</v>
      </c>
      <c r="D102" s="1" t="s">
        <v>281</v>
      </c>
      <c r="E102" s="2">
        <v>354.3497807</v>
      </c>
      <c r="F102" s="1">
        <v>666.57099999999991</v>
      </c>
      <c r="G102" s="1">
        <v>789</v>
      </c>
      <c r="H102" s="1">
        <v>298.14999999999998</v>
      </c>
      <c r="I102" s="6">
        <f t="shared" si="3"/>
        <v>394.5</v>
      </c>
      <c r="J102">
        <v>0</v>
      </c>
      <c r="K102" s="2">
        <v>23</v>
      </c>
      <c r="L102" s="1" t="s">
        <v>766</v>
      </c>
      <c r="M102">
        <v>1</v>
      </c>
      <c r="N102">
        <v>21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>
        <v>352.22</v>
      </c>
      <c r="AG102">
        <v>394.08440000000002</v>
      </c>
      <c r="AH102">
        <v>435.94889999999998</v>
      </c>
      <c r="AI102">
        <v>477.81330000000003</v>
      </c>
      <c r="AJ102">
        <v>519.67780000000005</v>
      </c>
      <c r="AK102">
        <v>561.54219999999998</v>
      </c>
      <c r="AL102">
        <v>603.4067</v>
      </c>
      <c r="AM102">
        <v>645.27110000000005</v>
      </c>
      <c r="AN102">
        <v>687.13559999999995</v>
      </c>
      <c r="AO102">
        <v>729</v>
      </c>
      <c r="AP102">
        <v>0.1430999</v>
      </c>
      <c r="AQ102">
        <v>4.5791680000000001</v>
      </c>
      <c r="AR102">
        <v>64.11712</v>
      </c>
      <c r="AS102">
        <v>499.64879999999999</v>
      </c>
      <c r="AT102">
        <v>2543.9560000000001</v>
      </c>
      <c r="AU102">
        <v>9451.6170000000002</v>
      </c>
      <c r="AV102">
        <v>27713.94</v>
      </c>
      <c r="AW102">
        <v>67906.78</v>
      </c>
      <c r="AX102">
        <v>145153</v>
      </c>
      <c r="AY102">
        <v>279967</v>
      </c>
      <c r="AZ102" s="2">
        <v>6.3542699999999996</v>
      </c>
      <c r="BA102" s="2">
        <v>101434</v>
      </c>
      <c r="BB102"/>
      <c r="BG102">
        <v>393.42099999999999</v>
      </c>
      <c r="BH102" s="2">
        <f t="shared" si="5"/>
        <v>666.57099999999991</v>
      </c>
      <c r="BJ102" s="2">
        <f t="shared" si="6"/>
        <v>6.354269999999999E-5</v>
      </c>
      <c r="BK102" s="2" t="s">
        <v>281</v>
      </c>
    </row>
    <row r="103" spans="1:63" x14ac:dyDescent="0.3">
      <c r="A103" s="6">
        <v>102</v>
      </c>
      <c r="B103" s="1" t="s">
        <v>282</v>
      </c>
      <c r="C103" s="1" t="s">
        <v>283</v>
      </c>
      <c r="D103" s="1" t="s">
        <v>284</v>
      </c>
      <c r="E103" s="2">
        <v>382.38108080000001</v>
      </c>
      <c r="F103" s="1">
        <v>676.89099999999996</v>
      </c>
      <c r="G103" s="1">
        <v>846</v>
      </c>
      <c r="H103" s="1">
        <v>298.14999999999998</v>
      </c>
      <c r="I103" s="6">
        <f t="shared" si="3"/>
        <v>423</v>
      </c>
      <c r="J103">
        <v>0</v>
      </c>
      <c r="K103" s="2">
        <v>25</v>
      </c>
      <c r="L103" s="1" t="s">
        <v>767</v>
      </c>
      <c r="M103">
        <v>1</v>
      </c>
      <c r="N103">
        <v>23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>
        <v>331.5</v>
      </c>
      <c r="AG103">
        <v>382</v>
      </c>
      <c r="AH103">
        <v>432.5</v>
      </c>
      <c r="AI103">
        <v>483</v>
      </c>
      <c r="AJ103">
        <v>533.5</v>
      </c>
      <c r="AK103">
        <v>584</v>
      </c>
      <c r="AL103">
        <v>634.5</v>
      </c>
      <c r="AM103">
        <v>685</v>
      </c>
      <c r="AN103">
        <v>735.5</v>
      </c>
      <c r="AO103">
        <v>786</v>
      </c>
      <c r="AP103" s="13">
        <v>1.3668399999999999E-5</v>
      </c>
      <c r="AQ103">
        <v>2.1252299999999998E-2</v>
      </c>
      <c r="AR103">
        <v>3.5589119999999999</v>
      </c>
      <c r="AS103">
        <v>133.79920000000001</v>
      </c>
      <c r="AT103">
        <v>1787.32</v>
      </c>
      <c r="AU103">
        <v>11490.79</v>
      </c>
      <c r="AV103">
        <v>43894.01</v>
      </c>
      <c r="AW103">
        <v>116174</v>
      </c>
      <c r="AX103">
        <v>239943</v>
      </c>
      <c r="AY103">
        <v>427941</v>
      </c>
      <c r="AZ103" s="2">
        <v>8.2534399999999994</v>
      </c>
      <c r="BA103" s="2">
        <v>101324</v>
      </c>
      <c r="BB103"/>
      <c r="BG103">
        <v>403.74099999999999</v>
      </c>
      <c r="BH103" s="2">
        <f t="shared" si="5"/>
        <v>676.89099999999996</v>
      </c>
      <c r="BJ103" s="2">
        <f t="shared" si="6"/>
        <v>8.2534399999999994E-5</v>
      </c>
      <c r="BK103" s="2" t="s">
        <v>284</v>
      </c>
    </row>
    <row r="104" spans="1:63" x14ac:dyDescent="0.3">
      <c r="A104" s="6">
        <v>103</v>
      </c>
      <c r="B104" s="1" t="s">
        <v>285</v>
      </c>
      <c r="C104" s="1" t="s">
        <v>286</v>
      </c>
      <c r="D104" s="1" t="s">
        <v>287</v>
      </c>
      <c r="E104" s="2">
        <v>396.39673090000002</v>
      </c>
      <c r="F104" s="1">
        <v>687.17</v>
      </c>
      <c r="G104" s="1">
        <v>798</v>
      </c>
      <c r="H104" s="1">
        <v>298.14999999999998</v>
      </c>
      <c r="I104" s="6">
        <f t="shared" si="3"/>
        <v>399</v>
      </c>
      <c r="J104">
        <v>0</v>
      </c>
      <c r="K104" s="2">
        <v>26</v>
      </c>
      <c r="L104" s="1" t="s">
        <v>768</v>
      </c>
      <c r="M104">
        <v>1</v>
      </c>
      <c r="N104">
        <v>24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>
        <v>360.1</v>
      </c>
      <c r="AG104">
        <v>402.08890000000002</v>
      </c>
      <c r="AH104">
        <v>444.07780000000002</v>
      </c>
      <c r="AI104">
        <v>486.06670000000003</v>
      </c>
      <c r="AJ104">
        <v>528.05560000000003</v>
      </c>
      <c r="AK104">
        <v>570.0444</v>
      </c>
      <c r="AL104">
        <v>612.03330000000005</v>
      </c>
      <c r="AM104">
        <v>654.0222</v>
      </c>
      <c r="AN104">
        <v>696.01110000000006</v>
      </c>
      <c r="AO104">
        <v>738</v>
      </c>
      <c r="AP104">
        <v>0.44630940000000002</v>
      </c>
      <c r="AQ104">
        <v>9.588063</v>
      </c>
      <c r="AR104">
        <v>101.04810000000001</v>
      </c>
      <c r="AS104">
        <v>640.8261</v>
      </c>
      <c r="AT104">
        <v>2804.4380000000001</v>
      </c>
      <c r="AU104">
        <v>9311.1280000000006</v>
      </c>
      <c r="AV104">
        <v>25088.48</v>
      </c>
      <c r="AW104">
        <v>57624.86</v>
      </c>
      <c r="AX104">
        <v>117061</v>
      </c>
      <c r="AY104">
        <v>216425</v>
      </c>
      <c r="AZ104" s="2">
        <v>4.63253</v>
      </c>
      <c r="BA104" s="2">
        <v>101713</v>
      </c>
      <c r="BB104"/>
      <c r="BG104">
        <v>414.02</v>
      </c>
      <c r="BH104" s="2">
        <f t="shared" si="5"/>
        <v>687.17</v>
      </c>
      <c r="BJ104" s="2">
        <f t="shared" si="6"/>
        <v>4.6325300000000002E-5</v>
      </c>
      <c r="BK104" s="2" t="s">
        <v>287</v>
      </c>
    </row>
    <row r="105" spans="1:63" x14ac:dyDescent="0.3">
      <c r="A105" s="6">
        <v>104</v>
      </c>
      <c r="B105" s="1" t="s">
        <v>288</v>
      </c>
      <c r="C105" s="1" t="s">
        <v>289</v>
      </c>
      <c r="D105" s="1" t="s">
        <v>290</v>
      </c>
      <c r="E105" s="2">
        <v>410.41238099999998</v>
      </c>
      <c r="F105" s="1">
        <v>722.24599999999998</v>
      </c>
      <c r="G105" s="1">
        <v>871</v>
      </c>
      <c r="H105" s="1">
        <v>298.14999999999998</v>
      </c>
      <c r="I105" s="6">
        <f t="shared" si="3"/>
        <v>435.5</v>
      </c>
      <c r="J105">
        <v>0</v>
      </c>
      <c r="K105" s="2">
        <v>27</v>
      </c>
      <c r="L105" s="1" t="s">
        <v>769</v>
      </c>
      <c r="M105">
        <v>1</v>
      </c>
      <c r="N105">
        <v>25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>
        <v>336.63</v>
      </c>
      <c r="AG105">
        <v>389.33780000000002</v>
      </c>
      <c r="AH105">
        <v>442.04559999999998</v>
      </c>
      <c r="AI105">
        <v>494.75330000000002</v>
      </c>
      <c r="AJ105">
        <v>547.46109999999999</v>
      </c>
      <c r="AK105">
        <v>600.16890000000001</v>
      </c>
      <c r="AL105">
        <v>652.87670000000003</v>
      </c>
      <c r="AM105">
        <v>705.58439999999996</v>
      </c>
      <c r="AN105">
        <v>758.29219999999998</v>
      </c>
      <c r="AO105">
        <v>811</v>
      </c>
      <c r="AP105">
        <v>1.33881E-3</v>
      </c>
      <c r="AQ105">
        <v>0.27282990000000001</v>
      </c>
      <c r="AR105">
        <v>11.883179999999999</v>
      </c>
      <c r="AS105">
        <v>189.24430000000001</v>
      </c>
      <c r="AT105">
        <v>1524.3420000000001</v>
      </c>
      <c r="AU105">
        <v>7632.9859999999999</v>
      </c>
      <c r="AV105">
        <v>27242.68</v>
      </c>
      <c r="AW105">
        <v>76156.19</v>
      </c>
      <c r="AX105">
        <v>178491</v>
      </c>
      <c r="AY105">
        <v>369770</v>
      </c>
      <c r="AZ105" s="2">
        <v>7.78667</v>
      </c>
      <c r="BA105" s="2">
        <v>101328</v>
      </c>
      <c r="BB105"/>
      <c r="BG105">
        <v>449.096</v>
      </c>
      <c r="BH105" s="2">
        <f t="shared" si="5"/>
        <v>722.24599999999998</v>
      </c>
      <c r="BJ105" s="2">
        <f t="shared" si="6"/>
        <v>7.7866699999999998E-5</v>
      </c>
      <c r="BK105" s="2" t="s">
        <v>290</v>
      </c>
    </row>
    <row r="106" spans="1:63" x14ac:dyDescent="0.3">
      <c r="A106" s="6">
        <v>105</v>
      </c>
      <c r="B106" s="1" t="s">
        <v>291</v>
      </c>
      <c r="C106" s="1" t="s">
        <v>292</v>
      </c>
      <c r="D106" s="1" t="s">
        <v>293</v>
      </c>
      <c r="E106" s="2">
        <v>424.42803099999998</v>
      </c>
      <c r="F106" s="1">
        <v>760.29700000000003</v>
      </c>
      <c r="G106" s="1">
        <v>873</v>
      </c>
      <c r="H106" s="1">
        <v>298.14999999999998</v>
      </c>
      <c r="I106" s="6">
        <f t="shared" si="3"/>
        <v>436.5</v>
      </c>
      <c r="J106">
        <v>0</v>
      </c>
      <c r="K106" s="2">
        <v>28</v>
      </c>
      <c r="L106" s="1" t="s">
        <v>770</v>
      </c>
      <c r="M106">
        <v>1</v>
      </c>
      <c r="N106">
        <v>26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>
        <v>364.02</v>
      </c>
      <c r="AG106">
        <v>413.9067</v>
      </c>
      <c r="AH106">
        <v>463.79329999999999</v>
      </c>
      <c r="AI106">
        <v>513.67999999999995</v>
      </c>
      <c r="AJ106">
        <v>563.56669999999997</v>
      </c>
      <c r="AK106">
        <v>613.45330000000001</v>
      </c>
      <c r="AL106">
        <v>663.34</v>
      </c>
      <c r="AM106">
        <v>713.22670000000005</v>
      </c>
      <c r="AN106">
        <v>763.11329999999998</v>
      </c>
      <c r="AO106">
        <v>813</v>
      </c>
      <c r="AP106">
        <v>7.1360499999999993E-2</v>
      </c>
      <c r="AQ106">
        <v>2.9354740000000001</v>
      </c>
      <c r="AR106">
        <v>46.207509999999999</v>
      </c>
      <c r="AS106">
        <v>377.77519999999998</v>
      </c>
      <c r="AT106">
        <v>1947.5940000000001</v>
      </c>
      <c r="AU106">
        <v>7198.1850000000004</v>
      </c>
      <c r="AV106">
        <v>20820.89</v>
      </c>
      <c r="AW106">
        <v>50136.5</v>
      </c>
      <c r="AX106">
        <v>105112</v>
      </c>
      <c r="AY106">
        <v>198445</v>
      </c>
      <c r="AZ106" s="2">
        <v>3.85243</v>
      </c>
      <c r="BA106" s="2">
        <v>101119</v>
      </c>
      <c r="BB106"/>
      <c r="BG106">
        <v>487.14699999999999</v>
      </c>
      <c r="BH106" s="2">
        <f t="shared" si="5"/>
        <v>760.29700000000003</v>
      </c>
      <c r="BJ106" s="2">
        <f t="shared" si="6"/>
        <v>3.85243E-5</v>
      </c>
      <c r="BK106" s="2" t="s">
        <v>293</v>
      </c>
    </row>
    <row r="107" spans="1:63" x14ac:dyDescent="0.3">
      <c r="A107" s="6">
        <v>106</v>
      </c>
      <c r="B107" s="1" t="s">
        <v>294</v>
      </c>
      <c r="C107" s="1" t="s">
        <v>295</v>
      </c>
      <c r="D107" s="1" t="s">
        <v>296</v>
      </c>
      <c r="E107" s="2">
        <v>438.44368109999999</v>
      </c>
      <c r="F107" s="1">
        <v>769.25800000000004</v>
      </c>
      <c r="G107" s="1">
        <v>878</v>
      </c>
      <c r="H107" s="1">
        <v>298.14999999999998</v>
      </c>
      <c r="I107" s="6">
        <f t="shared" si="3"/>
        <v>439</v>
      </c>
      <c r="J107">
        <v>0</v>
      </c>
      <c r="K107" s="2">
        <v>29</v>
      </c>
      <c r="L107" s="1" t="s">
        <v>771</v>
      </c>
      <c r="M107">
        <v>1</v>
      </c>
      <c r="N107">
        <v>27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>
        <v>363.37</v>
      </c>
      <c r="AG107">
        <v>413.88440000000003</v>
      </c>
      <c r="AH107">
        <v>464.39890000000003</v>
      </c>
      <c r="AI107">
        <v>514.91330000000005</v>
      </c>
      <c r="AJ107">
        <v>565.42780000000005</v>
      </c>
      <c r="AK107">
        <v>615.94219999999996</v>
      </c>
      <c r="AL107">
        <v>666.45669999999996</v>
      </c>
      <c r="AM107">
        <v>716.97109999999998</v>
      </c>
      <c r="AN107">
        <v>767.48559999999998</v>
      </c>
      <c r="AO107">
        <v>818</v>
      </c>
      <c r="AP107">
        <v>7.9479999999999995E-2</v>
      </c>
      <c r="AQ107">
        <v>3.1543809999999999</v>
      </c>
      <c r="AR107">
        <v>48.08972</v>
      </c>
      <c r="AS107">
        <v>382.71519999999998</v>
      </c>
      <c r="AT107">
        <v>1930.0150000000001</v>
      </c>
      <c r="AU107">
        <v>7007.1450000000004</v>
      </c>
      <c r="AV107">
        <v>19979.23</v>
      </c>
      <c r="AW107">
        <v>47552.54</v>
      </c>
      <c r="AX107">
        <v>98736.62</v>
      </c>
      <c r="AY107">
        <v>184854</v>
      </c>
      <c r="AZ107" s="2">
        <v>3.5274800000000002</v>
      </c>
      <c r="BA107" s="2">
        <v>101093</v>
      </c>
      <c r="BB107"/>
      <c r="BG107">
        <v>496.108</v>
      </c>
      <c r="BH107" s="2">
        <f t="shared" si="5"/>
        <v>769.25800000000004</v>
      </c>
      <c r="BJ107" s="2">
        <f t="shared" si="6"/>
        <v>3.5274800000000003E-5</v>
      </c>
      <c r="BK107" s="2" t="s">
        <v>296</v>
      </c>
    </row>
    <row r="108" spans="1:63" x14ac:dyDescent="0.3">
      <c r="A108" s="6">
        <v>107</v>
      </c>
      <c r="B108" s="1" t="s">
        <v>297</v>
      </c>
      <c r="C108" s="1" t="s">
        <v>298</v>
      </c>
      <c r="D108" s="1" t="s">
        <v>299</v>
      </c>
      <c r="E108" s="2">
        <v>452.45933120000001</v>
      </c>
      <c r="F108" s="1">
        <v>778.03499999999997</v>
      </c>
      <c r="G108" s="1">
        <v>884</v>
      </c>
      <c r="H108" s="1">
        <v>298.14999999999998</v>
      </c>
      <c r="I108" s="6">
        <f t="shared" si="3"/>
        <v>442</v>
      </c>
      <c r="J108">
        <v>0</v>
      </c>
      <c r="K108" s="2">
        <v>30</v>
      </c>
      <c r="L108" s="1" t="s">
        <v>772</v>
      </c>
      <c r="M108">
        <v>1</v>
      </c>
      <c r="N108">
        <v>28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>
        <v>366.72</v>
      </c>
      <c r="AG108">
        <v>417.52890000000002</v>
      </c>
      <c r="AH108">
        <v>468.33780000000002</v>
      </c>
      <c r="AI108">
        <v>519.14670000000001</v>
      </c>
      <c r="AJ108">
        <v>569.9556</v>
      </c>
      <c r="AK108">
        <v>620.76440000000002</v>
      </c>
      <c r="AL108">
        <v>671.57330000000002</v>
      </c>
      <c r="AM108">
        <v>722.38220000000001</v>
      </c>
      <c r="AN108">
        <v>773.19110000000001</v>
      </c>
      <c r="AO108">
        <v>824</v>
      </c>
      <c r="AP108">
        <v>0.12496549999999999</v>
      </c>
      <c r="AQ108">
        <v>4.2736619999999998</v>
      </c>
      <c r="AR108">
        <v>58.714120000000001</v>
      </c>
      <c r="AS108">
        <v>433.71039999999999</v>
      </c>
      <c r="AT108">
        <v>2071.4029999999998</v>
      </c>
      <c r="AU108">
        <v>7223.2610000000004</v>
      </c>
      <c r="AV108">
        <v>19980.02</v>
      </c>
      <c r="AW108">
        <v>46464.15</v>
      </c>
      <c r="AX108">
        <v>94744.27</v>
      </c>
      <c r="AY108">
        <v>174800</v>
      </c>
      <c r="AZ108" s="2">
        <v>3.27535</v>
      </c>
      <c r="BA108" s="2">
        <v>100832</v>
      </c>
      <c r="BB108"/>
      <c r="BG108">
        <v>504.88499999999999</v>
      </c>
      <c r="BH108" s="2">
        <f t="shared" si="5"/>
        <v>778.03499999999997</v>
      </c>
      <c r="BJ108" s="2">
        <f t="shared" si="6"/>
        <v>3.2753499999999997E-5</v>
      </c>
      <c r="BK108" s="2" t="s">
        <v>299</v>
      </c>
    </row>
    <row r="109" spans="1:63" x14ac:dyDescent="0.3">
      <c r="A109" s="6">
        <v>108</v>
      </c>
      <c r="B109" s="1" t="s">
        <v>300</v>
      </c>
      <c r="C109" s="1" t="s">
        <v>301</v>
      </c>
      <c r="D109" s="1" t="s">
        <v>302</v>
      </c>
      <c r="E109" s="2">
        <v>144.1514153</v>
      </c>
      <c r="F109" s="1">
        <v>485.2</v>
      </c>
      <c r="G109" s="1">
        <v>670.9</v>
      </c>
      <c r="H109" s="1">
        <v>298.14999999999998</v>
      </c>
      <c r="I109" s="6">
        <f t="shared" si="3"/>
        <v>335.45</v>
      </c>
      <c r="J109">
        <v>0</v>
      </c>
      <c r="K109" s="2">
        <v>9</v>
      </c>
      <c r="L109" s="1" t="s">
        <v>773</v>
      </c>
      <c r="M109">
        <v>1</v>
      </c>
      <c r="N109">
        <v>8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>
        <v>268.14999999999998</v>
      </c>
      <c r="AG109">
        <v>306.23329999999999</v>
      </c>
      <c r="AH109">
        <v>344.31670000000003</v>
      </c>
      <c r="AI109">
        <v>382.4</v>
      </c>
      <c r="AJ109">
        <v>420.48329999999999</v>
      </c>
      <c r="AK109">
        <v>458.56670000000003</v>
      </c>
      <c r="AL109">
        <v>496.65</v>
      </c>
      <c r="AM109">
        <v>534.73329999999999</v>
      </c>
      <c r="AN109">
        <v>572.81669999999997</v>
      </c>
      <c r="AO109">
        <v>610.9</v>
      </c>
      <c r="AP109">
        <v>8.5473199999999999E-2</v>
      </c>
      <c r="AQ109">
        <v>7.5190390000000003</v>
      </c>
      <c r="AR109">
        <v>188.9419</v>
      </c>
      <c r="AS109">
        <v>2033.1020000000001</v>
      </c>
      <c r="AT109">
        <v>12091.35</v>
      </c>
      <c r="AU109">
        <v>47084.959999999999</v>
      </c>
      <c r="AV109">
        <v>135106</v>
      </c>
      <c r="AW109">
        <v>311411</v>
      </c>
      <c r="AX109">
        <v>616065</v>
      </c>
      <c r="AY109">
        <v>1103660</v>
      </c>
      <c r="AZ109" s="2">
        <v>25.223800000000001</v>
      </c>
      <c r="BA109" s="2">
        <v>101052</v>
      </c>
      <c r="BB109"/>
      <c r="BG109">
        <v>212.05</v>
      </c>
      <c r="BH109" s="2">
        <f t="shared" si="5"/>
        <v>485.2</v>
      </c>
      <c r="BJ109" s="2">
        <f t="shared" si="6"/>
        <v>2.5223800000000001E-4</v>
      </c>
      <c r="BK109" s="2" t="s">
        <v>302</v>
      </c>
    </row>
    <row r="110" spans="1:63" x14ac:dyDescent="0.3">
      <c r="A110" s="6">
        <v>109</v>
      </c>
      <c r="B110" s="1" t="s">
        <v>303</v>
      </c>
      <c r="C110" s="1" t="s">
        <v>304</v>
      </c>
      <c r="D110" s="1" t="s">
        <v>305</v>
      </c>
      <c r="E110" s="2">
        <v>172.18271540000001</v>
      </c>
      <c r="F110" s="1">
        <v>520.29999999999995</v>
      </c>
      <c r="G110" s="1">
        <v>703.9</v>
      </c>
      <c r="H110" s="1">
        <v>298.14999999999998</v>
      </c>
      <c r="I110" s="6">
        <f t="shared" si="3"/>
        <v>351.95</v>
      </c>
      <c r="J110">
        <v>0</v>
      </c>
      <c r="K110" s="2">
        <v>11</v>
      </c>
      <c r="L110" s="1" t="s">
        <v>774</v>
      </c>
      <c r="M110">
        <v>1</v>
      </c>
      <c r="N110">
        <v>10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>
        <v>288.45</v>
      </c>
      <c r="AG110">
        <v>327.94439999999997</v>
      </c>
      <c r="AH110">
        <v>367.43889999999999</v>
      </c>
      <c r="AI110">
        <v>406.93329999999997</v>
      </c>
      <c r="AJ110">
        <v>446.42779999999999</v>
      </c>
      <c r="AK110">
        <v>485.92219999999998</v>
      </c>
      <c r="AL110">
        <v>525.41669999999999</v>
      </c>
      <c r="AM110">
        <v>564.91110000000003</v>
      </c>
      <c r="AN110">
        <v>604.40560000000005</v>
      </c>
      <c r="AO110">
        <v>643.9</v>
      </c>
      <c r="AP110">
        <v>0.12555430000000001</v>
      </c>
      <c r="AQ110">
        <v>9.3725830000000006</v>
      </c>
      <c r="AR110">
        <v>209.38740000000001</v>
      </c>
      <c r="AS110">
        <v>2056.4929999999999</v>
      </c>
      <c r="AT110">
        <v>11357.21</v>
      </c>
      <c r="AU110">
        <v>41635.56</v>
      </c>
      <c r="AV110">
        <v>113974</v>
      </c>
      <c r="AW110">
        <v>254345</v>
      </c>
      <c r="AX110">
        <v>495858</v>
      </c>
      <c r="AY110">
        <v>894718</v>
      </c>
      <c r="AZ110" s="2">
        <v>21.1953</v>
      </c>
      <c r="BA110" s="2">
        <v>101359</v>
      </c>
      <c r="BB110"/>
      <c r="BG110">
        <v>247.15</v>
      </c>
      <c r="BH110" s="2">
        <f t="shared" si="5"/>
        <v>520.29999999999995</v>
      </c>
      <c r="BJ110" s="2">
        <f t="shared" si="6"/>
        <v>2.1195299999999999E-4</v>
      </c>
      <c r="BK110" s="2" t="s">
        <v>305</v>
      </c>
    </row>
    <row r="111" spans="1:63" x14ac:dyDescent="0.3">
      <c r="A111" s="6">
        <v>110</v>
      </c>
      <c r="B111" s="1" t="s">
        <v>306</v>
      </c>
      <c r="C111" s="1" t="s">
        <v>307</v>
      </c>
      <c r="D111" s="1" t="s">
        <v>308</v>
      </c>
      <c r="E111" s="2">
        <v>214.2296656</v>
      </c>
      <c r="F111" s="1">
        <v>569</v>
      </c>
      <c r="G111" s="1">
        <v>745.3</v>
      </c>
      <c r="H111" s="1">
        <v>298.14999999999998</v>
      </c>
      <c r="I111" s="6">
        <f t="shared" si="3"/>
        <v>372.65</v>
      </c>
      <c r="J111">
        <v>0</v>
      </c>
      <c r="K111" s="2">
        <v>14</v>
      </c>
      <c r="L111" s="1" t="s">
        <v>775</v>
      </c>
      <c r="M111">
        <v>1</v>
      </c>
      <c r="N111">
        <v>13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>
        <v>310.64999999999998</v>
      </c>
      <c r="AG111">
        <v>352.27780000000001</v>
      </c>
      <c r="AH111">
        <v>393.90559999999999</v>
      </c>
      <c r="AI111">
        <v>435.5333</v>
      </c>
      <c r="AJ111">
        <v>477.16109999999998</v>
      </c>
      <c r="AK111">
        <v>518.78890000000001</v>
      </c>
      <c r="AL111">
        <v>560.41669999999999</v>
      </c>
      <c r="AM111">
        <v>602.0444</v>
      </c>
      <c r="AN111">
        <v>643.67219999999998</v>
      </c>
      <c r="AO111">
        <v>685.3</v>
      </c>
      <c r="AP111">
        <v>9.1954999999999995E-2</v>
      </c>
      <c r="AQ111">
        <v>6.4613480000000001</v>
      </c>
      <c r="AR111">
        <v>142.03280000000001</v>
      </c>
      <c r="AS111">
        <v>1406.1590000000001</v>
      </c>
      <c r="AT111">
        <v>7932.1059999999998</v>
      </c>
      <c r="AU111">
        <v>29908</v>
      </c>
      <c r="AV111">
        <v>84458.46</v>
      </c>
      <c r="AW111">
        <v>194516</v>
      </c>
      <c r="AX111">
        <v>390774</v>
      </c>
      <c r="AY111">
        <v>724319</v>
      </c>
      <c r="AZ111" s="2">
        <v>16.898599999999998</v>
      </c>
      <c r="BA111" s="2">
        <v>101752</v>
      </c>
      <c r="BB111"/>
      <c r="BG111">
        <v>295.85000000000002</v>
      </c>
      <c r="BH111" s="2">
        <f t="shared" si="5"/>
        <v>569</v>
      </c>
      <c r="BJ111" s="2">
        <f t="shared" si="6"/>
        <v>1.6898599999999998E-4</v>
      </c>
      <c r="BK111" s="2" t="s">
        <v>308</v>
      </c>
    </row>
    <row r="112" spans="1:63" x14ac:dyDescent="0.3">
      <c r="A112" s="6">
        <v>111</v>
      </c>
      <c r="B112" s="1" t="s">
        <v>309</v>
      </c>
      <c r="C112" s="1" t="s">
        <v>310</v>
      </c>
      <c r="D112" s="1" t="s">
        <v>311</v>
      </c>
      <c r="E112" s="2">
        <v>340.3705162</v>
      </c>
      <c r="F112" s="1">
        <v>699.17599999999993</v>
      </c>
      <c r="G112" s="1">
        <v>865.5</v>
      </c>
      <c r="H112" s="1">
        <v>298.14999999999998</v>
      </c>
      <c r="I112" s="6">
        <f t="shared" si="3"/>
        <v>432.75</v>
      </c>
      <c r="J112">
        <v>0</v>
      </c>
      <c r="K112" s="2">
        <v>23</v>
      </c>
      <c r="L112" s="1" t="s">
        <v>776</v>
      </c>
      <c r="M112">
        <v>1</v>
      </c>
      <c r="N112">
        <v>22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>
        <v>300</v>
      </c>
      <c r="AG112">
        <v>356.16669999999999</v>
      </c>
      <c r="AH112">
        <v>412.33330000000001</v>
      </c>
      <c r="AI112">
        <v>468.5</v>
      </c>
      <c r="AJ112">
        <v>524.66669999999999</v>
      </c>
      <c r="AK112">
        <v>580.83330000000001</v>
      </c>
      <c r="AL112">
        <v>637</v>
      </c>
      <c r="AM112">
        <v>693.16669999999999</v>
      </c>
      <c r="AN112">
        <v>749.33330000000001</v>
      </c>
      <c r="AO112">
        <v>805.5</v>
      </c>
      <c r="AP112" s="13">
        <v>3.9348299999999997E-5</v>
      </c>
      <c r="AQ112">
        <v>3.8897599999999997E-2</v>
      </c>
      <c r="AR112">
        <v>4.1131130000000002</v>
      </c>
      <c r="AS112">
        <v>110.3308</v>
      </c>
      <c r="AT112">
        <v>1219.876</v>
      </c>
      <c r="AU112">
        <v>7440.1540000000005</v>
      </c>
      <c r="AV112">
        <v>30095.18</v>
      </c>
      <c r="AW112">
        <v>91197.48</v>
      </c>
      <c r="AX112">
        <v>225320</v>
      </c>
      <c r="AY112">
        <v>483578</v>
      </c>
      <c r="AZ112" s="2">
        <v>10.011699999999999</v>
      </c>
      <c r="BA112" s="2">
        <v>101322</v>
      </c>
      <c r="BB112"/>
      <c r="BG112">
        <v>426.02600000000001</v>
      </c>
      <c r="BH112" s="2">
        <f t="shared" si="5"/>
        <v>699.17599999999993</v>
      </c>
      <c r="BJ112" s="2">
        <f t="shared" si="6"/>
        <v>1.0011699999999999E-4</v>
      </c>
      <c r="BK112" s="2" t="s">
        <v>311</v>
      </c>
    </row>
    <row r="113" spans="1:63" x14ac:dyDescent="0.3">
      <c r="A113" s="6">
        <v>112</v>
      </c>
      <c r="B113" s="1" t="s">
        <v>312</v>
      </c>
      <c r="C113" s="1" t="s">
        <v>313</v>
      </c>
      <c r="D113" s="1" t="s">
        <v>314</v>
      </c>
      <c r="E113" s="2">
        <v>354.38616619999999</v>
      </c>
      <c r="F113" s="2">
        <v>714.36599999999999</v>
      </c>
      <c r="G113" s="2">
        <v>856</v>
      </c>
      <c r="H113" s="1">
        <v>298.14999999999998</v>
      </c>
      <c r="I113" s="6">
        <f t="shared" si="3"/>
        <v>428</v>
      </c>
      <c r="J113">
        <v>0</v>
      </c>
      <c r="K113" s="2">
        <v>24</v>
      </c>
      <c r="L113" s="2" t="s">
        <v>777</v>
      </c>
      <c r="M113">
        <v>1</v>
      </c>
      <c r="N113">
        <v>23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>
        <v>300</v>
      </c>
      <c r="AG113">
        <v>355.11110000000002</v>
      </c>
      <c r="AH113">
        <v>410.22219999999999</v>
      </c>
      <c r="AI113">
        <v>465.33330000000001</v>
      </c>
      <c r="AJ113">
        <v>520.44439999999997</v>
      </c>
      <c r="AK113">
        <v>575.55560000000003</v>
      </c>
      <c r="AL113">
        <v>630.66669999999999</v>
      </c>
      <c r="AM113">
        <v>685.77779999999996</v>
      </c>
      <c r="AN113">
        <v>740.88890000000004</v>
      </c>
      <c r="AO113">
        <v>796</v>
      </c>
      <c r="AP113" s="13">
        <v>2.7279699999999998E-7</v>
      </c>
      <c r="AQ113">
        <v>1.1786500000000001E-3</v>
      </c>
      <c r="AR113">
        <v>0.342059</v>
      </c>
      <c r="AS113">
        <v>18.60671</v>
      </c>
      <c r="AT113">
        <v>340.01339999999999</v>
      </c>
      <c r="AU113">
        <v>2974.241</v>
      </c>
      <c r="AV113">
        <v>15619.2</v>
      </c>
      <c r="AW113">
        <v>57313.02</v>
      </c>
      <c r="AX113">
        <v>163557</v>
      </c>
      <c r="AY113">
        <v>393963</v>
      </c>
      <c r="AZ113" s="2">
        <v>9.2903599999999997</v>
      </c>
      <c r="BA113" s="2">
        <v>101322</v>
      </c>
      <c r="BG113">
        <v>441.21600000000001</v>
      </c>
      <c r="BH113" s="2">
        <f t="shared" si="5"/>
        <v>714.36599999999999</v>
      </c>
      <c r="BJ113" s="2">
        <f t="shared" si="6"/>
        <v>9.2903600000000003E-5</v>
      </c>
      <c r="BK113" s="2" t="s">
        <v>314</v>
      </c>
    </row>
    <row r="114" spans="1:63" x14ac:dyDescent="0.3">
      <c r="A114" s="6">
        <v>113</v>
      </c>
      <c r="B114" s="1" t="s">
        <v>315</v>
      </c>
      <c r="C114" s="1" t="s">
        <v>316</v>
      </c>
      <c r="D114" s="1" t="s">
        <v>317</v>
      </c>
      <c r="E114" s="2">
        <v>368.40181630000001</v>
      </c>
      <c r="F114" s="2">
        <v>726.93299999999999</v>
      </c>
      <c r="G114" s="2">
        <v>869</v>
      </c>
      <c r="H114" s="1">
        <v>298.14999999999998</v>
      </c>
      <c r="I114" s="6">
        <f t="shared" si="3"/>
        <v>434.5</v>
      </c>
      <c r="J114">
        <v>0</v>
      </c>
      <c r="K114" s="2">
        <v>25</v>
      </c>
      <c r="L114" s="2" t="s">
        <v>778</v>
      </c>
      <c r="M114">
        <v>1</v>
      </c>
      <c r="N114">
        <v>24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>
        <v>300</v>
      </c>
      <c r="AG114">
        <v>356.55560000000003</v>
      </c>
      <c r="AH114">
        <v>413.11110000000002</v>
      </c>
      <c r="AI114">
        <v>469.66669999999999</v>
      </c>
      <c r="AJ114">
        <v>526.22220000000004</v>
      </c>
      <c r="AK114">
        <v>582.77779999999996</v>
      </c>
      <c r="AL114">
        <v>639.33330000000001</v>
      </c>
      <c r="AM114">
        <v>695.88890000000004</v>
      </c>
      <c r="AN114">
        <v>752.44439999999997</v>
      </c>
      <c r="AO114">
        <v>809</v>
      </c>
      <c r="AP114" s="13">
        <v>1.4870700000000001E-7</v>
      </c>
      <c r="AQ114">
        <v>8.4339799999999998E-4</v>
      </c>
      <c r="AR114">
        <v>0.28175489999999997</v>
      </c>
      <c r="AS114">
        <v>16.533719999999999</v>
      </c>
      <c r="AT114">
        <v>315.01569999999998</v>
      </c>
      <c r="AU114">
        <v>2820.152</v>
      </c>
      <c r="AV114">
        <v>15000.28</v>
      </c>
      <c r="AW114">
        <v>55422.36</v>
      </c>
      <c r="AX114">
        <v>158731</v>
      </c>
      <c r="AY114">
        <v>383075</v>
      </c>
      <c r="AZ114" s="2">
        <v>8.8586399999999994</v>
      </c>
      <c r="BA114" s="2">
        <v>101328</v>
      </c>
      <c r="BG114">
        <v>453.78300000000002</v>
      </c>
      <c r="BH114" s="2">
        <f t="shared" si="5"/>
        <v>726.93299999999999</v>
      </c>
      <c r="BJ114" s="2">
        <f t="shared" si="6"/>
        <v>8.8586399999999996E-5</v>
      </c>
      <c r="BK114" s="2" t="s">
        <v>317</v>
      </c>
    </row>
    <row r="115" spans="1:63" x14ac:dyDescent="0.3">
      <c r="A115" s="6">
        <v>114</v>
      </c>
      <c r="B115" s="1" t="s">
        <v>318</v>
      </c>
      <c r="C115" s="1" t="s">
        <v>319</v>
      </c>
      <c r="D115" s="1" t="s">
        <v>320</v>
      </c>
      <c r="E115" s="2">
        <v>382.4174663</v>
      </c>
      <c r="F115" s="2">
        <v>734.55499999999995</v>
      </c>
      <c r="G115" s="2">
        <v>881</v>
      </c>
      <c r="H115" s="1">
        <v>298.14999999999998</v>
      </c>
      <c r="I115" s="6">
        <f t="shared" si="3"/>
        <v>440.5</v>
      </c>
      <c r="J115">
        <v>0</v>
      </c>
      <c r="K115" s="2">
        <v>26</v>
      </c>
      <c r="L115" s="1" t="s">
        <v>779</v>
      </c>
      <c r="M115">
        <v>1</v>
      </c>
      <c r="N115">
        <v>25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2">
        <v>353.1</v>
      </c>
      <c r="AG115">
        <v>405.08890000000002</v>
      </c>
      <c r="AH115">
        <v>457.07780000000002</v>
      </c>
      <c r="AI115">
        <v>509.06670000000003</v>
      </c>
      <c r="AJ115">
        <v>561.05560000000003</v>
      </c>
      <c r="AK115">
        <v>613.0444</v>
      </c>
      <c r="AL115">
        <v>665.03330000000005</v>
      </c>
      <c r="AM115">
        <v>717.0222</v>
      </c>
      <c r="AN115">
        <v>769.01110000000006</v>
      </c>
      <c r="AO115">
        <v>821</v>
      </c>
      <c r="AP115">
        <v>9.1615399999999997E-4</v>
      </c>
      <c r="AQ115">
        <v>0.18803929999999999</v>
      </c>
      <c r="AR115">
        <v>8.6705760000000005</v>
      </c>
      <c r="AS115">
        <v>147.99680000000001</v>
      </c>
      <c r="AT115">
        <v>1274.172</v>
      </c>
      <c r="AU115">
        <v>6764.009</v>
      </c>
      <c r="AV115">
        <v>25357.99</v>
      </c>
      <c r="AW115">
        <v>73848.42</v>
      </c>
      <c r="AX115">
        <v>179187</v>
      </c>
      <c r="AY115">
        <v>382940</v>
      </c>
      <c r="AZ115" s="2">
        <v>8.4535199999999993</v>
      </c>
      <c r="BA115" s="2">
        <v>101329</v>
      </c>
      <c r="BG115">
        <v>461.40499999999997</v>
      </c>
      <c r="BH115" s="2">
        <f t="shared" si="5"/>
        <v>734.55499999999995</v>
      </c>
      <c r="BJ115" s="2">
        <f t="shared" si="6"/>
        <v>8.453519999999999E-5</v>
      </c>
      <c r="BK115" s="2" t="s">
        <v>320</v>
      </c>
    </row>
    <row r="116" spans="1:63" x14ac:dyDescent="0.3">
      <c r="A116" s="6">
        <v>115</v>
      </c>
      <c r="B116" s="1" t="s">
        <v>321</v>
      </c>
      <c r="C116" s="1" t="s">
        <v>322</v>
      </c>
      <c r="D116" s="1" t="s">
        <v>323</v>
      </c>
      <c r="E116" s="20">
        <v>396.43311640000002</v>
      </c>
      <c r="F116" s="20">
        <v>725.67899999999997</v>
      </c>
      <c r="G116" s="1">
        <v>868</v>
      </c>
      <c r="H116" s="1">
        <v>298.14999999999998</v>
      </c>
      <c r="I116" s="6">
        <f t="shared" si="3"/>
        <v>434</v>
      </c>
      <c r="J116">
        <v>0</v>
      </c>
      <c r="K116" s="2">
        <v>27</v>
      </c>
      <c r="L116" s="1" t="s">
        <v>780</v>
      </c>
      <c r="M116">
        <v>1</v>
      </c>
      <c r="N116">
        <v>26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>
        <v>353.1</v>
      </c>
      <c r="AG116">
        <v>403.64440000000002</v>
      </c>
      <c r="AH116">
        <v>454.18889999999999</v>
      </c>
      <c r="AI116">
        <v>504.73329999999999</v>
      </c>
      <c r="AJ116">
        <v>555.27779999999996</v>
      </c>
      <c r="AK116">
        <v>605.82219999999995</v>
      </c>
      <c r="AL116">
        <v>656.36670000000004</v>
      </c>
      <c r="AM116">
        <v>706.91110000000003</v>
      </c>
      <c r="AN116">
        <v>757.4556</v>
      </c>
      <c r="AO116">
        <v>808</v>
      </c>
      <c r="AP116">
        <v>4.15658E-3</v>
      </c>
      <c r="AQ116">
        <v>0.50744599999999995</v>
      </c>
      <c r="AR116">
        <v>16.57283</v>
      </c>
      <c r="AS116">
        <v>223.50059999999999</v>
      </c>
      <c r="AT116">
        <v>1632.7750000000001</v>
      </c>
      <c r="AU116">
        <v>7716.4780000000001</v>
      </c>
      <c r="AV116">
        <v>26614.15</v>
      </c>
      <c r="AW116">
        <v>72930.679999999993</v>
      </c>
      <c r="AX116">
        <v>169044</v>
      </c>
      <c r="AY116">
        <v>348273</v>
      </c>
      <c r="AZ116" s="2">
        <v>7.5477999999999996</v>
      </c>
      <c r="BA116" s="2">
        <v>101327</v>
      </c>
      <c r="BG116">
        <v>452.529</v>
      </c>
      <c r="BH116" s="2">
        <f t="shared" si="5"/>
        <v>725.67899999999997</v>
      </c>
      <c r="BJ116" s="2">
        <f t="shared" si="6"/>
        <v>7.5477999999999998E-5</v>
      </c>
      <c r="BK116" s="2" t="s">
        <v>323</v>
      </c>
    </row>
    <row r="117" spans="1:63" x14ac:dyDescent="0.3">
      <c r="A117" s="6">
        <v>116</v>
      </c>
      <c r="B117" s="1" t="s">
        <v>324</v>
      </c>
      <c r="C117" s="1" t="s">
        <v>325</v>
      </c>
      <c r="D117" s="1" t="s">
        <v>326</v>
      </c>
      <c r="E117" s="20">
        <v>410.44876649999998</v>
      </c>
      <c r="F117" s="20">
        <v>739.21</v>
      </c>
      <c r="G117" s="1">
        <v>905</v>
      </c>
      <c r="H117" s="1">
        <v>298.14999999999998</v>
      </c>
      <c r="I117" s="6">
        <f t="shared" si="3"/>
        <v>452.5</v>
      </c>
      <c r="J117">
        <v>0</v>
      </c>
      <c r="K117" s="2">
        <v>28</v>
      </c>
      <c r="L117" s="1" t="s">
        <v>781</v>
      </c>
      <c r="M117">
        <v>1</v>
      </c>
      <c r="N117">
        <v>27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>
        <v>355.9</v>
      </c>
      <c r="AG117">
        <v>410.24439999999998</v>
      </c>
      <c r="AH117">
        <v>464.58890000000002</v>
      </c>
      <c r="AI117">
        <v>518.93330000000003</v>
      </c>
      <c r="AJ117">
        <v>573.27779999999996</v>
      </c>
      <c r="AK117">
        <v>627.62220000000002</v>
      </c>
      <c r="AL117">
        <v>681.96669999999995</v>
      </c>
      <c r="AM117">
        <v>736.31110000000001</v>
      </c>
      <c r="AN117">
        <v>790.65560000000005</v>
      </c>
      <c r="AO117">
        <v>845</v>
      </c>
      <c r="AP117">
        <v>2.5125100000000001E-2</v>
      </c>
      <c r="AQ117">
        <v>2.1013030000000001</v>
      </c>
      <c r="AR117">
        <v>50.186880000000002</v>
      </c>
      <c r="AS117">
        <v>526.54499999999996</v>
      </c>
      <c r="AT117">
        <v>3154.4279999999999</v>
      </c>
      <c r="AU117">
        <v>12759.34</v>
      </c>
      <c r="AV117">
        <v>38955.440000000002</v>
      </c>
      <c r="AW117">
        <v>96956.17</v>
      </c>
      <c r="AX117">
        <v>207958</v>
      </c>
      <c r="AY117">
        <v>401296</v>
      </c>
      <c r="AZ117" s="2">
        <v>7.7132500000000004</v>
      </c>
      <c r="BA117" s="2">
        <v>101322</v>
      </c>
      <c r="BG117">
        <v>466.06</v>
      </c>
      <c r="BH117" s="2">
        <f t="shared" si="5"/>
        <v>739.21</v>
      </c>
      <c r="BJ117" s="2">
        <f t="shared" si="6"/>
        <v>7.7132500000000001E-5</v>
      </c>
      <c r="BK117" s="17">
        <v>38626</v>
      </c>
    </row>
    <row r="118" spans="1:63" x14ac:dyDescent="0.3">
      <c r="A118" s="6">
        <v>117</v>
      </c>
      <c r="B118" s="1" t="s">
        <v>327</v>
      </c>
      <c r="C118" s="1" t="s">
        <v>328</v>
      </c>
      <c r="D118" s="1" t="s">
        <v>329</v>
      </c>
      <c r="E118" s="2">
        <v>310.28718049999998</v>
      </c>
      <c r="F118" s="2">
        <v>626.09999999999991</v>
      </c>
      <c r="G118" s="2">
        <v>772.09999999999991</v>
      </c>
      <c r="H118" s="1">
        <v>298.14999999999998</v>
      </c>
      <c r="I118" s="6">
        <f t="shared" si="3"/>
        <v>386.04999999999995</v>
      </c>
      <c r="J118">
        <v>0</v>
      </c>
      <c r="K118" s="2">
        <v>20</v>
      </c>
      <c r="L118" s="2" t="s">
        <v>782</v>
      </c>
      <c r="M118">
        <v>2</v>
      </c>
      <c r="N118">
        <v>14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 s="6">
        <v>2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>
        <v>253.67</v>
      </c>
      <c r="AG118">
        <v>304.60669999999999</v>
      </c>
      <c r="AH118">
        <v>355.54329999999999</v>
      </c>
      <c r="AI118">
        <v>406.48</v>
      </c>
      <c r="AJ118">
        <v>457.41669999999999</v>
      </c>
      <c r="AK118">
        <v>508.35329999999999</v>
      </c>
      <c r="AL118">
        <v>559.29</v>
      </c>
      <c r="AM118">
        <v>610.22670000000005</v>
      </c>
      <c r="AN118">
        <v>661.16330000000005</v>
      </c>
      <c r="AO118">
        <v>712.1</v>
      </c>
      <c r="AP118" s="13">
        <v>4.5549799999999999E-6</v>
      </c>
      <c r="AQ118">
        <v>7.8393100000000004E-3</v>
      </c>
      <c r="AR118">
        <v>1.222915</v>
      </c>
      <c r="AS118">
        <v>44.198639999999997</v>
      </c>
      <c r="AT118">
        <v>618.9248</v>
      </c>
      <c r="AU118">
        <v>4557.5820000000003</v>
      </c>
      <c r="AV118">
        <v>21419.96</v>
      </c>
      <c r="AW118">
        <v>73181.14</v>
      </c>
      <c r="AX118">
        <v>199343</v>
      </c>
      <c r="AY118">
        <v>464072</v>
      </c>
      <c r="AZ118" s="2">
        <v>11.0631</v>
      </c>
      <c r="BA118" s="2">
        <v>102095</v>
      </c>
      <c r="BG118">
        <v>352.95</v>
      </c>
      <c r="BH118" s="2">
        <f t="shared" si="5"/>
        <v>626.09999999999991</v>
      </c>
      <c r="BJ118" s="2">
        <f t="shared" si="6"/>
        <v>1.1063100000000001E-4</v>
      </c>
      <c r="BK118" s="2" t="s">
        <v>329</v>
      </c>
    </row>
    <row r="119" spans="1:63" x14ac:dyDescent="0.3">
      <c r="A119" s="6">
        <v>118</v>
      </c>
      <c r="B119" s="1" t="s">
        <v>330</v>
      </c>
      <c r="C119" s="1" t="s">
        <v>331</v>
      </c>
      <c r="D119" s="1" t="s">
        <v>332</v>
      </c>
      <c r="E119" s="2">
        <v>324.30283050000003</v>
      </c>
      <c r="F119" s="2">
        <v>641.28099999999995</v>
      </c>
      <c r="G119" s="2">
        <v>791</v>
      </c>
      <c r="H119" s="1">
        <v>298.14999999999998</v>
      </c>
      <c r="I119" s="6">
        <f t="shared" si="3"/>
        <v>395.5</v>
      </c>
      <c r="J119">
        <v>0</v>
      </c>
      <c r="K119" s="2">
        <v>21</v>
      </c>
      <c r="L119" s="2" t="s">
        <v>783</v>
      </c>
      <c r="M119">
        <v>2</v>
      </c>
      <c r="N119">
        <v>15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 s="6">
        <v>2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>
        <v>240.5</v>
      </c>
      <c r="AG119">
        <v>295</v>
      </c>
      <c r="AH119">
        <v>349.5</v>
      </c>
      <c r="AI119">
        <v>404</v>
      </c>
      <c r="AJ119">
        <v>458.5</v>
      </c>
      <c r="AK119">
        <v>513</v>
      </c>
      <c r="AL119">
        <v>567.5</v>
      </c>
      <c r="AM119">
        <v>622</v>
      </c>
      <c r="AN119">
        <v>676.5</v>
      </c>
      <c r="AO119">
        <v>731</v>
      </c>
      <c r="AP119" s="13">
        <v>3.1940599999999999E-8</v>
      </c>
      <c r="AQ119">
        <v>6.0310099999999998E-4</v>
      </c>
      <c r="AR119">
        <v>0.31973049999999997</v>
      </c>
      <c r="AS119">
        <v>21.988389999999999</v>
      </c>
      <c r="AT119">
        <v>432.50560000000002</v>
      </c>
      <c r="AU119">
        <v>3799.1579999999999</v>
      </c>
      <c r="AV119">
        <v>19482.189999999999</v>
      </c>
      <c r="AW119">
        <v>69126.740000000005</v>
      </c>
      <c r="AX119">
        <v>190138</v>
      </c>
      <c r="AY119">
        <v>439998</v>
      </c>
      <c r="AZ119" s="2">
        <v>9.9029900000000008</v>
      </c>
      <c r="BA119" s="2">
        <v>101322</v>
      </c>
      <c r="BG119">
        <v>368.13099999999997</v>
      </c>
      <c r="BH119" s="2">
        <f t="shared" si="5"/>
        <v>641.28099999999995</v>
      </c>
      <c r="BJ119" s="2">
        <f t="shared" si="6"/>
        <v>9.9029900000000012E-5</v>
      </c>
      <c r="BK119" s="2" t="s">
        <v>332</v>
      </c>
    </row>
    <row r="120" spans="1:63" x14ac:dyDescent="0.3">
      <c r="A120" s="6">
        <v>119</v>
      </c>
      <c r="B120" s="1" t="s">
        <v>333</v>
      </c>
      <c r="C120" s="1" t="s">
        <v>334</v>
      </c>
      <c r="D120" s="1" t="s">
        <v>335</v>
      </c>
      <c r="E120" s="2">
        <v>294.2558803</v>
      </c>
      <c r="F120" s="2">
        <v>619.15</v>
      </c>
      <c r="G120" s="2">
        <v>767.4</v>
      </c>
      <c r="H120" s="1">
        <v>298.14999999999998</v>
      </c>
      <c r="I120" s="6">
        <f t="shared" si="3"/>
        <v>383.7</v>
      </c>
      <c r="J120">
        <v>0</v>
      </c>
      <c r="K120" s="2">
        <v>19</v>
      </c>
      <c r="L120" s="2" t="s">
        <v>784</v>
      </c>
      <c r="M120">
        <v>2</v>
      </c>
      <c r="N120">
        <v>11</v>
      </c>
      <c r="O120">
        <v>0</v>
      </c>
      <c r="P120">
        <v>2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 s="6">
        <v>4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>
        <v>233.93</v>
      </c>
      <c r="AG120">
        <v>286.5378</v>
      </c>
      <c r="AH120">
        <v>339.1456</v>
      </c>
      <c r="AI120">
        <v>391.75330000000002</v>
      </c>
      <c r="AJ120">
        <v>444.36110000000002</v>
      </c>
      <c r="AK120">
        <v>496.96890000000002</v>
      </c>
      <c r="AL120">
        <v>549.57669999999996</v>
      </c>
      <c r="AM120">
        <v>602.18439999999998</v>
      </c>
      <c r="AN120">
        <v>654.79219999999998</v>
      </c>
      <c r="AO120">
        <v>707.4</v>
      </c>
      <c r="AP120" s="13">
        <v>5.5357100000000003E-8</v>
      </c>
      <c r="AQ120">
        <v>5.6511199999999999E-4</v>
      </c>
      <c r="AR120">
        <v>0.2394559</v>
      </c>
      <c r="AS120">
        <v>15.88012</v>
      </c>
      <c r="AT120">
        <v>328.55689999999998</v>
      </c>
      <c r="AU120">
        <v>3144.451</v>
      </c>
      <c r="AV120">
        <v>17733.75</v>
      </c>
      <c r="AW120">
        <v>69063.02</v>
      </c>
      <c r="AX120">
        <v>207384</v>
      </c>
      <c r="AY120">
        <v>520959</v>
      </c>
      <c r="AZ120" s="2">
        <v>13.0002</v>
      </c>
      <c r="BA120" s="2">
        <v>100851</v>
      </c>
      <c r="BG120">
        <v>346</v>
      </c>
      <c r="BH120" s="2">
        <f t="shared" si="5"/>
        <v>619.15</v>
      </c>
      <c r="BJ120" s="2">
        <f t="shared" si="6"/>
        <v>1.3000199999999999E-4</v>
      </c>
      <c r="BK120" s="2" t="s">
        <v>335</v>
      </c>
    </row>
    <row r="121" spans="1:63" x14ac:dyDescent="0.3">
      <c r="A121" s="6">
        <v>120</v>
      </c>
      <c r="B121" s="1" t="s">
        <v>336</v>
      </c>
      <c r="C121" s="1" t="s">
        <v>337</v>
      </c>
      <c r="D121" s="1" t="s">
        <v>338</v>
      </c>
      <c r="E121" s="2">
        <v>306.2558803</v>
      </c>
      <c r="F121" s="2">
        <v>628.29999999999995</v>
      </c>
      <c r="G121" s="2">
        <v>779.8</v>
      </c>
      <c r="H121" s="1">
        <v>298.14999999999998</v>
      </c>
      <c r="I121" s="6">
        <f t="shared" si="3"/>
        <v>389.9</v>
      </c>
      <c r="J121">
        <v>0</v>
      </c>
      <c r="K121" s="2">
        <v>20</v>
      </c>
      <c r="L121" s="2" t="s">
        <v>785</v>
      </c>
      <c r="M121">
        <v>2</v>
      </c>
      <c r="N121">
        <v>10</v>
      </c>
      <c r="O121">
        <v>0</v>
      </c>
      <c r="P121">
        <v>3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 s="6">
        <v>6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>
        <v>256.52999999999997</v>
      </c>
      <c r="AG121">
        <v>308.00439999999998</v>
      </c>
      <c r="AH121">
        <v>359.47890000000001</v>
      </c>
      <c r="AI121">
        <v>410.95330000000001</v>
      </c>
      <c r="AJ121">
        <v>462.42779999999999</v>
      </c>
      <c r="AK121">
        <v>513.90219999999999</v>
      </c>
      <c r="AL121">
        <v>565.37670000000003</v>
      </c>
      <c r="AM121">
        <v>616.85109999999997</v>
      </c>
      <c r="AN121">
        <v>668.32560000000001</v>
      </c>
      <c r="AO121">
        <v>719.8</v>
      </c>
      <c r="AP121" s="13">
        <v>1.76417E-6</v>
      </c>
      <c r="AQ121">
        <v>4.7266699999999997E-3</v>
      </c>
      <c r="AR121">
        <v>0.95994829999999998</v>
      </c>
      <c r="AS121">
        <v>40.662230000000001</v>
      </c>
      <c r="AT121">
        <v>625.08590000000004</v>
      </c>
      <c r="AU121">
        <v>4843.8580000000002</v>
      </c>
      <c r="AV121">
        <v>23298.18</v>
      </c>
      <c r="AW121">
        <v>79979.320000000007</v>
      </c>
      <c r="AX121">
        <v>216366</v>
      </c>
      <c r="AY121">
        <v>496940</v>
      </c>
      <c r="AZ121" s="2">
        <v>11.5267</v>
      </c>
      <c r="BA121" s="2">
        <v>101574</v>
      </c>
      <c r="BG121">
        <v>355.15</v>
      </c>
      <c r="BH121" s="2">
        <f t="shared" si="5"/>
        <v>628.29999999999995</v>
      </c>
      <c r="BJ121" s="2">
        <f t="shared" si="6"/>
        <v>1.1526700000000001E-4</v>
      </c>
      <c r="BK121" s="2" t="s">
        <v>338</v>
      </c>
    </row>
    <row r="122" spans="1:63" x14ac:dyDescent="0.3">
      <c r="A122" s="6">
        <v>121</v>
      </c>
      <c r="B122" s="1" t="s">
        <v>339</v>
      </c>
      <c r="C122" s="1" t="s">
        <v>340</v>
      </c>
      <c r="D122" s="1" t="s">
        <v>341</v>
      </c>
      <c r="E122" s="2">
        <v>366.3497807</v>
      </c>
      <c r="F122" s="2">
        <v>675.12400000000002</v>
      </c>
      <c r="G122" s="2">
        <v>827</v>
      </c>
      <c r="H122" s="1">
        <v>298.14999999999998</v>
      </c>
      <c r="I122" s="6">
        <f t="shared" si="3"/>
        <v>413.5</v>
      </c>
      <c r="J122">
        <v>0</v>
      </c>
      <c r="K122" s="2">
        <v>24</v>
      </c>
      <c r="L122" s="2" t="s">
        <v>786</v>
      </c>
      <c r="M122">
        <v>2</v>
      </c>
      <c r="N122">
        <v>18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 s="6">
        <v>2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>
        <v>242.85</v>
      </c>
      <c r="AG122">
        <v>301.08890000000002</v>
      </c>
      <c r="AH122">
        <v>359.32780000000002</v>
      </c>
      <c r="AI122">
        <v>417.56670000000003</v>
      </c>
      <c r="AJ122">
        <v>475.80560000000003</v>
      </c>
      <c r="AK122">
        <v>534.0444</v>
      </c>
      <c r="AL122">
        <v>592.28330000000005</v>
      </c>
      <c r="AM122">
        <v>650.5222</v>
      </c>
      <c r="AN122">
        <v>708.76110000000006</v>
      </c>
      <c r="AO122">
        <v>767</v>
      </c>
      <c r="AP122" s="13">
        <v>4.9697200000000001E-9</v>
      </c>
      <c r="AQ122">
        <v>2.2443300000000001E-4</v>
      </c>
      <c r="AR122">
        <v>0.18224570000000001</v>
      </c>
      <c r="AS122">
        <v>15.687430000000001</v>
      </c>
      <c r="AT122">
        <v>349.26580000000001</v>
      </c>
      <c r="AU122">
        <v>3292.1759999999999</v>
      </c>
      <c r="AV122">
        <v>17589.009999999998</v>
      </c>
      <c r="AW122">
        <v>63942.53</v>
      </c>
      <c r="AX122">
        <v>178506</v>
      </c>
      <c r="AY122">
        <v>417244</v>
      </c>
      <c r="AZ122" s="2">
        <v>9.01999</v>
      </c>
      <c r="BA122" s="2">
        <v>101324</v>
      </c>
      <c r="BG122">
        <v>401.97399999999999</v>
      </c>
      <c r="BH122" s="2">
        <f t="shared" si="5"/>
        <v>675.12400000000002</v>
      </c>
      <c r="BJ122" s="2">
        <f t="shared" si="6"/>
        <v>9.0199900000000004E-5</v>
      </c>
      <c r="BK122" s="2" t="s">
        <v>341</v>
      </c>
    </row>
    <row r="123" spans="1:63" x14ac:dyDescent="0.3">
      <c r="A123" s="6">
        <v>122</v>
      </c>
      <c r="B123" s="1" t="s">
        <v>342</v>
      </c>
      <c r="C123" s="1" t="s">
        <v>343</v>
      </c>
      <c r="D123" s="1" t="s">
        <v>344</v>
      </c>
      <c r="E123" s="2">
        <v>296.27153040000002</v>
      </c>
      <c r="F123" s="2">
        <v>619.29999999999995</v>
      </c>
      <c r="G123" s="2">
        <v>777</v>
      </c>
      <c r="H123" s="1">
        <v>298.14999999999998</v>
      </c>
      <c r="I123" s="6">
        <f t="shared" si="3"/>
        <v>388.5</v>
      </c>
      <c r="J123">
        <v>0</v>
      </c>
      <c r="K123" s="2">
        <v>19</v>
      </c>
      <c r="L123" s="2" t="s">
        <v>787</v>
      </c>
      <c r="M123">
        <v>2</v>
      </c>
      <c r="N123">
        <v>13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 s="6">
        <v>2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>
        <v>253.65</v>
      </c>
      <c r="AG123">
        <v>305.13330000000002</v>
      </c>
      <c r="AH123">
        <v>356.61669999999998</v>
      </c>
      <c r="AI123">
        <v>408.1</v>
      </c>
      <c r="AJ123">
        <v>459.58330000000001</v>
      </c>
      <c r="AK123">
        <v>511.06670000000003</v>
      </c>
      <c r="AL123">
        <v>562.54999999999995</v>
      </c>
      <c r="AM123">
        <v>614.03330000000005</v>
      </c>
      <c r="AN123">
        <v>665.51670000000001</v>
      </c>
      <c r="AO123">
        <v>717</v>
      </c>
      <c r="AP123" s="13">
        <v>5.8351600000000002E-7</v>
      </c>
      <c r="AQ123">
        <v>2.7612299999999999E-3</v>
      </c>
      <c r="AR123">
        <v>0.77332029999999996</v>
      </c>
      <c r="AS123">
        <v>39.343339999999998</v>
      </c>
      <c r="AT123">
        <v>668.86699999999996</v>
      </c>
      <c r="AU123">
        <v>5443.826</v>
      </c>
      <c r="AV123">
        <v>26606.14</v>
      </c>
      <c r="AW123">
        <v>90854.55</v>
      </c>
      <c r="AX123">
        <v>241276</v>
      </c>
      <c r="AY123">
        <v>539969</v>
      </c>
      <c r="AZ123" s="2">
        <v>12.1106</v>
      </c>
      <c r="BA123" s="2">
        <v>101412</v>
      </c>
      <c r="BG123">
        <v>346.15</v>
      </c>
      <c r="BH123" s="2">
        <f t="shared" si="5"/>
        <v>619.29999999999995</v>
      </c>
      <c r="BJ123" s="2">
        <f t="shared" si="6"/>
        <v>1.21106E-4</v>
      </c>
      <c r="BK123" s="2" t="s">
        <v>344</v>
      </c>
    </row>
    <row r="124" spans="1:63" x14ac:dyDescent="0.3">
      <c r="A124" s="6">
        <v>123</v>
      </c>
      <c r="B124" s="1" t="s">
        <v>345</v>
      </c>
      <c r="C124" s="1" t="s">
        <v>346</v>
      </c>
      <c r="D124" s="1" t="s">
        <v>347</v>
      </c>
      <c r="E124" s="2">
        <v>334.28718049999998</v>
      </c>
      <c r="F124" s="2">
        <v>651.97</v>
      </c>
      <c r="G124" s="2">
        <v>805</v>
      </c>
      <c r="H124" s="1">
        <v>298.14999999999998</v>
      </c>
      <c r="I124" s="6">
        <f t="shared" si="3"/>
        <v>402.5</v>
      </c>
      <c r="J124">
        <v>0</v>
      </c>
      <c r="K124" s="2">
        <v>22</v>
      </c>
      <c r="L124" s="2" t="s">
        <v>788</v>
      </c>
      <c r="M124">
        <v>1</v>
      </c>
      <c r="N124">
        <v>14</v>
      </c>
      <c r="O124">
        <v>0</v>
      </c>
      <c r="P124">
        <v>3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 s="6">
        <v>6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>
        <v>300</v>
      </c>
      <c r="AG124">
        <v>349.44439999999997</v>
      </c>
      <c r="AH124">
        <v>398.88889999999998</v>
      </c>
      <c r="AI124">
        <v>448.33330000000001</v>
      </c>
      <c r="AJ124">
        <v>497.77780000000001</v>
      </c>
      <c r="AK124">
        <v>547.22220000000004</v>
      </c>
      <c r="AL124">
        <v>596.66669999999999</v>
      </c>
      <c r="AM124">
        <v>646.11109999999996</v>
      </c>
      <c r="AN124">
        <v>695.55560000000003</v>
      </c>
      <c r="AO124">
        <v>745</v>
      </c>
      <c r="AP124">
        <v>6.4492399999999995E-4</v>
      </c>
      <c r="AQ124">
        <v>0.1912364</v>
      </c>
      <c r="AR124">
        <v>10.329499999999999</v>
      </c>
      <c r="AS124">
        <v>187.15170000000001</v>
      </c>
      <c r="AT124">
        <v>1633.02</v>
      </c>
      <c r="AU124">
        <v>8604.6080000000002</v>
      </c>
      <c r="AV124">
        <v>31743.97</v>
      </c>
      <c r="AW124">
        <v>90682.51</v>
      </c>
      <c r="AX124">
        <v>215507</v>
      </c>
      <c r="AY124">
        <v>450009</v>
      </c>
      <c r="AZ124" s="2">
        <v>9.9536800000000003</v>
      </c>
      <c r="BA124" s="2">
        <v>101328</v>
      </c>
      <c r="BG124">
        <v>378.82</v>
      </c>
      <c r="BH124" s="2">
        <f t="shared" si="5"/>
        <v>651.97</v>
      </c>
      <c r="BJ124" s="2">
        <f t="shared" si="6"/>
        <v>9.9536800000000006E-5</v>
      </c>
      <c r="BK124" s="2" t="s">
        <v>347</v>
      </c>
    </row>
    <row r="125" spans="1:63" x14ac:dyDescent="0.3">
      <c r="A125" s="6">
        <v>124</v>
      </c>
      <c r="B125" s="1" t="s">
        <v>348</v>
      </c>
      <c r="C125" s="1" t="s">
        <v>349</v>
      </c>
      <c r="D125" s="1" t="s">
        <v>350</v>
      </c>
      <c r="E125" s="2">
        <v>320.27153040000002</v>
      </c>
      <c r="F125" s="2">
        <v>658.346</v>
      </c>
      <c r="G125" s="2">
        <v>800</v>
      </c>
      <c r="H125" s="1">
        <v>298.14999999999998</v>
      </c>
      <c r="I125" s="6">
        <f t="shared" si="3"/>
        <v>400</v>
      </c>
      <c r="J125">
        <v>0</v>
      </c>
      <c r="K125" s="2">
        <v>21</v>
      </c>
      <c r="L125" s="2" t="s">
        <v>789</v>
      </c>
      <c r="M125">
        <v>2</v>
      </c>
      <c r="N125">
        <v>11</v>
      </c>
      <c r="O125">
        <v>0</v>
      </c>
      <c r="P125">
        <v>3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 s="6">
        <v>6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>
        <v>300</v>
      </c>
      <c r="AG125">
        <v>348.88889999999998</v>
      </c>
      <c r="AH125">
        <v>397.77780000000001</v>
      </c>
      <c r="AI125">
        <v>446.66669999999999</v>
      </c>
      <c r="AJ125">
        <v>495.55560000000003</v>
      </c>
      <c r="AK125">
        <v>544.44439999999997</v>
      </c>
      <c r="AL125">
        <v>593.33330000000001</v>
      </c>
      <c r="AM125">
        <v>642.22220000000004</v>
      </c>
      <c r="AN125">
        <v>691.11109999999996</v>
      </c>
      <c r="AO125">
        <v>740</v>
      </c>
      <c r="AP125" s="13">
        <v>3.5822799999999999E-5</v>
      </c>
      <c r="AQ125">
        <v>2.64595E-2</v>
      </c>
      <c r="AR125">
        <v>2.7718449999999999</v>
      </c>
      <c r="AS125">
        <v>79.740020000000001</v>
      </c>
      <c r="AT125">
        <v>944.50750000000005</v>
      </c>
      <c r="AU125">
        <v>6001.4629999999997</v>
      </c>
      <c r="AV125">
        <v>24558.78</v>
      </c>
      <c r="AW125">
        <v>73965.97</v>
      </c>
      <c r="AX125">
        <v>181995</v>
      </c>
      <c r="AY125">
        <v>400777</v>
      </c>
      <c r="AZ125" s="2">
        <v>10.7202</v>
      </c>
      <c r="BA125" s="2">
        <v>101323</v>
      </c>
      <c r="BG125">
        <v>385.19600000000003</v>
      </c>
      <c r="BH125" s="2">
        <f t="shared" si="5"/>
        <v>658.346</v>
      </c>
      <c r="BJ125" s="2">
        <f t="shared" si="6"/>
        <v>1.0720200000000001E-4</v>
      </c>
      <c r="BK125" s="2" t="s">
        <v>350</v>
      </c>
    </row>
    <row r="126" spans="1:63" x14ac:dyDescent="0.3">
      <c r="A126" s="6">
        <v>125</v>
      </c>
      <c r="B126" s="1" t="s">
        <v>351</v>
      </c>
      <c r="C126" s="1" t="s">
        <v>352</v>
      </c>
      <c r="D126" s="1" t="s">
        <v>353</v>
      </c>
      <c r="E126" s="2">
        <v>346.28718049999998</v>
      </c>
      <c r="F126" s="2">
        <v>669.024</v>
      </c>
      <c r="G126" s="2">
        <v>824</v>
      </c>
      <c r="H126" s="1">
        <v>298.14999999999998</v>
      </c>
      <c r="I126" s="6">
        <f t="shared" si="3"/>
        <v>412</v>
      </c>
      <c r="J126">
        <v>0</v>
      </c>
      <c r="K126" s="2">
        <v>23</v>
      </c>
      <c r="L126" s="2" t="s">
        <v>790</v>
      </c>
      <c r="M126">
        <v>2</v>
      </c>
      <c r="N126">
        <v>11</v>
      </c>
      <c r="O126">
        <v>0</v>
      </c>
      <c r="P126">
        <v>4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 s="6">
        <v>8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>
        <v>300</v>
      </c>
      <c r="AG126">
        <v>351.55560000000003</v>
      </c>
      <c r="AH126">
        <v>403.11110000000002</v>
      </c>
      <c r="AI126">
        <v>454.66669999999999</v>
      </c>
      <c r="AJ126">
        <v>506.22219999999999</v>
      </c>
      <c r="AK126">
        <v>557.77779999999996</v>
      </c>
      <c r="AL126">
        <v>609.33330000000001</v>
      </c>
      <c r="AM126">
        <v>660.88890000000004</v>
      </c>
      <c r="AN126">
        <v>712.44439999999997</v>
      </c>
      <c r="AO126">
        <v>764</v>
      </c>
      <c r="AP126">
        <v>2.2545E-4</v>
      </c>
      <c r="AQ126">
        <v>0.1011099</v>
      </c>
      <c r="AR126">
        <v>6.9429210000000001</v>
      </c>
      <c r="AS126">
        <v>145.48249999999999</v>
      </c>
      <c r="AT126">
        <v>1390.2470000000001</v>
      </c>
      <c r="AU126">
        <v>7764.4129999999996</v>
      </c>
      <c r="AV126">
        <v>29753.61</v>
      </c>
      <c r="AW126">
        <v>87174.7</v>
      </c>
      <c r="AX126">
        <v>210799</v>
      </c>
      <c r="AY126">
        <v>445818</v>
      </c>
      <c r="AZ126" s="2">
        <v>9.6826899999999991</v>
      </c>
      <c r="BA126" s="2">
        <v>101327</v>
      </c>
      <c r="BG126">
        <v>395.87400000000002</v>
      </c>
      <c r="BH126" s="2">
        <f t="shared" si="5"/>
        <v>669.024</v>
      </c>
      <c r="BJ126" s="2">
        <f t="shared" si="6"/>
        <v>9.6826899999999993E-5</v>
      </c>
      <c r="BK126" s="2" t="s">
        <v>353</v>
      </c>
    </row>
    <row r="127" spans="1:63" x14ac:dyDescent="0.3">
      <c r="A127" s="6">
        <v>126</v>
      </c>
      <c r="B127" s="1" t="s">
        <v>354</v>
      </c>
      <c r="C127" s="1" t="s">
        <v>355</v>
      </c>
      <c r="D127" s="1" t="s">
        <v>356</v>
      </c>
      <c r="E127" s="2">
        <v>380.36543080000001</v>
      </c>
      <c r="F127" s="2">
        <v>689.42399999999998</v>
      </c>
      <c r="G127" s="2">
        <v>840</v>
      </c>
      <c r="H127" s="1">
        <v>298.14999999999998</v>
      </c>
      <c r="I127" s="6">
        <f t="shared" si="3"/>
        <v>420</v>
      </c>
      <c r="J127">
        <v>0</v>
      </c>
      <c r="K127" s="2">
        <v>25</v>
      </c>
      <c r="L127" s="2" t="s">
        <v>791</v>
      </c>
      <c r="M127">
        <v>2</v>
      </c>
      <c r="N127">
        <v>19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 s="6">
        <v>2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>
        <v>254.85</v>
      </c>
      <c r="AG127">
        <v>313.2</v>
      </c>
      <c r="AH127">
        <v>371.55</v>
      </c>
      <c r="AI127">
        <v>429.9</v>
      </c>
      <c r="AJ127">
        <v>488.25</v>
      </c>
      <c r="AK127">
        <v>546.6</v>
      </c>
      <c r="AL127">
        <v>604.95000000000005</v>
      </c>
      <c r="AM127">
        <v>663.3</v>
      </c>
      <c r="AN127">
        <v>721.65</v>
      </c>
      <c r="AO127">
        <v>780</v>
      </c>
      <c r="AP127" s="13">
        <v>2.07115E-8</v>
      </c>
      <c r="AQ127">
        <v>4.6291600000000001E-4</v>
      </c>
      <c r="AR127">
        <v>0.26648549999999999</v>
      </c>
      <c r="AS127">
        <v>19.11994</v>
      </c>
      <c r="AT127">
        <v>384.52929999999998</v>
      </c>
      <c r="AU127">
        <v>3416.8910000000001</v>
      </c>
      <c r="AV127">
        <v>17623.45</v>
      </c>
      <c r="AW127">
        <v>62707.44</v>
      </c>
      <c r="AX127">
        <v>172759</v>
      </c>
      <c r="AY127">
        <v>400557</v>
      </c>
      <c r="AZ127" s="2">
        <v>8.6048899999999993</v>
      </c>
      <c r="BA127" s="2">
        <v>101326</v>
      </c>
      <c r="BG127">
        <v>416.274</v>
      </c>
      <c r="BH127" s="2">
        <f t="shared" si="5"/>
        <v>689.42399999999998</v>
      </c>
      <c r="BJ127" s="2">
        <f t="shared" si="6"/>
        <v>8.6048899999999995E-5</v>
      </c>
      <c r="BK127" s="2" t="s">
        <v>356</v>
      </c>
    </row>
    <row r="128" spans="1:63" x14ac:dyDescent="0.3">
      <c r="A128" s="6">
        <v>127</v>
      </c>
      <c r="B128" s="1" t="s">
        <v>357</v>
      </c>
      <c r="C128" s="1" t="s">
        <v>358</v>
      </c>
      <c r="D128" s="1" t="s">
        <v>359</v>
      </c>
      <c r="E128" s="2">
        <v>324.30283050000003</v>
      </c>
      <c r="F128" s="2">
        <v>641.28099999999995</v>
      </c>
      <c r="G128" s="2">
        <v>791</v>
      </c>
      <c r="H128" s="1">
        <v>298.14999999999998</v>
      </c>
      <c r="I128" s="6">
        <f t="shared" si="3"/>
        <v>395.5</v>
      </c>
      <c r="J128">
        <v>0</v>
      </c>
      <c r="K128" s="2">
        <v>21</v>
      </c>
      <c r="L128" s="2" t="s">
        <v>792</v>
      </c>
      <c r="M128">
        <v>2</v>
      </c>
      <c r="N128">
        <v>15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 s="6">
        <v>2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>
        <v>240.5</v>
      </c>
      <c r="AG128">
        <v>295</v>
      </c>
      <c r="AH128">
        <v>349.5</v>
      </c>
      <c r="AI128">
        <v>404</v>
      </c>
      <c r="AJ128">
        <v>458.5</v>
      </c>
      <c r="AK128">
        <v>513</v>
      </c>
      <c r="AL128">
        <v>567.5</v>
      </c>
      <c r="AM128">
        <v>622</v>
      </c>
      <c r="AN128">
        <v>676.5</v>
      </c>
      <c r="AO128">
        <v>731</v>
      </c>
      <c r="AP128" s="13">
        <v>3.1940599999999999E-8</v>
      </c>
      <c r="AQ128">
        <v>6.0310099999999998E-4</v>
      </c>
      <c r="AR128">
        <v>0.31973049999999997</v>
      </c>
      <c r="AS128">
        <v>21.988389999999999</v>
      </c>
      <c r="AT128">
        <v>432.50560000000002</v>
      </c>
      <c r="AU128">
        <v>3799.1579999999999</v>
      </c>
      <c r="AV128">
        <v>19482.189999999999</v>
      </c>
      <c r="AW128">
        <v>69126.740000000005</v>
      </c>
      <c r="AX128">
        <v>190138</v>
      </c>
      <c r="AY128">
        <v>439998</v>
      </c>
      <c r="AZ128" s="2">
        <v>9.9029900000000008</v>
      </c>
      <c r="BA128" s="2">
        <v>101322</v>
      </c>
      <c r="BG128">
        <v>368.13099999999997</v>
      </c>
      <c r="BH128" s="2">
        <f t="shared" si="5"/>
        <v>641.28099999999995</v>
      </c>
      <c r="BJ128" s="2">
        <f t="shared" si="6"/>
        <v>9.9029900000000012E-5</v>
      </c>
      <c r="BK128" s="2" t="s">
        <v>359</v>
      </c>
    </row>
    <row r="129" spans="1:109" x14ac:dyDescent="0.3">
      <c r="A129" s="6">
        <v>128</v>
      </c>
      <c r="B129" s="1" t="s">
        <v>360</v>
      </c>
      <c r="C129" s="1" t="s">
        <v>361</v>
      </c>
      <c r="D129" s="1" t="s">
        <v>362</v>
      </c>
      <c r="E129" s="2">
        <v>350.31848059999999</v>
      </c>
      <c r="F129" s="2">
        <v>682.31099999999992</v>
      </c>
      <c r="G129" s="2">
        <v>821</v>
      </c>
      <c r="H129" s="1">
        <v>298.14999999999998</v>
      </c>
      <c r="I129" s="6">
        <f t="shared" si="3"/>
        <v>410.5</v>
      </c>
      <c r="J129">
        <v>0</v>
      </c>
      <c r="K129" s="2">
        <v>23</v>
      </c>
      <c r="L129" s="2" t="s">
        <v>793</v>
      </c>
      <c r="M129">
        <v>2</v>
      </c>
      <c r="N129">
        <v>15</v>
      </c>
      <c r="O129">
        <v>0</v>
      </c>
      <c r="P129">
        <v>2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 s="6">
        <v>4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>
        <v>300</v>
      </c>
      <c r="AG129">
        <v>351.22219999999999</v>
      </c>
      <c r="AH129">
        <v>402.44439999999997</v>
      </c>
      <c r="AI129">
        <v>453.66669999999999</v>
      </c>
      <c r="AJ129">
        <v>504.88889999999998</v>
      </c>
      <c r="AK129">
        <v>556.11109999999996</v>
      </c>
      <c r="AL129">
        <v>607.33330000000001</v>
      </c>
      <c r="AM129">
        <v>658.55560000000003</v>
      </c>
      <c r="AN129">
        <v>709.77779999999996</v>
      </c>
      <c r="AO129">
        <v>761</v>
      </c>
      <c r="AP129" s="13">
        <v>1.24381E-5</v>
      </c>
      <c r="AQ129">
        <v>1.53724E-2</v>
      </c>
      <c r="AR129">
        <v>2.05525</v>
      </c>
      <c r="AS129">
        <v>65.993070000000003</v>
      </c>
      <c r="AT129">
        <v>817.40930000000003</v>
      </c>
      <c r="AU129">
        <v>5273.2849999999999</v>
      </c>
      <c r="AV129">
        <v>21665.64</v>
      </c>
      <c r="AW129">
        <v>65367.62</v>
      </c>
      <c r="AX129">
        <v>161357</v>
      </c>
      <c r="AY129">
        <v>357342</v>
      </c>
      <c r="AZ129" s="2">
        <v>9.2016899999999993</v>
      </c>
      <c r="BA129" s="2">
        <v>101321</v>
      </c>
      <c r="BG129">
        <v>409.161</v>
      </c>
      <c r="BH129" s="2">
        <f t="shared" si="5"/>
        <v>682.31099999999992</v>
      </c>
      <c r="BJ129" s="2">
        <f t="shared" si="6"/>
        <v>9.201689999999999E-5</v>
      </c>
      <c r="BK129" s="2" t="s">
        <v>362</v>
      </c>
    </row>
    <row r="130" spans="1:109" x14ac:dyDescent="0.3">
      <c r="A130" s="6">
        <v>129</v>
      </c>
      <c r="B130" s="1" t="s">
        <v>363</v>
      </c>
      <c r="C130" s="1" t="s">
        <v>364</v>
      </c>
      <c r="D130" s="1" t="s">
        <v>365</v>
      </c>
      <c r="E130" s="2">
        <v>422.41238099999998</v>
      </c>
      <c r="F130" s="2">
        <v>737.81</v>
      </c>
      <c r="G130" s="2">
        <v>878</v>
      </c>
      <c r="H130" s="1">
        <v>298.14999999999998</v>
      </c>
      <c r="I130" s="6">
        <f t="shared" ref="I130:I137" si="7">G130/2</f>
        <v>439</v>
      </c>
      <c r="J130">
        <v>0</v>
      </c>
      <c r="K130" s="2">
        <v>28</v>
      </c>
      <c r="L130" s="21" t="s">
        <v>794</v>
      </c>
      <c r="M130">
        <v>2</v>
      </c>
      <c r="N130">
        <v>22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 s="6">
        <v>2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>
        <v>275.95</v>
      </c>
      <c r="AG130">
        <v>336.17779999999999</v>
      </c>
      <c r="AH130">
        <v>396.40559999999999</v>
      </c>
      <c r="AI130">
        <v>456.63330000000002</v>
      </c>
      <c r="AJ130">
        <v>516.86109999999996</v>
      </c>
      <c r="AK130">
        <v>577.08889999999997</v>
      </c>
      <c r="AL130">
        <v>637.31669999999997</v>
      </c>
      <c r="AM130">
        <v>697.5444</v>
      </c>
      <c r="AN130">
        <v>757.7722</v>
      </c>
      <c r="AO130">
        <v>818</v>
      </c>
      <c r="AP130" s="13">
        <v>4.8851799999999999E-9</v>
      </c>
      <c r="AQ130">
        <v>1.3402999999999999E-4</v>
      </c>
      <c r="AR130">
        <v>0.10022399999999999</v>
      </c>
      <c r="AS130">
        <v>9.0876319999999993</v>
      </c>
      <c r="AT130">
        <v>220.13900000000001</v>
      </c>
      <c r="AU130">
        <v>2246.1880000000001</v>
      </c>
      <c r="AV130">
        <v>12777.2</v>
      </c>
      <c r="AW130">
        <v>48640.12</v>
      </c>
      <c r="AX130">
        <v>140603</v>
      </c>
      <c r="AY130">
        <v>339594</v>
      </c>
      <c r="AZ130" s="2">
        <v>7.5119300000000004</v>
      </c>
      <c r="BA130" s="2">
        <v>101325</v>
      </c>
      <c r="BG130">
        <v>464.66</v>
      </c>
      <c r="BH130" s="2">
        <f t="shared" si="5"/>
        <v>737.81</v>
      </c>
      <c r="BJ130" s="2">
        <f t="shared" si="6"/>
        <v>7.5119300000000004E-5</v>
      </c>
      <c r="BK130" s="2" t="s">
        <v>365</v>
      </c>
    </row>
    <row r="131" spans="1:109" x14ac:dyDescent="0.3">
      <c r="A131" s="6">
        <v>130</v>
      </c>
      <c r="B131" s="1" t="s">
        <v>366</v>
      </c>
      <c r="C131" s="1" t="s">
        <v>367</v>
      </c>
      <c r="D131" s="1" t="s">
        <v>368</v>
      </c>
      <c r="E131" s="2">
        <v>366.3497807</v>
      </c>
      <c r="F131" s="2">
        <v>675.12400000000002</v>
      </c>
      <c r="G131" s="2">
        <v>827</v>
      </c>
      <c r="H131" s="1">
        <v>298.14999999999998</v>
      </c>
      <c r="I131" s="6">
        <f t="shared" si="7"/>
        <v>413.5</v>
      </c>
      <c r="J131">
        <v>0</v>
      </c>
      <c r="K131" s="2">
        <v>24</v>
      </c>
      <c r="L131" s="2" t="s">
        <v>795</v>
      </c>
      <c r="M131">
        <v>2</v>
      </c>
      <c r="N131">
        <v>18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 s="6">
        <v>2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>
        <v>242.85</v>
      </c>
      <c r="AG131">
        <v>301.08890000000002</v>
      </c>
      <c r="AH131">
        <v>359.32780000000002</v>
      </c>
      <c r="AI131">
        <v>417.56670000000003</v>
      </c>
      <c r="AJ131">
        <v>475.80560000000003</v>
      </c>
      <c r="AK131">
        <v>534.0444</v>
      </c>
      <c r="AL131">
        <v>592.28330000000005</v>
      </c>
      <c r="AM131">
        <v>650.5222</v>
      </c>
      <c r="AN131">
        <v>708.76110000000006</v>
      </c>
      <c r="AO131">
        <v>767</v>
      </c>
      <c r="AP131" s="13">
        <v>4.9697200000000001E-9</v>
      </c>
      <c r="AQ131">
        <v>2.2443300000000001E-4</v>
      </c>
      <c r="AR131">
        <v>0.18224570000000001</v>
      </c>
      <c r="AS131">
        <v>15.687430000000001</v>
      </c>
      <c r="AT131">
        <v>349.26580000000001</v>
      </c>
      <c r="AU131">
        <v>3292.1759999999999</v>
      </c>
      <c r="AV131">
        <v>17589.009999999998</v>
      </c>
      <c r="AW131">
        <v>63942.53</v>
      </c>
      <c r="AX131">
        <v>178506</v>
      </c>
      <c r="AY131">
        <v>417244</v>
      </c>
      <c r="AZ131" s="2">
        <v>9.01999</v>
      </c>
      <c r="BA131" s="2">
        <v>101324</v>
      </c>
      <c r="BG131">
        <v>401.97399999999999</v>
      </c>
      <c r="BH131" s="2">
        <f t="shared" ref="BH131:BH137" si="8">BG131+273.15</f>
        <v>675.12400000000002</v>
      </c>
      <c r="BJ131" s="2">
        <f t="shared" si="6"/>
        <v>9.0199900000000004E-5</v>
      </c>
      <c r="BK131" s="2" t="s">
        <v>368</v>
      </c>
    </row>
    <row r="132" spans="1:109" x14ac:dyDescent="0.3">
      <c r="A132" s="6">
        <v>131</v>
      </c>
      <c r="B132" s="1" t="s">
        <v>369</v>
      </c>
      <c r="C132" s="1" t="s">
        <v>370</v>
      </c>
      <c r="D132" s="1" t="s">
        <v>371</v>
      </c>
      <c r="E132" s="2">
        <v>392.36543080000001</v>
      </c>
      <c r="F132" s="2">
        <v>680.49900000000002</v>
      </c>
      <c r="G132" s="2">
        <v>866</v>
      </c>
      <c r="H132" s="1">
        <v>298.14999999999998</v>
      </c>
      <c r="I132" s="6">
        <f t="shared" si="7"/>
        <v>433</v>
      </c>
      <c r="J132">
        <v>0</v>
      </c>
      <c r="K132" s="2">
        <v>26</v>
      </c>
      <c r="L132" s="2" t="s">
        <v>796</v>
      </c>
      <c r="M132">
        <v>1</v>
      </c>
      <c r="N132">
        <v>20</v>
      </c>
      <c r="O132">
        <v>0</v>
      </c>
      <c r="P132">
        <v>2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 s="6">
        <v>4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>
        <v>492.1</v>
      </c>
      <c r="AG132">
        <v>526.9778</v>
      </c>
      <c r="AH132">
        <v>561.85559999999998</v>
      </c>
      <c r="AI132">
        <v>596.73329999999999</v>
      </c>
      <c r="AJ132">
        <v>631.61109999999996</v>
      </c>
      <c r="AK132">
        <v>666.48889999999994</v>
      </c>
      <c r="AL132">
        <v>701.36670000000004</v>
      </c>
      <c r="AM132">
        <v>736.24440000000004</v>
      </c>
      <c r="AN132">
        <v>771.12220000000002</v>
      </c>
      <c r="AO132">
        <v>806</v>
      </c>
      <c r="AP132">
        <v>927.81290000000001</v>
      </c>
      <c r="AQ132">
        <v>3071.616</v>
      </c>
      <c r="AR132">
        <v>8433.1299999999992</v>
      </c>
      <c r="AS132">
        <v>19955.189999999999</v>
      </c>
      <c r="AT132">
        <v>41916.39</v>
      </c>
      <c r="AU132">
        <v>79974.27</v>
      </c>
      <c r="AV132">
        <v>141144</v>
      </c>
      <c r="AW132">
        <v>233839</v>
      </c>
      <c r="AX132">
        <v>368182</v>
      </c>
      <c r="AY132">
        <v>556933</v>
      </c>
      <c r="AZ132" s="2">
        <v>10.690899999999999</v>
      </c>
      <c r="BA132" s="2">
        <v>101329</v>
      </c>
      <c r="BG132">
        <v>407.34899999999999</v>
      </c>
      <c r="BH132" s="2">
        <f t="shared" si="8"/>
        <v>680.49900000000002</v>
      </c>
      <c r="BJ132" s="2">
        <f t="shared" si="6"/>
        <v>1.0690899999999999E-4</v>
      </c>
      <c r="BK132" s="2" t="s">
        <v>371</v>
      </c>
    </row>
    <row r="133" spans="1:109" x14ac:dyDescent="0.3">
      <c r="A133" s="6">
        <v>132</v>
      </c>
      <c r="B133" s="1" t="s">
        <v>372</v>
      </c>
      <c r="C133" s="1" t="s">
        <v>373</v>
      </c>
      <c r="D133" s="1" t="s">
        <v>374</v>
      </c>
      <c r="E133" s="21">
        <v>146.05790880000001</v>
      </c>
      <c r="F133" s="21">
        <v>458.61</v>
      </c>
      <c r="G133" s="21">
        <v>618</v>
      </c>
      <c r="H133" s="1">
        <v>298.14999999999998</v>
      </c>
      <c r="I133" s="6">
        <f t="shared" si="7"/>
        <v>309</v>
      </c>
      <c r="J133">
        <v>0</v>
      </c>
      <c r="K133" s="2">
        <v>6</v>
      </c>
      <c r="L133" s="2" t="s">
        <v>797</v>
      </c>
      <c r="M133">
        <v>2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2</v>
      </c>
      <c r="AB133" s="6">
        <v>0</v>
      </c>
      <c r="AC133" s="6">
        <v>0</v>
      </c>
      <c r="AD133" s="6">
        <v>0</v>
      </c>
      <c r="AE133" s="6">
        <v>0</v>
      </c>
      <c r="AF133">
        <v>232.55</v>
      </c>
      <c r="AG133">
        <v>268.71109999999999</v>
      </c>
      <c r="AH133">
        <v>304.87220000000002</v>
      </c>
      <c r="AI133">
        <v>341.0333</v>
      </c>
      <c r="AJ133">
        <v>377.19439999999997</v>
      </c>
      <c r="AK133">
        <v>413.35559999999998</v>
      </c>
      <c r="AL133">
        <v>449.51670000000001</v>
      </c>
      <c r="AM133">
        <v>485.67779999999999</v>
      </c>
      <c r="AN133">
        <v>521.83889999999997</v>
      </c>
      <c r="AO133">
        <v>558</v>
      </c>
      <c r="AP133">
        <v>3.6024399999999998E-2</v>
      </c>
      <c r="AQ133">
        <v>3.8708589999999998</v>
      </c>
      <c r="AR133">
        <v>101.4315</v>
      </c>
      <c r="AS133">
        <v>1084.471</v>
      </c>
      <c r="AT133">
        <v>6437.7389999999996</v>
      </c>
      <c r="AU133">
        <v>25768.34</v>
      </c>
      <c r="AV133">
        <v>79019.61</v>
      </c>
      <c r="AW133">
        <v>202481</v>
      </c>
      <c r="AX133">
        <v>460676</v>
      </c>
      <c r="AY133">
        <v>971935</v>
      </c>
      <c r="AZ133" s="2">
        <v>30.817799999999998</v>
      </c>
      <c r="BA133" s="2">
        <v>102616</v>
      </c>
      <c r="BG133">
        <v>185.46</v>
      </c>
      <c r="BH133" s="2">
        <f t="shared" si="8"/>
        <v>458.61</v>
      </c>
      <c r="BI133" s="21"/>
      <c r="BJ133" s="2">
        <f t="shared" si="6"/>
        <v>3.0817799999999999E-4</v>
      </c>
      <c r="BK133" s="2" t="s">
        <v>374</v>
      </c>
      <c r="BT133" s="21"/>
      <c r="BU133" s="21"/>
      <c r="BV133" s="21"/>
      <c r="BW133" s="21"/>
      <c r="BX133" s="21"/>
      <c r="CF133" s="21"/>
      <c r="CG133" s="21"/>
      <c r="CN133" s="21"/>
      <c r="CO133" s="21"/>
      <c r="CV133" s="21"/>
      <c r="DA133" s="21"/>
      <c r="DB133" s="21"/>
      <c r="DC133" s="21"/>
      <c r="DD133" s="21"/>
      <c r="DE133" s="21"/>
    </row>
    <row r="134" spans="1:109" x14ac:dyDescent="0.3">
      <c r="A134" s="6">
        <v>133</v>
      </c>
      <c r="B134" s="1" t="s">
        <v>375</v>
      </c>
      <c r="C134" s="1" t="s">
        <v>376</v>
      </c>
      <c r="D134" s="1" t="s">
        <v>377</v>
      </c>
      <c r="E134" s="2">
        <v>132.04225869999999</v>
      </c>
      <c r="F134" s="2">
        <v>452.5</v>
      </c>
      <c r="G134" s="2">
        <v>622.4</v>
      </c>
      <c r="H134" s="1">
        <v>298.14999999999998</v>
      </c>
      <c r="I134" s="6">
        <f t="shared" si="7"/>
        <v>311.2</v>
      </c>
      <c r="J134">
        <v>0</v>
      </c>
      <c r="K134" s="2">
        <v>5</v>
      </c>
      <c r="L134" s="2" t="s">
        <v>798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1</v>
      </c>
      <c r="AB134" s="6">
        <v>0</v>
      </c>
      <c r="AC134" s="6">
        <v>0</v>
      </c>
      <c r="AD134" s="6">
        <v>0</v>
      </c>
      <c r="AE134" s="6">
        <v>0</v>
      </c>
      <c r="AF134">
        <v>211.15</v>
      </c>
      <c r="AG134">
        <v>250.17779999999999</v>
      </c>
      <c r="AH134">
        <v>289.2056</v>
      </c>
      <c r="AI134">
        <v>328.23329999999999</v>
      </c>
      <c r="AJ134">
        <v>367.2611</v>
      </c>
      <c r="AK134">
        <v>406.28890000000001</v>
      </c>
      <c r="AL134">
        <v>445.31670000000003</v>
      </c>
      <c r="AM134">
        <v>484.34440000000001</v>
      </c>
      <c r="AN134">
        <v>523.37220000000002</v>
      </c>
      <c r="AO134">
        <v>562.4</v>
      </c>
      <c r="AP134">
        <v>2.0723500000000001E-3</v>
      </c>
      <c r="AQ134">
        <v>0.56367979999999995</v>
      </c>
      <c r="AR134">
        <v>28.22174</v>
      </c>
      <c r="AS134">
        <v>487.56189999999998</v>
      </c>
      <c r="AT134">
        <v>4159.3140000000003</v>
      </c>
      <c r="AU134">
        <v>21836.51</v>
      </c>
      <c r="AV134">
        <v>81491.92</v>
      </c>
      <c r="AW134">
        <v>238955</v>
      </c>
      <c r="AX134">
        <v>592799</v>
      </c>
      <c r="AY134">
        <v>1318790</v>
      </c>
      <c r="AZ134" s="2">
        <v>40.743400000000001</v>
      </c>
      <c r="BA134" s="2">
        <v>100902</v>
      </c>
      <c r="BG134">
        <v>179.35</v>
      </c>
      <c r="BH134" s="2">
        <f t="shared" si="8"/>
        <v>452.5</v>
      </c>
      <c r="BJ134" s="2">
        <f t="shared" si="6"/>
        <v>4.0743400000000003E-4</v>
      </c>
      <c r="BK134" s="2" t="s">
        <v>377</v>
      </c>
    </row>
    <row r="135" spans="1:109" x14ac:dyDescent="0.3">
      <c r="A135" s="6">
        <v>134</v>
      </c>
      <c r="B135" s="1" t="s">
        <v>378</v>
      </c>
      <c r="C135" s="1" t="s">
        <v>379</v>
      </c>
      <c r="D135" s="1" t="s">
        <v>380</v>
      </c>
      <c r="E135" s="2">
        <v>216.13615909999999</v>
      </c>
      <c r="F135" s="2">
        <v>540.47799999999995</v>
      </c>
      <c r="G135" s="2">
        <v>684</v>
      </c>
      <c r="H135" s="1">
        <v>298.14999999999998</v>
      </c>
      <c r="I135" s="6">
        <f t="shared" si="7"/>
        <v>342</v>
      </c>
      <c r="J135">
        <v>0</v>
      </c>
      <c r="K135" s="2">
        <v>11</v>
      </c>
      <c r="L135" s="2" t="s">
        <v>799</v>
      </c>
      <c r="M135">
        <v>2</v>
      </c>
      <c r="N135">
        <v>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>
        <v>227.69</v>
      </c>
      <c r="AG135">
        <v>271.7244</v>
      </c>
      <c r="AH135">
        <v>315.75889999999998</v>
      </c>
      <c r="AI135">
        <v>359.79329999999999</v>
      </c>
      <c r="AJ135">
        <v>403.82780000000002</v>
      </c>
      <c r="AK135">
        <v>447.86219999999997</v>
      </c>
      <c r="AL135">
        <v>491.89670000000001</v>
      </c>
      <c r="AM135">
        <v>535.93110000000001</v>
      </c>
      <c r="AN135">
        <v>579.96559999999999</v>
      </c>
      <c r="AO135">
        <v>624</v>
      </c>
      <c r="AP135" s="13">
        <v>1.7351699999999999E-5</v>
      </c>
      <c r="AQ135">
        <v>2.3838600000000001E-2</v>
      </c>
      <c r="AR135">
        <v>3.0401180000000001</v>
      </c>
      <c r="AS135">
        <v>91.500600000000006</v>
      </c>
      <c r="AT135">
        <v>1090.672</v>
      </c>
      <c r="AU135">
        <v>7003.3109999999997</v>
      </c>
      <c r="AV135">
        <v>29375.58</v>
      </c>
      <c r="AW135">
        <v>91337.2</v>
      </c>
      <c r="AX135">
        <v>229595</v>
      </c>
      <c r="AY135">
        <v>497092</v>
      </c>
      <c r="AZ135" s="2">
        <v>12.364000000000001</v>
      </c>
      <c r="BA135" s="2">
        <v>101328</v>
      </c>
      <c r="BG135">
        <v>267.32799999999997</v>
      </c>
      <c r="BH135" s="2">
        <f t="shared" si="8"/>
        <v>540.47799999999995</v>
      </c>
      <c r="BJ135" s="2">
        <f t="shared" si="6"/>
        <v>1.2364E-4</v>
      </c>
      <c r="BK135" s="2" t="s">
        <v>380</v>
      </c>
    </row>
    <row r="136" spans="1:109" x14ac:dyDescent="0.3">
      <c r="A136" s="6">
        <v>135</v>
      </c>
      <c r="B136" s="1" t="s">
        <v>381</v>
      </c>
      <c r="C136" s="1" t="s">
        <v>382</v>
      </c>
      <c r="D136" s="1" t="s">
        <v>383</v>
      </c>
      <c r="E136" s="2">
        <v>202.12050909999999</v>
      </c>
      <c r="F136" s="2">
        <v>519.56299999999999</v>
      </c>
      <c r="G136" s="2">
        <v>697</v>
      </c>
      <c r="H136" s="1">
        <v>298.14999999999998</v>
      </c>
      <c r="I136" s="6">
        <f t="shared" si="7"/>
        <v>348.5</v>
      </c>
      <c r="J136">
        <v>0</v>
      </c>
      <c r="K136" s="2">
        <v>10</v>
      </c>
      <c r="L136" s="2" t="s">
        <v>800</v>
      </c>
      <c r="M136">
        <v>2</v>
      </c>
      <c r="N136">
        <v>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>
        <v>253</v>
      </c>
      <c r="AG136">
        <v>295.66669999999999</v>
      </c>
      <c r="AH136">
        <v>338.33330000000001</v>
      </c>
      <c r="AI136">
        <v>381</v>
      </c>
      <c r="AJ136">
        <v>423.66669999999999</v>
      </c>
      <c r="AK136">
        <v>466.33330000000001</v>
      </c>
      <c r="AL136">
        <v>509</v>
      </c>
      <c r="AM136">
        <v>551.66669999999999</v>
      </c>
      <c r="AN136">
        <v>594.33330000000001</v>
      </c>
      <c r="AO136">
        <v>637</v>
      </c>
      <c r="AP136">
        <v>6.2677599999999998E-3</v>
      </c>
      <c r="AQ136">
        <v>1.0189649999999999</v>
      </c>
      <c r="AR136">
        <v>39.764539999999997</v>
      </c>
      <c r="AS136">
        <v>600.25540000000001</v>
      </c>
      <c r="AT136">
        <v>4679.2079999999996</v>
      </c>
      <c r="AU136">
        <v>22705.22</v>
      </c>
      <c r="AV136">
        <v>77903.86</v>
      </c>
      <c r="AW136">
        <v>207081</v>
      </c>
      <c r="AX136">
        <v>456828</v>
      </c>
      <c r="AY136">
        <v>884003</v>
      </c>
      <c r="AZ136" s="2">
        <v>19.883199999999999</v>
      </c>
      <c r="BA136" s="2">
        <v>101323</v>
      </c>
      <c r="BG136">
        <v>246.41300000000001</v>
      </c>
      <c r="BH136" s="2">
        <f t="shared" si="8"/>
        <v>519.56299999999999</v>
      </c>
      <c r="BJ136" s="2">
        <f t="shared" si="6"/>
        <v>1.98832E-4</v>
      </c>
      <c r="BK136" s="2" t="s">
        <v>383</v>
      </c>
    </row>
    <row r="137" spans="1:109" x14ac:dyDescent="0.3">
      <c r="A137" s="6">
        <v>136</v>
      </c>
      <c r="B137" s="1" t="s">
        <v>384</v>
      </c>
      <c r="C137" s="1" t="s">
        <v>385</v>
      </c>
      <c r="D137" s="1" t="s">
        <v>386</v>
      </c>
      <c r="E137" s="2">
        <v>188.104859</v>
      </c>
      <c r="F137" s="2">
        <v>516.36599999999999</v>
      </c>
      <c r="G137" s="2">
        <v>711</v>
      </c>
      <c r="H137" s="1">
        <v>298.14999999999998</v>
      </c>
      <c r="I137" s="6">
        <f t="shared" si="7"/>
        <v>355.5</v>
      </c>
      <c r="J137">
        <v>0</v>
      </c>
      <c r="K137" s="2">
        <v>9</v>
      </c>
      <c r="L137" s="2" t="s">
        <v>801</v>
      </c>
      <c r="M137">
        <v>2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>
        <v>253</v>
      </c>
      <c r="AG137">
        <v>297.22219999999999</v>
      </c>
      <c r="AH137">
        <v>341.44439999999997</v>
      </c>
      <c r="AI137">
        <v>385.66669999999999</v>
      </c>
      <c r="AJ137">
        <v>429.88889999999998</v>
      </c>
      <c r="AK137">
        <v>474.11110000000002</v>
      </c>
      <c r="AL137">
        <v>518.33330000000001</v>
      </c>
      <c r="AM137">
        <v>562.55560000000003</v>
      </c>
      <c r="AN137">
        <v>606.77779999999996</v>
      </c>
      <c r="AO137">
        <v>651</v>
      </c>
      <c r="AP137">
        <v>1.10338E-2</v>
      </c>
      <c r="AQ137">
        <v>2.4269810000000001</v>
      </c>
      <c r="AR137">
        <v>99.111549999999994</v>
      </c>
      <c r="AS137">
        <v>1366.7049999999999</v>
      </c>
      <c r="AT137">
        <v>9097.8770000000004</v>
      </c>
      <c r="AU137">
        <v>36775.68</v>
      </c>
      <c r="AV137">
        <v>105603</v>
      </c>
      <c r="AW137">
        <v>241515</v>
      </c>
      <c r="AX137">
        <v>481425</v>
      </c>
      <c r="AY137">
        <v>906716</v>
      </c>
      <c r="AZ137" s="2">
        <v>23.699400000000001</v>
      </c>
      <c r="BA137" s="2">
        <v>101325</v>
      </c>
      <c r="BG137">
        <v>243.21600000000001</v>
      </c>
      <c r="BH137" s="2">
        <f t="shared" si="8"/>
        <v>516.36599999999999</v>
      </c>
      <c r="BJ137" s="2">
        <f t="shared" si="6"/>
        <v>2.36994E-4</v>
      </c>
      <c r="BK137" s="2" t="s">
        <v>386</v>
      </c>
    </row>
    <row r="138" spans="1:109" x14ac:dyDescent="0.3">
      <c r="A138" s="6">
        <v>137</v>
      </c>
      <c r="B138" s="1" t="s">
        <v>387</v>
      </c>
      <c r="C138" s="1" t="s">
        <v>379</v>
      </c>
      <c r="D138" s="1" t="s">
        <v>388</v>
      </c>
      <c r="E138" s="2">
        <v>216.13615909999999</v>
      </c>
      <c r="F138" s="2">
        <v>544.34199999999998</v>
      </c>
      <c r="G138" s="2">
        <v>711</v>
      </c>
      <c r="H138" s="1">
        <v>298.14999999999998</v>
      </c>
      <c r="I138" s="6">
        <f t="shared" ref="I138:I169" si="9">G138/2</f>
        <v>355.5</v>
      </c>
      <c r="J138">
        <v>0</v>
      </c>
      <c r="K138" s="2">
        <v>11</v>
      </c>
      <c r="L138" s="2" t="s">
        <v>802</v>
      </c>
      <c r="M138">
        <v>2</v>
      </c>
      <c r="N138">
        <v>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>
        <v>253</v>
      </c>
      <c r="AG138">
        <v>297.22219999999999</v>
      </c>
      <c r="AH138">
        <v>341.44439999999997</v>
      </c>
      <c r="AI138">
        <v>385.66669999999999</v>
      </c>
      <c r="AJ138">
        <v>429.88889999999998</v>
      </c>
      <c r="AK138">
        <v>474.11110000000002</v>
      </c>
      <c r="AL138">
        <v>518.33330000000001</v>
      </c>
      <c r="AM138">
        <v>562.55560000000003</v>
      </c>
      <c r="AN138">
        <v>606.77779999999996</v>
      </c>
      <c r="AO138">
        <v>651</v>
      </c>
      <c r="AP138">
        <v>2.7627400000000002E-4</v>
      </c>
      <c r="AQ138">
        <v>0.1425158</v>
      </c>
      <c r="AR138">
        <v>10.631930000000001</v>
      </c>
      <c r="AS138">
        <v>234.85239999999999</v>
      </c>
      <c r="AT138">
        <v>2325.6</v>
      </c>
      <c r="AU138">
        <v>13318.54</v>
      </c>
      <c r="AV138">
        <v>51974.03</v>
      </c>
      <c r="AW138">
        <v>154287</v>
      </c>
      <c r="AX138">
        <v>376364</v>
      </c>
      <c r="AY138">
        <v>799175</v>
      </c>
      <c r="AZ138" s="2">
        <v>19.501000000000001</v>
      </c>
      <c r="BA138" s="2">
        <v>101321</v>
      </c>
      <c r="BG138">
        <v>271.19200000000001</v>
      </c>
      <c r="BH138" s="2">
        <f t="shared" ref="BH138:BH169" si="10">BG138+273.15</f>
        <v>544.34199999999998</v>
      </c>
      <c r="BJ138" s="2">
        <f t="shared" ref="BJ138:BJ162" si="11">AZ138/100000</f>
        <v>1.9501000000000002E-4</v>
      </c>
      <c r="BK138" s="2" t="s">
        <v>388</v>
      </c>
    </row>
    <row r="139" spans="1:109" x14ac:dyDescent="0.3">
      <c r="A139" s="6">
        <v>138</v>
      </c>
      <c r="B139" s="1" t="s">
        <v>389</v>
      </c>
      <c r="C139" s="1" t="s">
        <v>390</v>
      </c>
      <c r="D139" s="1" t="s">
        <v>391</v>
      </c>
      <c r="E139" s="2">
        <v>258.18310930000001</v>
      </c>
      <c r="F139" s="2">
        <v>587.21799999999996</v>
      </c>
      <c r="G139" s="2">
        <v>745</v>
      </c>
      <c r="H139" s="1">
        <v>298.14999999999998</v>
      </c>
      <c r="I139" s="6">
        <f t="shared" si="9"/>
        <v>372.5</v>
      </c>
      <c r="J139">
        <v>0</v>
      </c>
      <c r="K139" s="2">
        <v>14</v>
      </c>
      <c r="L139" s="2" t="s">
        <v>803</v>
      </c>
      <c r="M139">
        <v>2</v>
      </c>
      <c r="N139">
        <v>8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</v>
      </c>
      <c r="V139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>
        <v>253</v>
      </c>
      <c r="AG139">
        <v>301</v>
      </c>
      <c r="AH139">
        <v>349</v>
      </c>
      <c r="AI139">
        <v>397</v>
      </c>
      <c r="AJ139">
        <v>445</v>
      </c>
      <c r="AK139">
        <v>493</v>
      </c>
      <c r="AL139">
        <v>541</v>
      </c>
      <c r="AM139">
        <v>589</v>
      </c>
      <c r="AN139">
        <v>637</v>
      </c>
      <c r="AO139">
        <v>685</v>
      </c>
      <c r="AP139" s="13">
        <v>4.5842899999999996E-6</v>
      </c>
      <c r="AQ139">
        <v>1.0042499999999999E-2</v>
      </c>
      <c r="AR139">
        <v>1.7802690000000001</v>
      </c>
      <c r="AS139">
        <v>67.753529999999998</v>
      </c>
      <c r="AT139">
        <v>955.82</v>
      </c>
      <c r="AU139">
        <v>6931.8230000000003</v>
      </c>
      <c r="AV139">
        <v>31768.639999999999</v>
      </c>
      <c r="AW139">
        <v>105455</v>
      </c>
      <c r="AX139">
        <v>278677</v>
      </c>
      <c r="AY139">
        <v>628874</v>
      </c>
      <c r="AZ139" s="2">
        <v>15.346500000000001</v>
      </c>
      <c r="BA139" s="2">
        <v>101323</v>
      </c>
      <c r="BG139">
        <v>314.06799999999998</v>
      </c>
      <c r="BH139" s="2">
        <f t="shared" si="10"/>
        <v>587.21799999999996</v>
      </c>
      <c r="BJ139" s="2">
        <f t="shared" si="11"/>
        <v>1.5346500000000001E-4</v>
      </c>
      <c r="BK139" s="2" t="s">
        <v>391</v>
      </c>
    </row>
    <row r="140" spans="1:109" x14ac:dyDescent="0.3">
      <c r="A140" s="6">
        <v>139</v>
      </c>
      <c r="B140" s="1" t="s">
        <v>392</v>
      </c>
      <c r="C140" s="1" t="s">
        <v>393</v>
      </c>
      <c r="D140" s="1" t="s">
        <v>394</v>
      </c>
      <c r="E140" s="2">
        <v>272.19875939999997</v>
      </c>
      <c r="F140" s="2">
        <v>588.82299999999998</v>
      </c>
      <c r="G140" s="2">
        <v>742</v>
      </c>
      <c r="H140" s="1">
        <v>298.14999999999998</v>
      </c>
      <c r="I140" s="6">
        <f t="shared" si="9"/>
        <v>371</v>
      </c>
      <c r="J140">
        <v>0</v>
      </c>
      <c r="K140" s="2">
        <v>15</v>
      </c>
      <c r="L140" s="2" t="s">
        <v>804</v>
      </c>
      <c r="M140">
        <v>2</v>
      </c>
      <c r="N140">
        <v>10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1</v>
      </c>
      <c r="AB140" s="6">
        <v>0</v>
      </c>
      <c r="AC140" s="6">
        <v>0</v>
      </c>
      <c r="AD140" s="6">
        <v>0</v>
      </c>
      <c r="AE140" s="6">
        <v>0</v>
      </c>
      <c r="AF140">
        <v>238.08</v>
      </c>
      <c r="AG140">
        <v>287.40440000000001</v>
      </c>
      <c r="AH140">
        <v>336.72890000000001</v>
      </c>
      <c r="AI140">
        <v>386.05329999999998</v>
      </c>
      <c r="AJ140">
        <v>435.37779999999998</v>
      </c>
      <c r="AK140">
        <v>484.7022</v>
      </c>
      <c r="AL140">
        <v>534.02670000000001</v>
      </c>
      <c r="AM140">
        <v>583.35109999999997</v>
      </c>
      <c r="AN140">
        <v>632.67560000000003</v>
      </c>
      <c r="AO140">
        <v>682</v>
      </c>
      <c r="AP140" s="13">
        <v>1.77602E-7</v>
      </c>
      <c r="AQ140">
        <v>1.46042E-3</v>
      </c>
      <c r="AR140">
        <v>0.53760850000000004</v>
      </c>
      <c r="AS140">
        <v>31.410039999999999</v>
      </c>
      <c r="AT140">
        <v>575.97850000000005</v>
      </c>
      <c r="AU140">
        <v>4928.6710000000003</v>
      </c>
      <c r="AV140">
        <v>25135.52</v>
      </c>
      <c r="AW140">
        <v>89524.75</v>
      </c>
      <c r="AX140">
        <v>248097</v>
      </c>
      <c r="AY140">
        <v>578931</v>
      </c>
      <c r="AZ140" s="2">
        <v>14.2546</v>
      </c>
      <c r="BA140" s="2">
        <v>101325</v>
      </c>
      <c r="BG140">
        <v>315.673</v>
      </c>
      <c r="BH140" s="2">
        <f t="shared" si="10"/>
        <v>588.82299999999998</v>
      </c>
      <c r="BJ140" s="2">
        <f t="shared" si="11"/>
        <v>1.4254599999999999E-4</v>
      </c>
      <c r="BK140" s="2" t="s">
        <v>394</v>
      </c>
    </row>
    <row r="141" spans="1:109" x14ac:dyDescent="0.3">
      <c r="A141" s="6">
        <v>140</v>
      </c>
      <c r="B141" s="1" t="s">
        <v>395</v>
      </c>
      <c r="C141" s="1" t="s">
        <v>396</v>
      </c>
      <c r="D141" s="1" t="s">
        <v>397</v>
      </c>
      <c r="E141" s="2">
        <v>174.08920889999999</v>
      </c>
      <c r="F141" s="2">
        <v>490.15</v>
      </c>
      <c r="G141" s="2">
        <v>663</v>
      </c>
      <c r="H141" s="1">
        <v>298.14999999999998</v>
      </c>
      <c r="I141" s="6">
        <f t="shared" si="9"/>
        <v>331.5</v>
      </c>
      <c r="J141">
        <v>0</v>
      </c>
      <c r="K141" s="2">
        <v>8</v>
      </c>
      <c r="L141" s="2" t="s">
        <v>805</v>
      </c>
      <c r="M141">
        <v>2</v>
      </c>
      <c r="N141">
        <v>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2</v>
      </c>
      <c r="AB141" s="6">
        <v>0</v>
      </c>
      <c r="AC141" s="6">
        <v>0</v>
      </c>
      <c r="AD141" s="6">
        <v>0</v>
      </c>
      <c r="AE141" s="6">
        <v>0</v>
      </c>
      <c r="AF141">
        <v>252.35</v>
      </c>
      <c r="AG141">
        <v>291.31110000000001</v>
      </c>
      <c r="AH141">
        <v>330.2722</v>
      </c>
      <c r="AI141">
        <v>369.23329999999999</v>
      </c>
      <c r="AJ141">
        <v>408.19439999999997</v>
      </c>
      <c r="AK141">
        <v>447.15559999999999</v>
      </c>
      <c r="AL141">
        <v>486.11669999999998</v>
      </c>
      <c r="AM141">
        <v>525.07780000000002</v>
      </c>
      <c r="AN141">
        <v>564.03890000000001</v>
      </c>
      <c r="AO141">
        <v>603</v>
      </c>
      <c r="AP141">
        <v>2.70157E-2</v>
      </c>
      <c r="AQ141">
        <v>3.590757</v>
      </c>
      <c r="AR141">
        <v>107.1944</v>
      </c>
      <c r="AS141">
        <v>1233.71</v>
      </c>
      <c r="AT141">
        <v>7570.5050000000001</v>
      </c>
      <c r="AU141">
        <v>30401.119999999999</v>
      </c>
      <c r="AV141">
        <v>91431.45</v>
      </c>
      <c r="AW141">
        <v>225752</v>
      </c>
      <c r="AX141">
        <v>487993</v>
      </c>
      <c r="AY141">
        <v>967044</v>
      </c>
      <c r="AZ141" s="2">
        <v>25.209599999999998</v>
      </c>
      <c r="BA141" s="2">
        <v>101193</v>
      </c>
      <c r="BG141">
        <v>217</v>
      </c>
      <c r="BH141" s="2">
        <f t="shared" si="10"/>
        <v>490.15</v>
      </c>
      <c r="BJ141" s="2">
        <f t="shared" si="11"/>
        <v>2.5209599999999999E-4</v>
      </c>
      <c r="BK141" s="2" t="s">
        <v>397</v>
      </c>
    </row>
    <row r="142" spans="1:109" x14ac:dyDescent="0.3">
      <c r="A142" s="6">
        <v>141</v>
      </c>
      <c r="B142" s="1" t="s">
        <v>398</v>
      </c>
      <c r="C142" s="1" t="s">
        <v>399</v>
      </c>
      <c r="D142" s="1" t="s">
        <v>400</v>
      </c>
      <c r="E142" s="2">
        <v>160.07355889999999</v>
      </c>
      <c r="F142" s="2">
        <v>472.04999999999995</v>
      </c>
      <c r="G142" s="2">
        <v>653</v>
      </c>
      <c r="H142" s="1">
        <v>298.14999999999998</v>
      </c>
      <c r="I142" s="6">
        <f t="shared" si="9"/>
        <v>326.5</v>
      </c>
      <c r="J142">
        <v>0</v>
      </c>
      <c r="K142" s="2">
        <v>7</v>
      </c>
      <c r="L142" s="2" t="s">
        <v>806</v>
      </c>
      <c r="M142">
        <v>2</v>
      </c>
      <c r="N142">
        <v>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1</v>
      </c>
      <c r="AB142" s="6">
        <v>0</v>
      </c>
      <c r="AC142" s="6">
        <v>0</v>
      </c>
      <c r="AD142" s="6">
        <v>0</v>
      </c>
      <c r="AE142" s="6">
        <v>0</v>
      </c>
      <c r="AF142">
        <v>224.25</v>
      </c>
      <c r="AG142">
        <v>265.22219999999999</v>
      </c>
      <c r="AH142">
        <v>306.19439999999997</v>
      </c>
      <c r="AI142">
        <v>347.16669999999999</v>
      </c>
      <c r="AJ142">
        <v>388.13889999999998</v>
      </c>
      <c r="AK142">
        <v>429.11110000000002</v>
      </c>
      <c r="AL142">
        <v>470.08330000000001</v>
      </c>
      <c r="AM142">
        <v>511.05560000000003</v>
      </c>
      <c r="AN142">
        <v>552.02779999999996</v>
      </c>
      <c r="AO142">
        <v>593</v>
      </c>
      <c r="AP142">
        <v>1.4465E-2</v>
      </c>
      <c r="AQ142">
        <v>1.9671609999999999</v>
      </c>
      <c r="AR142">
        <v>64.255709999999993</v>
      </c>
      <c r="AS142">
        <v>846.88459999999998</v>
      </c>
      <c r="AT142">
        <v>6062.1189999999997</v>
      </c>
      <c r="AU142">
        <v>28279.31</v>
      </c>
      <c r="AV142">
        <v>96742.84</v>
      </c>
      <c r="AW142">
        <v>262908</v>
      </c>
      <c r="AX142">
        <v>600487</v>
      </c>
      <c r="AY142">
        <v>1201190</v>
      </c>
      <c r="AZ142" s="2">
        <v>27.8064</v>
      </c>
      <c r="BA142" s="2">
        <v>101980</v>
      </c>
      <c r="BG142">
        <v>198.9</v>
      </c>
      <c r="BH142" s="2">
        <f t="shared" si="10"/>
        <v>472.04999999999995</v>
      </c>
      <c r="BJ142" s="2">
        <f t="shared" si="11"/>
        <v>2.7806400000000001E-4</v>
      </c>
      <c r="BK142" s="2" t="s">
        <v>400</v>
      </c>
    </row>
    <row r="143" spans="1:109" x14ac:dyDescent="0.3">
      <c r="A143" s="6">
        <v>142</v>
      </c>
      <c r="B143" s="1" t="s">
        <v>401</v>
      </c>
      <c r="C143" s="1" t="s">
        <v>402</v>
      </c>
      <c r="D143" s="1" t="s">
        <v>403</v>
      </c>
      <c r="E143" s="2">
        <v>188.104859</v>
      </c>
      <c r="F143" s="2">
        <v>508.40299999999996</v>
      </c>
      <c r="G143" s="2">
        <v>679</v>
      </c>
      <c r="H143" s="1">
        <v>298.14999999999998</v>
      </c>
      <c r="I143" s="6">
        <f t="shared" si="9"/>
        <v>339.5</v>
      </c>
      <c r="J143">
        <v>0</v>
      </c>
      <c r="K143" s="2">
        <v>9</v>
      </c>
      <c r="L143" s="2" t="s">
        <v>807</v>
      </c>
      <c r="M143">
        <v>2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>
        <v>249.37</v>
      </c>
      <c r="AG143">
        <v>290.44</v>
      </c>
      <c r="AH143">
        <v>331.51</v>
      </c>
      <c r="AI143">
        <v>372.58</v>
      </c>
      <c r="AJ143">
        <v>413.65</v>
      </c>
      <c r="AK143">
        <v>454.72</v>
      </c>
      <c r="AL143">
        <v>495.79</v>
      </c>
      <c r="AM143">
        <v>536.86</v>
      </c>
      <c r="AN143">
        <v>577.92999999999995</v>
      </c>
      <c r="AO143">
        <v>619</v>
      </c>
      <c r="AP143">
        <v>1.3844499999999999E-2</v>
      </c>
      <c r="AQ143">
        <v>1.6421539999999999</v>
      </c>
      <c r="AR143">
        <v>53.306719999999999</v>
      </c>
      <c r="AS143">
        <v>713.57259999999997</v>
      </c>
      <c r="AT143">
        <v>5091.7299999999996</v>
      </c>
      <c r="AU143">
        <v>23008.17</v>
      </c>
      <c r="AV143">
        <v>74436.28</v>
      </c>
      <c r="AW143">
        <v>189112</v>
      </c>
      <c r="AX143">
        <v>406300</v>
      </c>
      <c r="AY143">
        <v>787687</v>
      </c>
      <c r="AZ143" s="2">
        <v>20.1892</v>
      </c>
      <c r="BA143" s="2">
        <v>101322</v>
      </c>
      <c r="BG143">
        <v>235.25299999999999</v>
      </c>
      <c r="BH143" s="2">
        <f t="shared" si="10"/>
        <v>508.40299999999996</v>
      </c>
      <c r="BJ143" s="2">
        <f t="shared" si="11"/>
        <v>2.0189199999999998E-4</v>
      </c>
      <c r="BK143" s="2" t="s">
        <v>403</v>
      </c>
    </row>
    <row r="144" spans="1:109" x14ac:dyDescent="0.3">
      <c r="A144" s="6">
        <v>143</v>
      </c>
      <c r="B144" s="1" t="s">
        <v>404</v>
      </c>
      <c r="C144" s="1" t="s">
        <v>405</v>
      </c>
      <c r="D144" s="1" t="s">
        <v>406</v>
      </c>
      <c r="E144" s="2">
        <v>230.1518092</v>
      </c>
      <c r="F144" s="2">
        <v>549.96399999999994</v>
      </c>
      <c r="G144" s="2">
        <v>707</v>
      </c>
      <c r="H144" s="1">
        <v>298.14999999999998</v>
      </c>
      <c r="I144" s="6">
        <f t="shared" si="9"/>
        <v>353.5</v>
      </c>
      <c r="J144">
        <v>0</v>
      </c>
      <c r="K144" s="2">
        <v>12</v>
      </c>
      <c r="L144" s="2" t="s">
        <v>808</v>
      </c>
      <c r="M144">
        <v>2</v>
      </c>
      <c r="N144">
        <v>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>
        <v>249.37</v>
      </c>
      <c r="AG144">
        <v>293.55110000000002</v>
      </c>
      <c r="AH144">
        <v>337.73219999999998</v>
      </c>
      <c r="AI144">
        <v>381.91329999999999</v>
      </c>
      <c r="AJ144">
        <v>426.09440000000001</v>
      </c>
      <c r="AK144">
        <v>470.2756</v>
      </c>
      <c r="AL144">
        <v>514.45669999999996</v>
      </c>
      <c r="AM144">
        <v>558.63779999999997</v>
      </c>
      <c r="AN144">
        <v>602.81889999999999</v>
      </c>
      <c r="AO144">
        <v>647</v>
      </c>
      <c r="AP144">
        <v>2.1582099999999999E-4</v>
      </c>
      <c r="AQ144">
        <v>0.115259</v>
      </c>
      <c r="AR144">
        <v>8.6776479999999996</v>
      </c>
      <c r="AS144">
        <v>191.48179999999999</v>
      </c>
      <c r="AT144">
        <v>1887.0219999999999</v>
      </c>
      <c r="AU144">
        <v>10744.51</v>
      </c>
      <c r="AV144">
        <v>41695</v>
      </c>
      <c r="AW144">
        <v>123152</v>
      </c>
      <c r="AX144">
        <v>299075</v>
      </c>
      <c r="AY144">
        <v>632445</v>
      </c>
      <c r="AZ144" s="2">
        <v>15.352499999999999</v>
      </c>
      <c r="BA144" s="2">
        <v>101323</v>
      </c>
      <c r="BG144">
        <v>276.81400000000002</v>
      </c>
      <c r="BH144" s="2">
        <f t="shared" si="10"/>
        <v>549.96399999999994</v>
      </c>
      <c r="BJ144" s="2">
        <f t="shared" si="11"/>
        <v>1.53525E-4</v>
      </c>
      <c r="BK144" s="2" t="s">
        <v>406</v>
      </c>
    </row>
    <row r="145" spans="1:63" x14ac:dyDescent="0.3">
      <c r="A145" s="6">
        <v>144</v>
      </c>
      <c r="B145" s="1" t="s">
        <v>407</v>
      </c>
      <c r="C145" s="1" t="s">
        <v>379</v>
      </c>
      <c r="D145" s="1" t="s">
        <v>408</v>
      </c>
      <c r="E145" s="2">
        <v>216.13615909999999</v>
      </c>
      <c r="F145" s="2">
        <v>532.66899999999998</v>
      </c>
      <c r="G145" s="2">
        <v>694</v>
      </c>
      <c r="H145" s="1">
        <v>298.14999999999998</v>
      </c>
      <c r="I145" s="6">
        <f t="shared" si="9"/>
        <v>347</v>
      </c>
      <c r="J145">
        <v>0</v>
      </c>
      <c r="K145" s="2">
        <v>11</v>
      </c>
      <c r="L145" s="2" t="s">
        <v>809</v>
      </c>
      <c r="M145">
        <v>2</v>
      </c>
      <c r="N145">
        <v>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>
        <v>249.37</v>
      </c>
      <c r="AG145">
        <v>292.10669999999999</v>
      </c>
      <c r="AH145">
        <v>334.8433</v>
      </c>
      <c r="AI145">
        <v>377.58</v>
      </c>
      <c r="AJ145">
        <v>420.31670000000003</v>
      </c>
      <c r="AK145">
        <v>463.05329999999998</v>
      </c>
      <c r="AL145">
        <v>505.79</v>
      </c>
      <c r="AM145">
        <v>548.52670000000001</v>
      </c>
      <c r="AN145">
        <v>591.26329999999996</v>
      </c>
      <c r="AO145">
        <v>634</v>
      </c>
      <c r="AP145">
        <v>2.99878E-4</v>
      </c>
      <c r="AQ145">
        <v>0.1422051</v>
      </c>
      <c r="AR145">
        <v>10.24188</v>
      </c>
      <c r="AS145">
        <v>223.3689</v>
      </c>
      <c r="AT145">
        <v>2206.6680000000001</v>
      </c>
      <c r="AU145">
        <v>12666.25</v>
      </c>
      <c r="AV145">
        <v>49631.65</v>
      </c>
      <c r="AW145">
        <v>148006</v>
      </c>
      <c r="AX145">
        <v>362618</v>
      </c>
      <c r="AY145">
        <v>772943</v>
      </c>
      <c r="AZ145" s="2">
        <v>19.500699999999998</v>
      </c>
      <c r="BA145" s="2">
        <v>101323</v>
      </c>
      <c r="BG145">
        <v>259.51900000000001</v>
      </c>
      <c r="BH145" s="2">
        <f t="shared" si="10"/>
        <v>532.66899999999998</v>
      </c>
      <c r="BJ145" s="2">
        <f t="shared" si="11"/>
        <v>1.9500699999999997E-4</v>
      </c>
      <c r="BK145" s="2" t="s">
        <v>408</v>
      </c>
    </row>
    <row r="146" spans="1:63" x14ac:dyDescent="0.3">
      <c r="A146" s="6">
        <v>145</v>
      </c>
      <c r="B146" s="1" t="s">
        <v>409</v>
      </c>
      <c r="C146" s="1" t="s">
        <v>390</v>
      </c>
      <c r="D146" s="1" t="s">
        <v>410</v>
      </c>
      <c r="E146" s="2">
        <v>258.18310930000001</v>
      </c>
      <c r="F146" s="2">
        <v>575.64200000000005</v>
      </c>
      <c r="G146" s="2">
        <v>731</v>
      </c>
      <c r="H146" s="1">
        <v>298.14999999999998</v>
      </c>
      <c r="I146" s="6">
        <f t="shared" si="9"/>
        <v>365.5</v>
      </c>
      <c r="J146">
        <v>0</v>
      </c>
      <c r="K146" s="2">
        <v>14</v>
      </c>
      <c r="L146" s="2" t="s">
        <v>810</v>
      </c>
      <c r="M146">
        <v>2</v>
      </c>
      <c r="N146">
        <v>8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>
        <v>249.37</v>
      </c>
      <c r="AG146">
        <v>296.21780000000001</v>
      </c>
      <c r="AH146">
        <v>343.06560000000002</v>
      </c>
      <c r="AI146">
        <v>389.91329999999999</v>
      </c>
      <c r="AJ146">
        <v>436.7611</v>
      </c>
      <c r="AK146">
        <v>483.60890000000001</v>
      </c>
      <c r="AL146">
        <v>530.45669999999996</v>
      </c>
      <c r="AM146">
        <v>577.30439999999999</v>
      </c>
      <c r="AN146">
        <v>624.15219999999999</v>
      </c>
      <c r="AO146">
        <v>671</v>
      </c>
      <c r="AP146" s="13">
        <v>6.7544199999999998E-6</v>
      </c>
      <c r="AQ146">
        <v>1.25991E-2</v>
      </c>
      <c r="AR146">
        <v>2.036721</v>
      </c>
      <c r="AS146">
        <v>73.318920000000006</v>
      </c>
      <c r="AT146">
        <v>999.03189999999995</v>
      </c>
      <c r="AU146">
        <v>7086.1610000000001</v>
      </c>
      <c r="AV146">
        <v>32009.81</v>
      </c>
      <c r="AW146">
        <v>105237</v>
      </c>
      <c r="AX146">
        <v>276240</v>
      </c>
      <c r="AY146">
        <v>620127</v>
      </c>
      <c r="AZ146" s="2">
        <v>15.3466</v>
      </c>
      <c r="BA146" s="2">
        <v>101321</v>
      </c>
      <c r="BG146">
        <v>302.49200000000002</v>
      </c>
      <c r="BH146" s="2">
        <f t="shared" si="10"/>
        <v>575.64200000000005</v>
      </c>
      <c r="BJ146" s="2">
        <f t="shared" si="11"/>
        <v>1.53466E-4</v>
      </c>
      <c r="BK146" s="2" t="s">
        <v>410</v>
      </c>
    </row>
    <row r="147" spans="1:63" x14ac:dyDescent="0.3">
      <c r="A147" s="6">
        <v>146</v>
      </c>
      <c r="B147" s="1" t="s">
        <v>411</v>
      </c>
      <c r="C147" s="1" t="s">
        <v>412</v>
      </c>
      <c r="D147" s="1" t="s">
        <v>413</v>
      </c>
      <c r="E147" s="2">
        <v>244.1674592</v>
      </c>
      <c r="F147" s="2">
        <v>561.87099999999998</v>
      </c>
      <c r="G147" s="2">
        <v>719</v>
      </c>
      <c r="H147" s="1">
        <v>298.14999999999998</v>
      </c>
      <c r="I147" s="6">
        <f t="shared" si="9"/>
        <v>359.5</v>
      </c>
      <c r="J147">
        <v>0</v>
      </c>
      <c r="K147" s="2">
        <v>13</v>
      </c>
      <c r="L147" s="2" t="s">
        <v>811</v>
      </c>
      <c r="M147">
        <v>2</v>
      </c>
      <c r="N147">
        <v>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>
        <v>249.37</v>
      </c>
      <c r="AG147">
        <v>294.88440000000003</v>
      </c>
      <c r="AH147">
        <v>340.39890000000003</v>
      </c>
      <c r="AI147">
        <v>385.91329999999999</v>
      </c>
      <c r="AJ147">
        <v>431.42779999999999</v>
      </c>
      <c r="AK147">
        <v>476.94220000000001</v>
      </c>
      <c r="AL147">
        <v>522.45669999999996</v>
      </c>
      <c r="AM147">
        <v>567.97109999999998</v>
      </c>
      <c r="AN147">
        <v>613.48559999999998</v>
      </c>
      <c r="AO147">
        <v>659</v>
      </c>
      <c r="AP147" s="13">
        <v>2.2093999999999999E-5</v>
      </c>
      <c r="AQ147">
        <v>2.6568100000000001E-2</v>
      </c>
      <c r="AR147">
        <v>3.3300890000000001</v>
      </c>
      <c r="AS147">
        <v>102.64230000000001</v>
      </c>
      <c r="AT147">
        <v>1267.7860000000001</v>
      </c>
      <c r="AU147">
        <v>8436.9030000000002</v>
      </c>
      <c r="AV147">
        <v>36533.31</v>
      </c>
      <c r="AW147">
        <v>116718</v>
      </c>
      <c r="AX147">
        <v>300313</v>
      </c>
      <c r="AY147">
        <v>664207</v>
      </c>
      <c r="AZ147" s="2">
        <v>16.5702</v>
      </c>
      <c r="BA147" s="2">
        <v>101320</v>
      </c>
      <c r="BG147">
        <v>288.721</v>
      </c>
      <c r="BH147" s="2">
        <f t="shared" si="10"/>
        <v>561.87099999999998</v>
      </c>
      <c r="BJ147" s="2">
        <f t="shared" si="11"/>
        <v>1.6570199999999999E-4</v>
      </c>
      <c r="BK147" s="2" t="s">
        <v>413</v>
      </c>
    </row>
    <row r="148" spans="1:63" x14ac:dyDescent="0.3">
      <c r="A148" s="6">
        <v>147</v>
      </c>
      <c r="B148" s="1" t="s">
        <v>414</v>
      </c>
      <c r="C148" s="1" t="s">
        <v>415</v>
      </c>
      <c r="D148" s="1" t="s">
        <v>416</v>
      </c>
      <c r="E148" s="2">
        <v>286.21440940000002</v>
      </c>
      <c r="F148" s="2">
        <v>604.16699999999992</v>
      </c>
      <c r="G148" s="2">
        <v>754</v>
      </c>
      <c r="H148" s="1">
        <v>298.14999999999998</v>
      </c>
      <c r="I148" s="6">
        <f t="shared" si="9"/>
        <v>377</v>
      </c>
      <c r="J148">
        <v>0</v>
      </c>
      <c r="K148" s="2">
        <v>16</v>
      </c>
      <c r="L148" s="2" t="s">
        <v>812</v>
      </c>
      <c r="M148">
        <v>2</v>
      </c>
      <c r="N148">
        <v>10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</v>
      </c>
      <c r="V148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>
        <v>249.37</v>
      </c>
      <c r="AG148">
        <v>298.77330000000001</v>
      </c>
      <c r="AH148">
        <v>348.17669999999998</v>
      </c>
      <c r="AI148">
        <v>397.58</v>
      </c>
      <c r="AJ148">
        <v>446.98329999999999</v>
      </c>
      <c r="AK148">
        <v>496.38670000000002</v>
      </c>
      <c r="AL148">
        <v>545.79</v>
      </c>
      <c r="AM148">
        <v>595.19330000000002</v>
      </c>
      <c r="AN148">
        <v>644.59670000000006</v>
      </c>
      <c r="AO148">
        <v>694</v>
      </c>
      <c r="AP148" s="13">
        <v>3.5457100000000001E-7</v>
      </c>
      <c r="AQ148">
        <v>1.94743E-3</v>
      </c>
      <c r="AR148">
        <v>0.59282860000000004</v>
      </c>
      <c r="AS148">
        <v>31.564959999999999</v>
      </c>
      <c r="AT148">
        <v>552.89480000000003</v>
      </c>
      <c r="AU148">
        <v>4627.1660000000002</v>
      </c>
      <c r="AV148">
        <v>23359.84</v>
      </c>
      <c r="AW148">
        <v>82882.490000000005</v>
      </c>
      <c r="AX148">
        <v>229611</v>
      </c>
      <c r="AY148">
        <v>536844</v>
      </c>
      <c r="AZ148" s="2">
        <v>13.2744</v>
      </c>
      <c r="BA148" s="2">
        <v>101327</v>
      </c>
      <c r="BG148">
        <v>331.017</v>
      </c>
      <c r="BH148" s="2">
        <f t="shared" si="10"/>
        <v>604.16699999999992</v>
      </c>
      <c r="BJ148" s="2">
        <f t="shared" si="11"/>
        <v>1.3274399999999999E-4</v>
      </c>
      <c r="BK148" s="2" t="s">
        <v>416</v>
      </c>
    </row>
    <row r="149" spans="1:63" x14ac:dyDescent="0.3">
      <c r="A149" s="6">
        <v>148</v>
      </c>
      <c r="B149" s="1" t="s">
        <v>417</v>
      </c>
      <c r="C149" s="1" t="s">
        <v>418</v>
      </c>
      <c r="D149" s="1" t="s">
        <v>419</v>
      </c>
      <c r="E149" s="2">
        <v>300.23005949999998</v>
      </c>
      <c r="F149" s="2">
        <v>615.58699999999999</v>
      </c>
      <c r="G149" s="2">
        <v>765</v>
      </c>
      <c r="H149" s="1">
        <v>298.14999999999998</v>
      </c>
      <c r="I149" s="6">
        <f t="shared" si="9"/>
        <v>382.5</v>
      </c>
      <c r="J149">
        <v>0</v>
      </c>
      <c r="K149" s="2">
        <v>17</v>
      </c>
      <c r="L149" s="2" t="s">
        <v>813</v>
      </c>
      <c r="M149">
        <v>2</v>
      </c>
      <c r="N149">
        <v>11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>
        <v>244.27</v>
      </c>
      <c r="AG149">
        <v>295.4622</v>
      </c>
      <c r="AH149">
        <v>346.65440000000001</v>
      </c>
      <c r="AI149">
        <v>397.8467</v>
      </c>
      <c r="AJ149">
        <v>449.03890000000001</v>
      </c>
      <c r="AK149">
        <v>500.23110000000003</v>
      </c>
      <c r="AL149">
        <v>551.42330000000004</v>
      </c>
      <c r="AM149">
        <v>602.61559999999997</v>
      </c>
      <c r="AN149">
        <v>653.80780000000004</v>
      </c>
      <c r="AO149">
        <v>705</v>
      </c>
      <c r="AP149" s="13">
        <v>5.9014500000000002E-8</v>
      </c>
      <c r="AQ149">
        <v>7.05344E-4</v>
      </c>
      <c r="AR149">
        <v>0.3234573</v>
      </c>
      <c r="AS149">
        <v>21.661339999999999</v>
      </c>
      <c r="AT149">
        <v>433.6934</v>
      </c>
      <c r="AU149">
        <v>3932.596</v>
      </c>
      <c r="AV149">
        <v>20852.240000000002</v>
      </c>
      <c r="AW149">
        <v>76280.850000000006</v>
      </c>
      <c r="AX149">
        <v>215468</v>
      </c>
      <c r="AY149">
        <v>510374</v>
      </c>
      <c r="AZ149" s="2">
        <v>12.391999999999999</v>
      </c>
      <c r="BA149" s="2">
        <v>101327</v>
      </c>
      <c r="BG149">
        <v>342.43700000000001</v>
      </c>
      <c r="BH149" s="2">
        <f t="shared" si="10"/>
        <v>615.58699999999999</v>
      </c>
      <c r="BJ149" s="2">
        <f t="shared" si="11"/>
        <v>1.2391999999999999E-4</v>
      </c>
      <c r="BK149" s="2" t="s">
        <v>419</v>
      </c>
    </row>
    <row r="150" spans="1:63" x14ac:dyDescent="0.3">
      <c r="A150" s="6">
        <v>149</v>
      </c>
      <c r="B150" s="1" t="s">
        <v>420</v>
      </c>
      <c r="C150" s="1" t="s">
        <v>421</v>
      </c>
      <c r="D150" s="1" t="s">
        <v>422</v>
      </c>
      <c r="E150" s="2">
        <v>156.18780079999999</v>
      </c>
      <c r="F150" s="2">
        <v>469.04999999999995</v>
      </c>
      <c r="G150" s="2">
        <v>639</v>
      </c>
      <c r="H150" s="1">
        <v>298.14999999999998</v>
      </c>
      <c r="I150" s="6">
        <f t="shared" si="9"/>
        <v>319.5</v>
      </c>
      <c r="J150">
        <v>0</v>
      </c>
      <c r="K150" s="2">
        <v>11</v>
      </c>
      <c r="L150" s="2" t="s">
        <v>814</v>
      </c>
      <c r="M150">
        <v>2</v>
      </c>
      <c r="N150">
        <v>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>
        <v>247.571</v>
      </c>
      <c r="AG150">
        <v>284.39640000000003</v>
      </c>
      <c r="AH150">
        <v>321.22190000000001</v>
      </c>
      <c r="AI150">
        <v>358.04730000000001</v>
      </c>
      <c r="AJ150">
        <v>394.87279999999998</v>
      </c>
      <c r="AK150">
        <v>431.69819999999999</v>
      </c>
      <c r="AL150">
        <v>468.52370000000002</v>
      </c>
      <c r="AM150">
        <v>505.34910000000002</v>
      </c>
      <c r="AN150">
        <v>542.17460000000005</v>
      </c>
      <c r="AO150">
        <v>579</v>
      </c>
      <c r="AP150">
        <v>0.4084139</v>
      </c>
      <c r="AQ150">
        <v>18.071909999999999</v>
      </c>
      <c r="AR150">
        <v>280.95710000000003</v>
      </c>
      <c r="AS150">
        <v>2186.4580000000001</v>
      </c>
      <c r="AT150">
        <v>10585.36</v>
      </c>
      <c r="AU150">
        <v>36678.81</v>
      </c>
      <c r="AV150">
        <v>99934.86</v>
      </c>
      <c r="AW150">
        <v>228518</v>
      </c>
      <c r="AX150">
        <v>459390</v>
      </c>
      <c r="AY150">
        <v>839826</v>
      </c>
      <c r="AZ150" s="2">
        <v>19.493300000000001</v>
      </c>
      <c r="BA150" s="2">
        <v>101235</v>
      </c>
      <c r="BG150">
        <v>195.9</v>
      </c>
      <c r="BH150" s="2">
        <f t="shared" si="10"/>
        <v>469.04999999999995</v>
      </c>
      <c r="BJ150" s="2">
        <f t="shared" si="11"/>
        <v>1.9493300000000003E-4</v>
      </c>
      <c r="BK150" s="2" t="s">
        <v>422</v>
      </c>
    </row>
    <row r="151" spans="1:63" x14ac:dyDescent="0.3">
      <c r="A151" s="6">
        <v>150</v>
      </c>
      <c r="B151" s="1" t="s">
        <v>423</v>
      </c>
      <c r="C151" s="1" t="s">
        <v>424</v>
      </c>
      <c r="D151" s="1" t="s">
        <v>425</v>
      </c>
      <c r="E151" s="2">
        <v>170.20345080000001</v>
      </c>
      <c r="F151" s="2">
        <v>489.45</v>
      </c>
      <c r="G151" s="2">
        <v>658</v>
      </c>
      <c r="H151" s="1">
        <v>298.14999999999998</v>
      </c>
      <c r="I151" s="6">
        <f t="shared" si="9"/>
        <v>329</v>
      </c>
      <c r="J151">
        <v>0</v>
      </c>
      <c r="K151" s="2">
        <v>12</v>
      </c>
      <c r="L151" s="2" t="s">
        <v>815</v>
      </c>
      <c r="M151">
        <v>2</v>
      </c>
      <c r="N151">
        <v>10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>
        <v>263.56799999999998</v>
      </c>
      <c r="AG151">
        <v>300.72710000000001</v>
      </c>
      <c r="AH151">
        <v>337.88619999999997</v>
      </c>
      <c r="AI151">
        <v>375.0453</v>
      </c>
      <c r="AJ151">
        <v>412.20440000000002</v>
      </c>
      <c r="AK151">
        <v>449.36360000000002</v>
      </c>
      <c r="AL151">
        <v>486.52269999999999</v>
      </c>
      <c r="AM151">
        <v>523.68179999999995</v>
      </c>
      <c r="AN151">
        <v>560.84090000000003</v>
      </c>
      <c r="AO151">
        <v>598</v>
      </c>
      <c r="AP151">
        <v>0.61520319999999995</v>
      </c>
      <c r="AQ151">
        <v>22.109919999999999</v>
      </c>
      <c r="AR151">
        <v>305.57580000000002</v>
      </c>
      <c r="AS151">
        <v>2221.741</v>
      </c>
      <c r="AT151">
        <v>10340.44</v>
      </c>
      <c r="AU151">
        <v>35035.1</v>
      </c>
      <c r="AV151">
        <v>94307.63</v>
      </c>
      <c r="AW151">
        <v>214420</v>
      </c>
      <c r="AX151">
        <v>430303</v>
      </c>
      <c r="AY151">
        <v>787247</v>
      </c>
      <c r="AZ151" s="2">
        <v>18.2226</v>
      </c>
      <c r="BA151" s="2">
        <v>101163</v>
      </c>
      <c r="BG151">
        <v>216.3</v>
      </c>
      <c r="BH151" s="2">
        <f t="shared" si="10"/>
        <v>489.45</v>
      </c>
      <c r="BJ151" s="2">
        <f t="shared" si="11"/>
        <v>1.8222599999999999E-4</v>
      </c>
      <c r="BK151" s="2" t="s">
        <v>425</v>
      </c>
    </row>
    <row r="152" spans="1:63" x14ac:dyDescent="0.3">
      <c r="A152" s="6">
        <v>151</v>
      </c>
      <c r="B152" s="1" t="s">
        <v>426</v>
      </c>
      <c r="C152" s="1" t="s">
        <v>427</v>
      </c>
      <c r="D152" s="1" t="s">
        <v>428</v>
      </c>
      <c r="E152" s="2">
        <v>184.2191009</v>
      </c>
      <c r="F152" s="2">
        <v>508.63</v>
      </c>
      <c r="G152" s="2">
        <v>675</v>
      </c>
      <c r="H152" s="1">
        <v>298.14999999999998</v>
      </c>
      <c r="I152" s="6">
        <f t="shared" si="9"/>
        <v>337.5</v>
      </c>
      <c r="J152">
        <v>0</v>
      </c>
      <c r="K152" s="2">
        <v>13</v>
      </c>
      <c r="L152" s="2" t="s">
        <v>816</v>
      </c>
      <c r="M152">
        <v>2</v>
      </c>
      <c r="N152">
        <v>11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>
        <v>267.76</v>
      </c>
      <c r="AG152">
        <v>306.34219999999999</v>
      </c>
      <c r="AH152">
        <v>344.92439999999999</v>
      </c>
      <c r="AI152">
        <v>383.50670000000002</v>
      </c>
      <c r="AJ152">
        <v>422.08890000000002</v>
      </c>
      <c r="AK152">
        <v>460.67110000000002</v>
      </c>
      <c r="AL152">
        <v>499.25330000000002</v>
      </c>
      <c r="AM152">
        <v>537.8356</v>
      </c>
      <c r="AN152">
        <v>576.41780000000006</v>
      </c>
      <c r="AO152">
        <v>615</v>
      </c>
      <c r="AP152">
        <v>0.2509594</v>
      </c>
      <c r="AQ152">
        <v>11.6015</v>
      </c>
      <c r="AR152">
        <v>190.5599</v>
      </c>
      <c r="AS152">
        <v>1566.117</v>
      </c>
      <c r="AT152">
        <v>7967.4250000000002</v>
      </c>
      <c r="AU152">
        <v>28821.96</v>
      </c>
      <c r="AV152">
        <v>81428.63</v>
      </c>
      <c r="AW152">
        <v>191828</v>
      </c>
      <c r="AX152">
        <v>394910</v>
      </c>
      <c r="AY152">
        <v>735292</v>
      </c>
      <c r="AZ152" s="2">
        <v>16.785900000000002</v>
      </c>
      <c r="BA152" s="2">
        <v>101763</v>
      </c>
      <c r="BG152">
        <v>235.48</v>
      </c>
      <c r="BH152" s="2">
        <f t="shared" si="10"/>
        <v>508.63</v>
      </c>
      <c r="BJ152" s="2">
        <f t="shared" si="11"/>
        <v>1.6785900000000002E-4</v>
      </c>
      <c r="BK152" s="2" t="s">
        <v>428</v>
      </c>
    </row>
    <row r="153" spans="1:63" x14ac:dyDescent="0.3">
      <c r="A153" s="6">
        <v>152</v>
      </c>
      <c r="B153" s="1" t="s">
        <v>429</v>
      </c>
      <c r="C153" s="1" t="s">
        <v>430</v>
      </c>
      <c r="D153" s="1" t="s">
        <v>431</v>
      </c>
      <c r="E153" s="2">
        <v>198.23475099999999</v>
      </c>
      <c r="F153" s="2">
        <v>526.74</v>
      </c>
      <c r="G153" s="2">
        <v>693</v>
      </c>
      <c r="H153" s="1">
        <v>298.14999999999998</v>
      </c>
      <c r="I153" s="6">
        <f t="shared" si="9"/>
        <v>346.5</v>
      </c>
      <c r="J153">
        <v>0</v>
      </c>
      <c r="K153" s="2">
        <v>14</v>
      </c>
      <c r="L153" s="2" t="s">
        <v>817</v>
      </c>
      <c r="M153">
        <v>2</v>
      </c>
      <c r="N153">
        <v>12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>
        <v>279.01</v>
      </c>
      <c r="AG153">
        <v>318.34219999999999</v>
      </c>
      <c r="AH153">
        <v>357.67439999999999</v>
      </c>
      <c r="AI153">
        <v>397.00670000000002</v>
      </c>
      <c r="AJ153">
        <v>436.33890000000002</v>
      </c>
      <c r="AK153">
        <v>475.67110000000002</v>
      </c>
      <c r="AL153">
        <v>515.00329999999997</v>
      </c>
      <c r="AM153">
        <v>554.3356</v>
      </c>
      <c r="AN153">
        <v>593.66780000000006</v>
      </c>
      <c r="AO153">
        <v>633</v>
      </c>
      <c r="AP153">
        <v>0.25268459999999998</v>
      </c>
      <c r="AQ153">
        <v>11.188219999999999</v>
      </c>
      <c r="AR153">
        <v>180.63229999999999</v>
      </c>
      <c r="AS153">
        <v>1477.2739999999999</v>
      </c>
      <c r="AT153">
        <v>7520.68</v>
      </c>
      <c r="AU153">
        <v>27282.16</v>
      </c>
      <c r="AV153">
        <v>77314.02</v>
      </c>
      <c r="AW153">
        <v>182557</v>
      </c>
      <c r="AX153">
        <v>376223</v>
      </c>
      <c r="AY153">
        <v>700174</v>
      </c>
      <c r="AZ153" s="2">
        <v>15.693300000000001</v>
      </c>
      <c r="BA153" s="2">
        <v>101592</v>
      </c>
      <c r="BG153">
        <v>253.59</v>
      </c>
      <c r="BH153" s="2">
        <f t="shared" si="10"/>
        <v>526.74</v>
      </c>
      <c r="BJ153" s="2">
        <f t="shared" si="11"/>
        <v>1.56933E-4</v>
      </c>
      <c r="BK153" s="2" t="s">
        <v>431</v>
      </c>
    </row>
    <row r="154" spans="1:63" x14ac:dyDescent="0.3">
      <c r="A154" s="6">
        <v>153</v>
      </c>
      <c r="B154" s="1" t="s">
        <v>432</v>
      </c>
      <c r="C154" s="1" t="s">
        <v>433</v>
      </c>
      <c r="D154" s="1" t="s">
        <v>434</v>
      </c>
      <c r="E154" s="2">
        <v>212.25040100000001</v>
      </c>
      <c r="F154" s="2">
        <v>543.91</v>
      </c>
      <c r="G154" s="2">
        <v>708</v>
      </c>
      <c r="H154" s="1">
        <v>298.14999999999998</v>
      </c>
      <c r="I154" s="6">
        <f t="shared" si="9"/>
        <v>354</v>
      </c>
      <c r="J154">
        <v>0</v>
      </c>
      <c r="K154" s="2">
        <v>15</v>
      </c>
      <c r="L154" s="2" t="s">
        <v>818</v>
      </c>
      <c r="M154">
        <v>2</v>
      </c>
      <c r="N154">
        <v>13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>
        <v>283.072</v>
      </c>
      <c r="AG154">
        <v>323.61959999999999</v>
      </c>
      <c r="AH154">
        <v>364.1671</v>
      </c>
      <c r="AI154">
        <v>404.71469999999999</v>
      </c>
      <c r="AJ154">
        <v>445.26220000000001</v>
      </c>
      <c r="AK154">
        <v>485.8098</v>
      </c>
      <c r="AL154">
        <v>526.35730000000001</v>
      </c>
      <c r="AM154">
        <v>566.9049</v>
      </c>
      <c r="AN154">
        <v>607.45240000000001</v>
      </c>
      <c r="AO154">
        <v>648</v>
      </c>
      <c r="AP154">
        <v>0.12887170000000001</v>
      </c>
      <c r="AQ154">
        <v>6.7530429999999999</v>
      </c>
      <c r="AR154">
        <v>123.03</v>
      </c>
      <c r="AS154">
        <v>1101.0409999999999</v>
      </c>
      <c r="AT154">
        <v>6005.0450000000001</v>
      </c>
      <c r="AU154">
        <v>22979.1</v>
      </c>
      <c r="AV154">
        <v>67883.19</v>
      </c>
      <c r="AW154">
        <v>165520</v>
      </c>
      <c r="AX154">
        <v>349507</v>
      </c>
      <c r="AY154">
        <v>662061</v>
      </c>
      <c r="AZ154" s="2">
        <v>14.743</v>
      </c>
      <c r="BA154" s="2">
        <v>101902</v>
      </c>
      <c r="BG154">
        <v>270.76</v>
      </c>
      <c r="BH154" s="2">
        <f t="shared" si="10"/>
        <v>543.91</v>
      </c>
      <c r="BJ154" s="2">
        <f t="shared" si="11"/>
        <v>1.4743000000000002E-4</v>
      </c>
      <c r="BK154" s="2" t="s">
        <v>434</v>
      </c>
    </row>
    <row r="155" spans="1:63" x14ac:dyDescent="0.3">
      <c r="A155" s="6">
        <v>154</v>
      </c>
      <c r="B155" s="1" t="s">
        <v>435</v>
      </c>
      <c r="C155" s="1" t="s">
        <v>436</v>
      </c>
      <c r="D155" s="1" t="s">
        <v>437</v>
      </c>
      <c r="E155" s="2">
        <v>226.2660511</v>
      </c>
      <c r="F155" s="2">
        <v>560.20000000000005</v>
      </c>
      <c r="G155" s="2">
        <v>722</v>
      </c>
      <c r="H155" s="1">
        <v>298.14999999999998</v>
      </c>
      <c r="I155" s="6">
        <f t="shared" si="9"/>
        <v>361</v>
      </c>
      <c r="J155">
        <v>0</v>
      </c>
      <c r="K155" s="2">
        <v>16</v>
      </c>
      <c r="L155" s="2" t="s">
        <v>819</v>
      </c>
      <c r="M155">
        <v>2</v>
      </c>
      <c r="N155">
        <v>14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>
        <v>291.30799999999999</v>
      </c>
      <c r="AG155">
        <v>332.49599999999998</v>
      </c>
      <c r="AH155">
        <v>373.68400000000003</v>
      </c>
      <c r="AI155">
        <v>414.87200000000001</v>
      </c>
      <c r="AJ155">
        <v>456.06</v>
      </c>
      <c r="AK155">
        <v>497.24799999999999</v>
      </c>
      <c r="AL155">
        <v>538.43600000000004</v>
      </c>
      <c r="AM155">
        <v>579.62400000000002</v>
      </c>
      <c r="AN155">
        <v>620.81200000000001</v>
      </c>
      <c r="AO155">
        <v>662</v>
      </c>
      <c r="AP155">
        <v>7.8561300000000001E-2</v>
      </c>
      <c r="AQ155">
        <v>5.1017619999999999</v>
      </c>
      <c r="AR155">
        <v>104.93170000000001</v>
      </c>
      <c r="AS155">
        <v>997.93759999999997</v>
      </c>
      <c r="AT155">
        <v>5566.598</v>
      </c>
      <c r="AU155">
        <v>21301.3</v>
      </c>
      <c r="AV155">
        <v>62252.17</v>
      </c>
      <c r="AW155">
        <v>149909</v>
      </c>
      <c r="AX155">
        <v>314381</v>
      </c>
      <c r="AY155">
        <v>598420</v>
      </c>
      <c r="AZ155" s="2">
        <v>13.6936</v>
      </c>
      <c r="BA155" s="2">
        <v>101068</v>
      </c>
      <c r="BG155">
        <v>287.05</v>
      </c>
      <c r="BH155" s="2">
        <f t="shared" si="10"/>
        <v>560.20000000000005</v>
      </c>
      <c r="BJ155" s="2">
        <f t="shared" si="11"/>
        <v>1.3693599999999999E-4</v>
      </c>
      <c r="BK155" s="2" t="s">
        <v>437</v>
      </c>
    </row>
    <row r="156" spans="1:63" x14ac:dyDescent="0.3">
      <c r="A156" s="6">
        <v>155</v>
      </c>
      <c r="B156" s="1" t="s">
        <v>438</v>
      </c>
      <c r="C156" s="1" t="s">
        <v>439</v>
      </c>
      <c r="D156" s="1" t="s">
        <v>440</v>
      </c>
      <c r="E156" s="2">
        <v>296.34430140000001</v>
      </c>
      <c r="F156" s="2">
        <v>630.59999999999991</v>
      </c>
      <c r="G156" s="2">
        <v>781</v>
      </c>
      <c r="H156" s="1">
        <v>298.14999999999998</v>
      </c>
      <c r="I156" s="6">
        <f t="shared" si="9"/>
        <v>390.5</v>
      </c>
      <c r="J156">
        <v>0</v>
      </c>
      <c r="K156" s="2">
        <v>21</v>
      </c>
      <c r="L156" s="2" t="s">
        <v>820</v>
      </c>
      <c r="M156">
        <v>2</v>
      </c>
      <c r="N156">
        <v>19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>
        <v>313.35000000000002</v>
      </c>
      <c r="AG156">
        <v>358.64440000000002</v>
      </c>
      <c r="AH156">
        <v>403.93889999999999</v>
      </c>
      <c r="AI156">
        <v>449.23329999999999</v>
      </c>
      <c r="AJ156">
        <v>494.52780000000001</v>
      </c>
      <c r="AK156">
        <v>539.82219999999995</v>
      </c>
      <c r="AL156">
        <v>585.11670000000004</v>
      </c>
      <c r="AM156">
        <v>630.41110000000003</v>
      </c>
      <c r="AN156">
        <v>675.7056</v>
      </c>
      <c r="AO156">
        <v>721</v>
      </c>
      <c r="AP156">
        <v>4.5966100000000001E-3</v>
      </c>
      <c r="AQ156">
        <v>0.69352469999999999</v>
      </c>
      <c r="AR156">
        <v>24.956869999999999</v>
      </c>
      <c r="AS156">
        <v>346.63339999999999</v>
      </c>
      <c r="AT156">
        <v>2507.366</v>
      </c>
      <c r="AU156">
        <v>11488.49</v>
      </c>
      <c r="AV156">
        <v>38093.33</v>
      </c>
      <c r="AW156">
        <v>100388</v>
      </c>
      <c r="AX156">
        <v>225047</v>
      </c>
      <c r="AY156">
        <v>451409</v>
      </c>
      <c r="AZ156" s="2">
        <v>10.2014</v>
      </c>
      <c r="BA156" s="2">
        <v>100757</v>
      </c>
      <c r="BG156">
        <v>357.45</v>
      </c>
      <c r="BH156" s="2">
        <f t="shared" si="10"/>
        <v>630.59999999999991</v>
      </c>
      <c r="BJ156" s="2">
        <f t="shared" si="11"/>
        <v>1.0201399999999999E-4</v>
      </c>
      <c r="BK156" s="2" t="s">
        <v>440</v>
      </c>
    </row>
    <row r="157" spans="1:63" x14ac:dyDescent="0.3">
      <c r="A157" s="6">
        <v>156</v>
      </c>
      <c r="B157" s="1" t="s">
        <v>441</v>
      </c>
      <c r="C157" s="1" t="s">
        <v>442</v>
      </c>
      <c r="D157" s="1" t="s">
        <v>443</v>
      </c>
      <c r="E157" s="2">
        <v>310.35995150000002</v>
      </c>
      <c r="F157" s="2">
        <v>642.79999999999995</v>
      </c>
      <c r="G157" s="2">
        <v>790.9</v>
      </c>
      <c r="H157" s="1">
        <v>298.14999999999998</v>
      </c>
      <c r="I157" s="6">
        <f t="shared" si="9"/>
        <v>395.45</v>
      </c>
      <c r="J157">
        <v>0</v>
      </c>
      <c r="K157" s="2">
        <v>22</v>
      </c>
      <c r="L157" s="2" t="s">
        <v>821</v>
      </c>
      <c r="M157">
        <v>2</v>
      </c>
      <c r="N157">
        <v>20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>
        <v>317.14999999999998</v>
      </c>
      <c r="AG157">
        <v>363.12220000000002</v>
      </c>
      <c r="AH157">
        <v>409.09440000000001</v>
      </c>
      <c r="AI157">
        <v>455.06670000000003</v>
      </c>
      <c r="AJ157">
        <v>501.03890000000001</v>
      </c>
      <c r="AK157">
        <v>547.01110000000006</v>
      </c>
      <c r="AL157">
        <v>592.98329999999999</v>
      </c>
      <c r="AM157">
        <v>638.9556</v>
      </c>
      <c r="AN157">
        <v>684.92780000000005</v>
      </c>
      <c r="AO157">
        <v>730.9</v>
      </c>
      <c r="AP157">
        <v>2.2247E-3</v>
      </c>
      <c r="AQ157">
        <v>0.426006</v>
      </c>
      <c r="AR157">
        <v>17.927299999999999</v>
      </c>
      <c r="AS157">
        <v>276.30009999999999</v>
      </c>
      <c r="AT157">
        <v>2142.2199999999998</v>
      </c>
      <c r="AU157">
        <v>10278.530000000001</v>
      </c>
      <c r="AV157">
        <v>35132.589999999997</v>
      </c>
      <c r="AW157">
        <v>94444.800000000003</v>
      </c>
      <c r="AX157">
        <v>214514</v>
      </c>
      <c r="AY157">
        <v>434187</v>
      </c>
      <c r="AZ157" s="2">
        <v>9.7883800000000001</v>
      </c>
      <c r="BA157" s="2">
        <v>101721</v>
      </c>
      <c r="BG157">
        <v>369.65</v>
      </c>
      <c r="BH157" s="2">
        <f t="shared" si="10"/>
        <v>642.79999999999995</v>
      </c>
      <c r="BJ157" s="2">
        <f t="shared" si="11"/>
        <v>9.78838E-5</v>
      </c>
      <c r="BK157" s="2" t="s">
        <v>443</v>
      </c>
    </row>
    <row r="158" spans="1:63" x14ac:dyDescent="0.3">
      <c r="A158" s="6">
        <v>157</v>
      </c>
      <c r="B158" s="1" t="s">
        <v>444</v>
      </c>
      <c r="C158" s="1" t="s">
        <v>445</v>
      </c>
      <c r="D158" s="1" t="s">
        <v>446</v>
      </c>
      <c r="E158" s="2">
        <v>324.37560150000002</v>
      </c>
      <c r="F158" s="2">
        <v>654.5</v>
      </c>
      <c r="G158" s="2">
        <v>800.3</v>
      </c>
      <c r="H158" s="1">
        <v>298.14999999999998</v>
      </c>
      <c r="I158" s="6">
        <f t="shared" si="9"/>
        <v>400.15</v>
      </c>
      <c r="J158">
        <v>0</v>
      </c>
      <c r="K158" s="2">
        <v>23</v>
      </c>
      <c r="L158" s="2" t="s">
        <v>822</v>
      </c>
      <c r="M158">
        <v>2</v>
      </c>
      <c r="N158">
        <v>21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>
        <v>320.64999999999998</v>
      </c>
      <c r="AG158">
        <v>367.27780000000001</v>
      </c>
      <c r="AH158">
        <v>413.90559999999999</v>
      </c>
      <c r="AI158">
        <v>460.5333</v>
      </c>
      <c r="AJ158">
        <v>507.16109999999998</v>
      </c>
      <c r="AK158">
        <v>553.78890000000001</v>
      </c>
      <c r="AL158">
        <v>600.41669999999999</v>
      </c>
      <c r="AM158">
        <v>647.0444</v>
      </c>
      <c r="AN158">
        <v>693.67219999999998</v>
      </c>
      <c r="AO158">
        <v>740.3</v>
      </c>
      <c r="AP158">
        <v>1.3476499999999999E-3</v>
      </c>
      <c r="AQ158">
        <v>0.29970609999999998</v>
      </c>
      <c r="AR158">
        <v>13.923539999999999</v>
      </c>
      <c r="AS158">
        <v>229.4085</v>
      </c>
      <c r="AT158">
        <v>1861.8130000000001</v>
      </c>
      <c r="AU158">
        <v>9219.9680000000008</v>
      </c>
      <c r="AV158">
        <v>32219.439999999999</v>
      </c>
      <c r="AW158">
        <v>87992.88</v>
      </c>
      <c r="AX158">
        <v>202212</v>
      </c>
      <c r="AY158">
        <v>413083</v>
      </c>
      <c r="AZ158" s="2">
        <v>9.3059999999999992</v>
      </c>
      <c r="BA158" s="2">
        <v>101522</v>
      </c>
      <c r="BG158">
        <v>381.35</v>
      </c>
      <c r="BH158" s="2">
        <f t="shared" si="10"/>
        <v>654.5</v>
      </c>
      <c r="BJ158" s="2">
        <f t="shared" si="11"/>
        <v>9.3059999999999993E-5</v>
      </c>
      <c r="BK158" s="2" t="s">
        <v>446</v>
      </c>
    </row>
    <row r="159" spans="1:63" x14ac:dyDescent="0.3">
      <c r="A159" s="6">
        <v>158</v>
      </c>
      <c r="B159" s="1" t="s">
        <v>447</v>
      </c>
      <c r="C159" s="1" t="s">
        <v>448</v>
      </c>
      <c r="D159" s="1" t="s">
        <v>449</v>
      </c>
      <c r="E159" s="2">
        <v>338.39125159999998</v>
      </c>
      <c r="F159" s="2">
        <v>665.7</v>
      </c>
      <c r="G159" s="2">
        <v>809.3</v>
      </c>
      <c r="H159" s="1">
        <v>298.14999999999998</v>
      </c>
      <c r="I159" s="6">
        <f t="shared" si="9"/>
        <v>404.65</v>
      </c>
      <c r="J159">
        <v>0</v>
      </c>
      <c r="K159" s="2">
        <v>24</v>
      </c>
      <c r="L159" s="2" t="s">
        <v>823</v>
      </c>
      <c r="M159">
        <v>2</v>
      </c>
      <c r="N159">
        <v>22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>
        <v>323.75</v>
      </c>
      <c r="AG159">
        <v>371.0333</v>
      </c>
      <c r="AH159">
        <v>418.31670000000003</v>
      </c>
      <c r="AI159">
        <v>465.6</v>
      </c>
      <c r="AJ159">
        <v>512.88329999999996</v>
      </c>
      <c r="AK159">
        <v>560.16669999999999</v>
      </c>
      <c r="AL159">
        <v>607.45000000000005</v>
      </c>
      <c r="AM159">
        <v>654.73329999999999</v>
      </c>
      <c r="AN159">
        <v>702.01670000000001</v>
      </c>
      <c r="AO159">
        <v>749.3</v>
      </c>
      <c r="AP159">
        <v>1.0083799999999999E-3</v>
      </c>
      <c r="AQ159">
        <v>0.24089160000000001</v>
      </c>
      <c r="AR159">
        <v>11.73902</v>
      </c>
      <c r="AS159">
        <v>199.98869999999999</v>
      </c>
      <c r="AT159">
        <v>1663.0239999999999</v>
      </c>
      <c r="AU159">
        <v>8388.5640000000003</v>
      </c>
      <c r="AV159">
        <v>29742.03</v>
      </c>
      <c r="AW159">
        <v>82198.97</v>
      </c>
      <c r="AX159">
        <v>190835</v>
      </c>
      <c r="AY159">
        <v>393424</v>
      </c>
      <c r="AZ159" s="2">
        <v>8.8639799999999997</v>
      </c>
      <c r="BA159" s="2">
        <v>101264</v>
      </c>
      <c r="BG159">
        <v>392.55</v>
      </c>
      <c r="BH159" s="2">
        <f t="shared" si="10"/>
        <v>665.7</v>
      </c>
      <c r="BJ159" s="2">
        <f t="shared" si="11"/>
        <v>8.8639799999999991E-5</v>
      </c>
      <c r="BK159" s="2" t="s">
        <v>449</v>
      </c>
    </row>
    <row r="160" spans="1:63" x14ac:dyDescent="0.3">
      <c r="A160" s="6">
        <v>159</v>
      </c>
      <c r="B160" s="1" t="s">
        <v>450</v>
      </c>
      <c r="C160" s="1" t="s">
        <v>451</v>
      </c>
      <c r="D160" s="1" t="s">
        <v>452</v>
      </c>
      <c r="E160" s="2">
        <v>84.093900379999994</v>
      </c>
      <c r="F160" s="2">
        <v>353.87</v>
      </c>
      <c r="G160" s="2">
        <v>553.79999999999995</v>
      </c>
      <c r="H160" s="1">
        <v>298.14999999999998</v>
      </c>
      <c r="I160" s="6">
        <f t="shared" si="9"/>
        <v>276.89999999999998</v>
      </c>
      <c r="J160">
        <v>0</v>
      </c>
      <c r="K160" s="2">
        <v>6</v>
      </c>
      <c r="L160" s="2" t="s">
        <v>824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6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>
        <v>279.69</v>
      </c>
      <c r="AG160">
        <v>303.48</v>
      </c>
      <c r="AH160">
        <v>327.27</v>
      </c>
      <c r="AI160">
        <v>351.06</v>
      </c>
      <c r="AJ160">
        <v>374.85</v>
      </c>
      <c r="AK160">
        <v>398.64</v>
      </c>
      <c r="AL160">
        <v>422.43</v>
      </c>
      <c r="AM160">
        <v>446.22</v>
      </c>
      <c r="AN160">
        <v>470.01</v>
      </c>
      <c r="AO160">
        <v>493.8</v>
      </c>
      <c r="AP160">
        <v>5362.5060000000003</v>
      </c>
      <c r="AQ160">
        <v>16479.060000000001</v>
      </c>
      <c r="AR160">
        <v>42066.81</v>
      </c>
      <c r="AS160">
        <v>92857.66</v>
      </c>
      <c r="AT160">
        <v>182637</v>
      </c>
      <c r="AU160">
        <v>327505</v>
      </c>
      <c r="AV160">
        <v>545156</v>
      </c>
      <c r="AW160">
        <v>854599</v>
      </c>
      <c r="AX160">
        <v>1276700</v>
      </c>
      <c r="AY160">
        <v>1835860</v>
      </c>
      <c r="AZ160" s="2">
        <v>40.934600000000003</v>
      </c>
      <c r="BA160" s="2">
        <v>101137</v>
      </c>
      <c r="BG160">
        <v>80.72</v>
      </c>
      <c r="BH160" s="2">
        <f t="shared" si="10"/>
        <v>353.87</v>
      </c>
      <c r="BJ160" s="2">
        <f t="shared" si="11"/>
        <v>4.0934600000000005E-4</v>
      </c>
      <c r="BK160" s="2" t="s">
        <v>452</v>
      </c>
    </row>
    <row r="161" spans="1:63" x14ac:dyDescent="0.3">
      <c r="A161" s="6">
        <v>160</v>
      </c>
      <c r="B161" s="1" t="s">
        <v>453</v>
      </c>
      <c r="C161" s="1" t="s">
        <v>454</v>
      </c>
      <c r="D161" s="1" t="s">
        <v>455</v>
      </c>
      <c r="E161" s="2">
        <v>126.14085059999999</v>
      </c>
      <c r="F161" s="2">
        <v>451.88400000000001</v>
      </c>
      <c r="G161" s="2">
        <v>682</v>
      </c>
      <c r="H161" s="1">
        <v>298.14999999999998</v>
      </c>
      <c r="I161" s="6">
        <f t="shared" si="9"/>
        <v>341</v>
      </c>
      <c r="J161">
        <v>0</v>
      </c>
      <c r="K161" s="2">
        <v>9</v>
      </c>
      <c r="L161" s="2" t="s">
        <v>825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9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>
        <v>283.83999999999997</v>
      </c>
      <c r="AG161">
        <v>321.41329999999999</v>
      </c>
      <c r="AH161">
        <v>358.98669999999998</v>
      </c>
      <c r="AI161">
        <v>396.56</v>
      </c>
      <c r="AJ161">
        <v>434.13330000000002</v>
      </c>
      <c r="AK161">
        <v>471.70670000000001</v>
      </c>
      <c r="AL161">
        <v>509.28</v>
      </c>
      <c r="AM161">
        <v>546.85329999999999</v>
      </c>
      <c r="AN161">
        <v>584.42669999999998</v>
      </c>
      <c r="AO161">
        <v>622</v>
      </c>
      <c r="AP161">
        <v>99.958290000000005</v>
      </c>
      <c r="AQ161">
        <v>942.60239999999999</v>
      </c>
      <c r="AR161">
        <v>5418.82</v>
      </c>
      <c r="AS161">
        <v>21573.7</v>
      </c>
      <c r="AT161">
        <v>65014.720000000001</v>
      </c>
      <c r="AU161">
        <v>158345</v>
      </c>
      <c r="AV161">
        <v>327845</v>
      </c>
      <c r="AW161">
        <v>601151</v>
      </c>
      <c r="AX161">
        <v>1010960</v>
      </c>
      <c r="AY161">
        <v>1610650</v>
      </c>
      <c r="AZ161" s="2">
        <v>33.520000000000003</v>
      </c>
      <c r="BA161" s="2">
        <v>101324</v>
      </c>
      <c r="BG161">
        <v>178.73400000000001</v>
      </c>
      <c r="BH161" s="2">
        <f t="shared" si="10"/>
        <v>451.88400000000001</v>
      </c>
      <c r="BJ161" s="2">
        <f t="shared" si="11"/>
        <v>3.3520000000000002E-4</v>
      </c>
      <c r="BK161" s="2" t="s">
        <v>455</v>
      </c>
    </row>
    <row r="162" spans="1:63" x14ac:dyDescent="0.3">
      <c r="A162" s="6">
        <v>161</v>
      </c>
      <c r="B162" s="1" t="s">
        <v>456</v>
      </c>
      <c r="C162" s="1" t="s">
        <v>457</v>
      </c>
      <c r="D162" s="1" t="s">
        <v>458</v>
      </c>
      <c r="E162" s="2">
        <v>140.15650059999999</v>
      </c>
      <c r="F162" s="2">
        <v>475.46799999999996</v>
      </c>
      <c r="G162" s="2">
        <v>709</v>
      </c>
      <c r="H162" s="1">
        <v>298.14999999999998</v>
      </c>
      <c r="I162" s="6">
        <f t="shared" si="9"/>
        <v>354.5</v>
      </c>
      <c r="J162">
        <v>0</v>
      </c>
      <c r="K162" s="2">
        <v>10</v>
      </c>
      <c r="L162" s="2" t="s">
        <v>826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>
        <v>283.5</v>
      </c>
      <c r="AG162">
        <v>324.11110000000002</v>
      </c>
      <c r="AH162">
        <v>364.72219999999999</v>
      </c>
      <c r="AI162">
        <v>405.33330000000001</v>
      </c>
      <c r="AJ162">
        <v>445.94439999999997</v>
      </c>
      <c r="AK162">
        <v>486.55560000000003</v>
      </c>
      <c r="AL162">
        <v>527.16669999999999</v>
      </c>
      <c r="AM162">
        <v>567.77779999999996</v>
      </c>
      <c r="AN162">
        <v>608.38890000000004</v>
      </c>
      <c r="AO162">
        <v>649</v>
      </c>
      <c r="AP162">
        <v>26.5044</v>
      </c>
      <c r="AQ162">
        <v>412.51299999999998</v>
      </c>
      <c r="AR162">
        <v>3122.0210000000002</v>
      </c>
      <c r="AS162">
        <v>14601.88</v>
      </c>
      <c r="AT162">
        <v>48969.47</v>
      </c>
      <c r="AU162">
        <v>129638</v>
      </c>
      <c r="AV162">
        <v>288900</v>
      </c>
      <c r="AW162">
        <v>566515</v>
      </c>
      <c r="AX162">
        <v>1008850</v>
      </c>
      <c r="AY162">
        <v>1670390</v>
      </c>
      <c r="AZ162" s="2">
        <v>32.136099999999999</v>
      </c>
      <c r="BA162" s="2">
        <v>101323</v>
      </c>
      <c r="BG162">
        <v>202.31800000000001</v>
      </c>
      <c r="BH162" s="2">
        <f t="shared" si="10"/>
        <v>475.46799999999996</v>
      </c>
      <c r="BJ162" s="2">
        <f t="shared" si="11"/>
        <v>3.2136099999999999E-4</v>
      </c>
      <c r="BK162" s="2" t="s">
        <v>458</v>
      </c>
    </row>
    <row r="163" spans="1:63" x14ac:dyDescent="0.3">
      <c r="A163" s="6">
        <v>162</v>
      </c>
      <c r="B163" s="1" t="s">
        <v>459</v>
      </c>
      <c r="C163" s="1" t="s">
        <v>460</v>
      </c>
      <c r="D163" s="1" t="s">
        <v>461</v>
      </c>
      <c r="E163" s="2">
        <v>154.1721507</v>
      </c>
      <c r="F163" s="2">
        <v>496.65699999999998</v>
      </c>
      <c r="G163" s="2">
        <v>732</v>
      </c>
      <c r="H163" s="1">
        <v>298.14999999999998</v>
      </c>
      <c r="I163" s="6">
        <f t="shared" si="9"/>
        <v>366</v>
      </c>
      <c r="J163">
        <v>0</v>
      </c>
      <c r="K163" s="2">
        <v>11</v>
      </c>
      <c r="L163" s="2" t="s">
        <v>827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11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>
        <v>251.47</v>
      </c>
      <c r="AG163">
        <v>298.19560000000001</v>
      </c>
      <c r="AH163">
        <v>344.92110000000002</v>
      </c>
      <c r="AI163">
        <v>391.64670000000001</v>
      </c>
      <c r="AJ163">
        <v>438.37220000000002</v>
      </c>
      <c r="AK163">
        <v>485.09780000000001</v>
      </c>
      <c r="AL163">
        <v>531.82330000000002</v>
      </c>
      <c r="AM163">
        <v>578.5489</v>
      </c>
      <c r="AN163">
        <v>625.27440000000001</v>
      </c>
      <c r="AO163">
        <v>672</v>
      </c>
      <c r="AP163">
        <v>0.70118780000000003</v>
      </c>
      <c r="AQ163">
        <v>35.291759999999996</v>
      </c>
      <c r="AR163">
        <v>586.19159999999999</v>
      </c>
      <c r="AS163">
        <v>4710.7439999999997</v>
      </c>
      <c r="AT163">
        <v>22940.959999999999</v>
      </c>
      <c r="AU163">
        <v>78130.63</v>
      </c>
      <c r="AV163">
        <v>205077</v>
      </c>
      <c r="AW163">
        <v>444826</v>
      </c>
      <c r="AX163">
        <v>840746</v>
      </c>
      <c r="AY163">
        <v>1446410</v>
      </c>
      <c r="AZ163" s="2">
        <v>27.218</v>
      </c>
      <c r="BA163" s="2">
        <v>101321</v>
      </c>
      <c r="BG163">
        <v>223.50700000000001</v>
      </c>
      <c r="BH163" s="2">
        <f t="shared" si="10"/>
        <v>496.65699999999998</v>
      </c>
      <c r="BJ163" s="2">
        <f t="shared" ref="BJ163:BJ172" si="12">AZ163/100000</f>
        <v>2.7218000000000001E-4</v>
      </c>
      <c r="BK163" s="2" t="s">
        <v>461</v>
      </c>
    </row>
    <row r="164" spans="1:63" x14ac:dyDescent="0.3">
      <c r="A164" s="6">
        <v>163</v>
      </c>
      <c r="B164" s="1" t="s">
        <v>462</v>
      </c>
      <c r="C164" s="1" t="s">
        <v>463</v>
      </c>
      <c r="D164" s="1" t="s">
        <v>464</v>
      </c>
      <c r="E164" s="2">
        <v>168.18780079999999</v>
      </c>
      <c r="F164" s="2">
        <v>517.13099999999997</v>
      </c>
      <c r="G164" s="2">
        <v>755</v>
      </c>
      <c r="H164" s="1">
        <v>298.14999999999998</v>
      </c>
      <c r="I164" s="6">
        <f t="shared" si="9"/>
        <v>377.5</v>
      </c>
      <c r="J164">
        <v>0</v>
      </c>
      <c r="K164" s="2">
        <v>12</v>
      </c>
      <c r="L164" s="2" t="s">
        <v>828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12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>
        <v>333.99</v>
      </c>
      <c r="AG164">
        <v>374.10219999999998</v>
      </c>
      <c r="AH164">
        <v>414.21440000000001</v>
      </c>
      <c r="AI164">
        <v>454.32670000000002</v>
      </c>
      <c r="AJ164">
        <v>494.43889999999999</v>
      </c>
      <c r="AK164">
        <v>534.55110000000002</v>
      </c>
      <c r="AL164">
        <v>574.66330000000005</v>
      </c>
      <c r="AM164">
        <v>614.77560000000005</v>
      </c>
      <c r="AN164">
        <v>654.88779999999997</v>
      </c>
      <c r="AO164">
        <v>695</v>
      </c>
      <c r="AP164">
        <v>133.54310000000001</v>
      </c>
      <c r="AQ164">
        <v>1122.99</v>
      </c>
      <c r="AR164">
        <v>5811.277</v>
      </c>
      <c r="AS164">
        <v>21321.33</v>
      </c>
      <c r="AT164">
        <v>60928.35</v>
      </c>
      <c r="AU164">
        <v>144643</v>
      </c>
      <c r="AV164">
        <v>298567</v>
      </c>
      <c r="AW164">
        <v>553947</v>
      </c>
      <c r="AX164">
        <v>947186</v>
      </c>
      <c r="AY164">
        <v>1522610</v>
      </c>
      <c r="AZ164" s="2">
        <v>28.7623</v>
      </c>
      <c r="BA164" s="2">
        <v>101323</v>
      </c>
      <c r="BG164">
        <v>243.98099999999999</v>
      </c>
      <c r="BH164" s="2">
        <f t="shared" si="10"/>
        <v>517.13099999999997</v>
      </c>
      <c r="BJ164" s="2">
        <f t="shared" si="12"/>
        <v>2.8762299999999998E-4</v>
      </c>
      <c r="BK164" s="2" t="s">
        <v>464</v>
      </c>
    </row>
    <row r="165" spans="1:63" x14ac:dyDescent="0.3">
      <c r="A165" s="6">
        <v>164</v>
      </c>
      <c r="B165" s="1" t="s">
        <v>465</v>
      </c>
      <c r="C165" s="1" t="s">
        <v>466</v>
      </c>
      <c r="D165" s="1" t="s">
        <v>467</v>
      </c>
      <c r="E165" s="2">
        <v>134.10955039999999</v>
      </c>
      <c r="F165" s="2">
        <v>456.45499999999998</v>
      </c>
      <c r="G165" s="2">
        <v>660.5</v>
      </c>
      <c r="H165" s="1">
        <v>298.14999999999998</v>
      </c>
      <c r="I165" s="6">
        <f t="shared" si="9"/>
        <v>330.25</v>
      </c>
      <c r="J165">
        <v>0</v>
      </c>
      <c r="K165" s="2">
        <v>10</v>
      </c>
      <c r="L165" s="2" t="s">
        <v>829</v>
      </c>
      <c r="M165">
        <v>1</v>
      </c>
      <c r="N165">
        <v>2</v>
      </c>
      <c r="O165">
        <v>0</v>
      </c>
      <c r="P165">
        <v>0</v>
      </c>
      <c r="Q165">
        <v>5</v>
      </c>
      <c r="R165">
        <v>0</v>
      </c>
      <c r="S165">
        <v>0</v>
      </c>
      <c r="T165">
        <v>0</v>
      </c>
      <c r="U165">
        <v>0</v>
      </c>
      <c r="V165">
        <v>0</v>
      </c>
      <c r="W165" s="6">
        <v>0</v>
      </c>
      <c r="X165" s="6">
        <v>0</v>
      </c>
      <c r="Y165" s="6">
        <v>1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>
        <v>185.3</v>
      </c>
      <c r="AG165">
        <v>231.4333</v>
      </c>
      <c r="AH165">
        <v>277.56670000000003</v>
      </c>
      <c r="AI165">
        <v>323.7</v>
      </c>
      <c r="AJ165">
        <v>369.83330000000001</v>
      </c>
      <c r="AK165">
        <v>415.9667</v>
      </c>
      <c r="AL165">
        <v>462.1</v>
      </c>
      <c r="AM165">
        <v>508.23329999999999</v>
      </c>
      <c r="AN165">
        <v>554.36670000000004</v>
      </c>
      <c r="AO165">
        <v>600.5</v>
      </c>
      <c r="AP165">
        <v>1.5438600000000001E-4</v>
      </c>
      <c r="AQ165">
        <v>0.28061839999999999</v>
      </c>
      <c r="AR165">
        <v>30.504740000000002</v>
      </c>
      <c r="AS165">
        <v>706.50980000000004</v>
      </c>
      <c r="AT165">
        <v>6497.42</v>
      </c>
      <c r="AU165">
        <v>33289.69</v>
      </c>
      <c r="AV165">
        <v>115921</v>
      </c>
      <c r="AW165">
        <v>310466</v>
      </c>
      <c r="AX165">
        <v>693195</v>
      </c>
      <c r="AY165">
        <v>1362500</v>
      </c>
      <c r="AZ165" s="2">
        <v>28.822800000000001</v>
      </c>
      <c r="BA165" s="2">
        <v>101122</v>
      </c>
      <c r="BG165">
        <v>183.30500000000001</v>
      </c>
      <c r="BH165" s="2">
        <f t="shared" si="10"/>
        <v>456.45499999999998</v>
      </c>
      <c r="BJ165" s="2">
        <f t="shared" si="12"/>
        <v>2.8822800000000002E-4</v>
      </c>
      <c r="BK165" s="2" t="s">
        <v>467</v>
      </c>
    </row>
    <row r="166" spans="1:63" x14ac:dyDescent="0.3">
      <c r="A166" s="6">
        <v>165</v>
      </c>
      <c r="B166" s="1" t="s">
        <v>468</v>
      </c>
      <c r="C166" s="1" t="s">
        <v>469</v>
      </c>
      <c r="D166" s="1" t="s">
        <v>470</v>
      </c>
      <c r="E166" s="2">
        <v>148.12520050000001</v>
      </c>
      <c r="F166" s="2">
        <v>478.61</v>
      </c>
      <c r="G166" s="2">
        <v>679.9</v>
      </c>
      <c r="H166" s="1">
        <v>298.14999999999998</v>
      </c>
      <c r="I166" s="6">
        <f t="shared" si="9"/>
        <v>339.95</v>
      </c>
      <c r="J166">
        <v>0</v>
      </c>
      <c r="K166" s="2">
        <v>11</v>
      </c>
      <c r="L166" s="2" t="s">
        <v>830</v>
      </c>
      <c r="M166">
        <v>1</v>
      </c>
      <c r="N166">
        <v>3</v>
      </c>
      <c r="O166">
        <v>0</v>
      </c>
      <c r="P166">
        <v>0</v>
      </c>
      <c r="Q166">
        <v>5</v>
      </c>
      <c r="R166">
        <v>0</v>
      </c>
      <c r="S166">
        <v>0</v>
      </c>
      <c r="T166">
        <v>0</v>
      </c>
      <c r="U166">
        <v>0</v>
      </c>
      <c r="V166">
        <v>0</v>
      </c>
      <c r="W166" s="6">
        <v>0</v>
      </c>
      <c r="X166" s="6">
        <v>0</v>
      </c>
      <c r="Y166" s="6">
        <v>1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>
        <v>198.15</v>
      </c>
      <c r="AG166">
        <v>245.0111</v>
      </c>
      <c r="AH166">
        <v>291.87220000000002</v>
      </c>
      <c r="AI166">
        <v>338.73329999999999</v>
      </c>
      <c r="AJ166">
        <v>385.59440000000001</v>
      </c>
      <c r="AK166">
        <v>432.4556</v>
      </c>
      <c r="AL166">
        <v>479.31670000000003</v>
      </c>
      <c r="AM166">
        <v>526.17780000000005</v>
      </c>
      <c r="AN166">
        <v>573.03890000000001</v>
      </c>
      <c r="AO166">
        <v>619.9</v>
      </c>
      <c r="AP166">
        <v>1.9444199999999999E-4</v>
      </c>
      <c r="AQ166">
        <v>0.26533649999999998</v>
      </c>
      <c r="AR166">
        <v>26.904229999999998</v>
      </c>
      <c r="AS166">
        <v>621.81179999999995</v>
      </c>
      <c r="AT166">
        <v>5781.4639999999999</v>
      </c>
      <c r="AU166">
        <v>29748.81</v>
      </c>
      <c r="AV166">
        <v>102878</v>
      </c>
      <c r="AW166">
        <v>271561</v>
      </c>
      <c r="AX166">
        <v>598430</v>
      </c>
      <c r="AY166">
        <v>1178520</v>
      </c>
      <c r="AZ166" s="2">
        <v>26.032699999999998</v>
      </c>
      <c r="BA166" s="2">
        <v>101201</v>
      </c>
      <c r="BG166">
        <v>205.46</v>
      </c>
      <c r="BH166" s="2">
        <f t="shared" si="10"/>
        <v>478.61</v>
      </c>
      <c r="BJ166" s="2">
        <f t="shared" si="12"/>
        <v>2.6032699999999998E-4</v>
      </c>
      <c r="BK166" s="2" t="s">
        <v>470</v>
      </c>
    </row>
    <row r="167" spans="1:63" x14ac:dyDescent="0.3">
      <c r="A167" s="6">
        <v>166</v>
      </c>
      <c r="B167" s="1" t="s">
        <v>471</v>
      </c>
      <c r="C167" s="1" t="s">
        <v>472</v>
      </c>
      <c r="D167" s="1" t="s">
        <v>473</v>
      </c>
      <c r="E167" s="2">
        <v>162.14085059999999</v>
      </c>
      <c r="F167" s="2">
        <v>499.26</v>
      </c>
      <c r="G167" s="2">
        <v>698</v>
      </c>
      <c r="H167" s="1">
        <v>298.14999999999998</v>
      </c>
      <c r="I167" s="6">
        <f t="shared" si="9"/>
        <v>349</v>
      </c>
      <c r="J167">
        <v>0</v>
      </c>
      <c r="K167" s="2">
        <v>12</v>
      </c>
      <c r="L167" s="2" t="s">
        <v>831</v>
      </c>
      <c r="M167">
        <v>1</v>
      </c>
      <c r="N167">
        <v>4</v>
      </c>
      <c r="O167">
        <v>0</v>
      </c>
      <c r="P167">
        <v>0</v>
      </c>
      <c r="Q167">
        <v>5</v>
      </c>
      <c r="R167">
        <v>0</v>
      </c>
      <c r="S167">
        <v>0</v>
      </c>
      <c r="T167">
        <v>0</v>
      </c>
      <c r="U167">
        <v>0</v>
      </c>
      <c r="V167">
        <v>0</v>
      </c>
      <c r="W167" s="6">
        <v>0</v>
      </c>
      <c r="X167" s="6">
        <v>0</v>
      </c>
      <c r="Y167" s="6">
        <v>1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>
        <v>212</v>
      </c>
      <c r="AG167">
        <v>259.33330000000001</v>
      </c>
      <c r="AH167">
        <v>306.66669999999999</v>
      </c>
      <c r="AI167">
        <v>354</v>
      </c>
      <c r="AJ167">
        <v>401.33330000000001</v>
      </c>
      <c r="AK167">
        <v>448.66669999999999</v>
      </c>
      <c r="AL167">
        <v>496</v>
      </c>
      <c r="AM167">
        <v>543.33330000000001</v>
      </c>
      <c r="AN167">
        <v>590.66669999999999</v>
      </c>
      <c r="AO167">
        <v>638</v>
      </c>
      <c r="AP167">
        <v>4.0028900000000002E-4</v>
      </c>
      <c r="AQ167">
        <v>0.34603089999999997</v>
      </c>
      <c r="AR167">
        <v>28.595289999999999</v>
      </c>
      <c r="AS167">
        <v>601.51890000000003</v>
      </c>
      <c r="AT167">
        <v>5366.9880000000003</v>
      </c>
      <c r="AU167">
        <v>27215.41</v>
      </c>
      <c r="AV167">
        <v>93992.84</v>
      </c>
      <c r="AW167">
        <v>249238</v>
      </c>
      <c r="AX167">
        <v>552388</v>
      </c>
      <c r="AY167">
        <v>1091560</v>
      </c>
      <c r="AZ167" s="2">
        <v>23.832000000000001</v>
      </c>
      <c r="BA167" s="2">
        <v>101265</v>
      </c>
      <c r="BG167">
        <v>226.11</v>
      </c>
      <c r="BH167" s="2">
        <f t="shared" si="10"/>
        <v>499.26</v>
      </c>
      <c r="BJ167" s="2">
        <f t="shared" si="12"/>
        <v>2.3832000000000001E-4</v>
      </c>
      <c r="BK167" s="2" t="s">
        <v>473</v>
      </c>
    </row>
    <row r="168" spans="1:63" x14ac:dyDescent="0.3">
      <c r="A168" s="6">
        <v>167</v>
      </c>
      <c r="B168" s="1" t="s">
        <v>474</v>
      </c>
      <c r="C168" s="1" t="s">
        <v>475</v>
      </c>
      <c r="D168" s="1" t="s">
        <v>476</v>
      </c>
      <c r="E168" s="2">
        <v>176.15650059999999</v>
      </c>
      <c r="F168" s="2">
        <v>519.25</v>
      </c>
      <c r="G168" s="2">
        <v>714</v>
      </c>
      <c r="H168" s="1">
        <v>298.14999999999998</v>
      </c>
      <c r="I168" s="6">
        <f t="shared" si="9"/>
        <v>357</v>
      </c>
      <c r="J168">
        <v>0</v>
      </c>
      <c r="K168" s="2">
        <v>13</v>
      </c>
      <c r="L168" s="2" t="s">
        <v>832</v>
      </c>
      <c r="M168">
        <v>1</v>
      </c>
      <c r="N168">
        <v>5</v>
      </c>
      <c r="O168">
        <v>0</v>
      </c>
      <c r="P168">
        <v>0</v>
      </c>
      <c r="Q168">
        <v>5</v>
      </c>
      <c r="R168">
        <v>0</v>
      </c>
      <c r="S168">
        <v>0</v>
      </c>
      <c r="T168">
        <v>0</v>
      </c>
      <c r="U168">
        <v>0</v>
      </c>
      <c r="V168">
        <v>0</v>
      </c>
      <c r="W168" s="6">
        <v>0</v>
      </c>
      <c r="X168" s="6">
        <v>0</v>
      </c>
      <c r="Y168" s="6">
        <v>1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>
        <v>225.15</v>
      </c>
      <c r="AG168">
        <v>272.8</v>
      </c>
      <c r="AH168">
        <v>320.45</v>
      </c>
      <c r="AI168">
        <v>368.1</v>
      </c>
      <c r="AJ168">
        <v>415.75</v>
      </c>
      <c r="AK168">
        <v>463.4</v>
      </c>
      <c r="AL168">
        <v>511.05</v>
      </c>
      <c r="AM168">
        <v>558.70000000000005</v>
      </c>
      <c r="AN168">
        <v>606.35</v>
      </c>
      <c r="AO168">
        <v>654</v>
      </c>
      <c r="AP168">
        <v>5.4383899999999995E-4</v>
      </c>
      <c r="AQ168">
        <v>0.39024959999999997</v>
      </c>
      <c r="AR168">
        <v>29.570160000000001</v>
      </c>
      <c r="AS168">
        <v>590.73969999999997</v>
      </c>
      <c r="AT168">
        <v>5073.7910000000002</v>
      </c>
      <c r="AU168">
        <v>24934.9</v>
      </c>
      <c r="AV168">
        <v>83959.14</v>
      </c>
      <c r="AW168">
        <v>218794</v>
      </c>
      <c r="AX168">
        <v>482170</v>
      </c>
      <c r="AY168">
        <v>963416</v>
      </c>
      <c r="AZ168" s="2">
        <v>21.950900000000001</v>
      </c>
      <c r="BA168" s="2">
        <v>100547</v>
      </c>
      <c r="BG168">
        <v>246.1</v>
      </c>
      <c r="BH168" s="2">
        <f t="shared" si="10"/>
        <v>519.25</v>
      </c>
      <c r="BJ168" s="2">
        <f t="shared" si="12"/>
        <v>2.19509E-4</v>
      </c>
      <c r="BK168" s="2" t="s">
        <v>476</v>
      </c>
    </row>
    <row r="169" spans="1:63" x14ac:dyDescent="0.3">
      <c r="A169" s="6">
        <v>168</v>
      </c>
      <c r="B169" s="1" t="s">
        <v>477</v>
      </c>
      <c r="C169" s="1" t="s">
        <v>478</v>
      </c>
      <c r="D169" s="1" t="s">
        <v>479</v>
      </c>
      <c r="E169" s="2">
        <v>190.1721507</v>
      </c>
      <c r="F169" s="2">
        <v>537.54999999999995</v>
      </c>
      <c r="G169" s="2">
        <v>729</v>
      </c>
      <c r="H169" s="1">
        <v>298.14999999999998</v>
      </c>
      <c r="I169" s="6">
        <f t="shared" si="9"/>
        <v>364.5</v>
      </c>
      <c r="J169">
        <v>0</v>
      </c>
      <c r="K169" s="2">
        <v>14</v>
      </c>
      <c r="L169" s="2" t="s">
        <v>833</v>
      </c>
      <c r="M169">
        <v>1</v>
      </c>
      <c r="N169">
        <v>6</v>
      </c>
      <c r="O169">
        <v>0</v>
      </c>
      <c r="P169">
        <v>0</v>
      </c>
      <c r="Q169">
        <v>5</v>
      </c>
      <c r="R169">
        <v>0</v>
      </c>
      <c r="S169">
        <v>0</v>
      </c>
      <c r="T169">
        <v>0</v>
      </c>
      <c r="U169">
        <v>0</v>
      </c>
      <c r="V169">
        <v>0</v>
      </c>
      <c r="W169" s="6">
        <v>0</v>
      </c>
      <c r="X169" s="6">
        <v>0</v>
      </c>
      <c r="Y169" s="6">
        <v>1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>
        <v>237.15</v>
      </c>
      <c r="AG169">
        <v>285.13330000000002</v>
      </c>
      <c r="AH169">
        <v>333.11669999999998</v>
      </c>
      <c r="AI169">
        <v>381.1</v>
      </c>
      <c r="AJ169">
        <v>429.08330000000001</v>
      </c>
      <c r="AK169">
        <v>477.06670000000003</v>
      </c>
      <c r="AL169">
        <v>525.04999999999995</v>
      </c>
      <c r="AM169">
        <v>573.03330000000005</v>
      </c>
      <c r="AN169">
        <v>621.01670000000001</v>
      </c>
      <c r="AO169">
        <v>669</v>
      </c>
      <c r="AP169">
        <v>7.1847899999999995E-4</v>
      </c>
      <c r="AQ169">
        <v>0.40268090000000001</v>
      </c>
      <c r="AR169">
        <v>27.638809999999999</v>
      </c>
      <c r="AS169">
        <v>533.75139999999999</v>
      </c>
      <c r="AT169">
        <v>4565.8429999999998</v>
      </c>
      <c r="AU169">
        <v>22648.25</v>
      </c>
      <c r="AV169">
        <v>77335.47</v>
      </c>
      <c r="AW169">
        <v>204285</v>
      </c>
      <c r="AX169">
        <v>454459</v>
      </c>
      <c r="AY169">
        <v>909899</v>
      </c>
      <c r="AZ169" s="2">
        <v>20.345700000000001</v>
      </c>
      <c r="BA169" s="2">
        <v>101703</v>
      </c>
      <c r="BG169">
        <v>264.39999999999998</v>
      </c>
      <c r="BH169" s="2">
        <f t="shared" si="10"/>
        <v>537.54999999999995</v>
      </c>
      <c r="BJ169" s="2">
        <f t="shared" si="12"/>
        <v>2.0345700000000001E-4</v>
      </c>
      <c r="BK169" s="2" t="s">
        <v>479</v>
      </c>
    </row>
    <row r="170" spans="1:63" x14ac:dyDescent="0.3">
      <c r="A170" s="6">
        <v>169</v>
      </c>
      <c r="B170" s="1" t="s">
        <v>480</v>
      </c>
      <c r="C170" s="1" t="s">
        <v>481</v>
      </c>
      <c r="D170" s="1" t="s">
        <v>482</v>
      </c>
      <c r="E170" s="2">
        <v>358.30830980000002</v>
      </c>
      <c r="F170" s="2">
        <v>714.55199999999991</v>
      </c>
      <c r="G170" s="2">
        <v>849</v>
      </c>
      <c r="H170" s="1">
        <v>298.14999999999998</v>
      </c>
      <c r="I170" s="6">
        <f t="shared" ref="I170:I205" si="13">G170/2</f>
        <v>424.5</v>
      </c>
      <c r="J170">
        <v>1</v>
      </c>
      <c r="K170" s="2">
        <v>21</v>
      </c>
      <c r="L170" s="2" t="s">
        <v>834</v>
      </c>
      <c r="M170">
        <v>1</v>
      </c>
      <c r="N170">
        <v>16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 s="6">
        <v>0</v>
      </c>
      <c r="X170" s="6">
        <v>0</v>
      </c>
      <c r="Y170" s="6">
        <v>0</v>
      </c>
      <c r="Z170" s="6">
        <v>1</v>
      </c>
      <c r="AA170" s="6">
        <v>0</v>
      </c>
      <c r="AB170" s="6">
        <v>0</v>
      </c>
      <c r="AC170" s="6">
        <v>1</v>
      </c>
      <c r="AD170" s="6">
        <v>0</v>
      </c>
      <c r="AE170" s="6">
        <v>1</v>
      </c>
      <c r="AF170">
        <v>351.9</v>
      </c>
      <c r="AG170">
        <v>400.4667</v>
      </c>
      <c r="AH170">
        <v>449.0333</v>
      </c>
      <c r="AI170">
        <v>497.6</v>
      </c>
      <c r="AJ170">
        <v>546.16669999999999</v>
      </c>
      <c r="AK170">
        <v>594.73329999999999</v>
      </c>
      <c r="AL170">
        <v>643.29999999999995</v>
      </c>
      <c r="AM170">
        <v>691.86670000000004</v>
      </c>
      <c r="AN170">
        <v>740.43330000000003</v>
      </c>
      <c r="AO170">
        <v>789</v>
      </c>
      <c r="AP170">
        <v>1.7096699999999999E-3</v>
      </c>
      <c r="AQ170">
        <v>0.2421806</v>
      </c>
      <c r="AR170">
        <v>9.1518719999999991</v>
      </c>
      <c r="AS170">
        <v>140.751</v>
      </c>
      <c r="AT170">
        <v>1151.895</v>
      </c>
      <c r="AU170">
        <v>5991.0209999999997</v>
      </c>
      <c r="AV170">
        <v>22368.29</v>
      </c>
      <c r="AW170">
        <v>65367.97</v>
      </c>
      <c r="AX170">
        <v>159352</v>
      </c>
      <c r="AY170">
        <v>340472</v>
      </c>
      <c r="AZ170" s="2">
        <v>7.7273399999999999</v>
      </c>
      <c r="BA170" s="2">
        <v>101045</v>
      </c>
      <c r="BG170">
        <v>441.40199999999999</v>
      </c>
      <c r="BH170" s="2">
        <f t="shared" ref="BH170:BH201" si="14">BG170+273.15</f>
        <v>714.55199999999991</v>
      </c>
      <c r="BJ170" s="2">
        <f t="shared" si="12"/>
        <v>7.7273400000000005E-5</v>
      </c>
      <c r="BK170" s="2" t="s">
        <v>482</v>
      </c>
    </row>
    <row r="171" spans="1:63" x14ac:dyDescent="0.3">
      <c r="A171" s="6">
        <v>170</v>
      </c>
      <c r="B171" s="1" t="s">
        <v>483</v>
      </c>
      <c r="C171" s="1" t="s">
        <v>484</v>
      </c>
      <c r="D171" s="1" t="s">
        <v>485</v>
      </c>
      <c r="E171" s="2">
        <v>356.29265980000002</v>
      </c>
      <c r="F171" s="2">
        <v>698.5</v>
      </c>
      <c r="G171" s="2">
        <v>856.9</v>
      </c>
      <c r="H171" s="1">
        <v>298.14999999999998</v>
      </c>
      <c r="I171" s="6">
        <f t="shared" si="13"/>
        <v>428.45</v>
      </c>
      <c r="J171">
        <v>1</v>
      </c>
      <c r="K171" s="2">
        <v>21</v>
      </c>
      <c r="L171" s="2" t="s">
        <v>835</v>
      </c>
      <c r="M171">
        <v>1</v>
      </c>
      <c r="N171">
        <v>14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 s="6">
        <v>2</v>
      </c>
      <c r="X171" s="6">
        <v>0</v>
      </c>
      <c r="Y171" s="6">
        <v>0</v>
      </c>
      <c r="Z171" s="6">
        <v>1</v>
      </c>
      <c r="AA171" s="6">
        <v>0</v>
      </c>
      <c r="AB171" s="6">
        <v>0</v>
      </c>
      <c r="AC171" s="6">
        <v>1</v>
      </c>
      <c r="AD171" s="6">
        <v>0</v>
      </c>
      <c r="AE171" s="6">
        <v>1</v>
      </c>
      <c r="AF171">
        <v>308.2</v>
      </c>
      <c r="AG171">
        <v>362.5</v>
      </c>
      <c r="AH171">
        <v>416.8</v>
      </c>
      <c r="AI171">
        <v>471.1</v>
      </c>
      <c r="AJ171">
        <v>525.4</v>
      </c>
      <c r="AK171">
        <v>579.70000000000005</v>
      </c>
      <c r="AL171">
        <v>634</v>
      </c>
      <c r="AM171">
        <v>688.3</v>
      </c>
      <c r="AN171">
        <v>742.6</v>
      </c>
      <c r="AO171">
        <v>796.9</v>
      </c>
      <c r="AP171" s="13">
        <v>1.2796700000000001E-5</v>
      </c>
      <c r="AQ171">
        <v>1.2888E-2</v>
      </c>
      <c r="AR171">
        <v>1.603896</v>
      </c>
      <c r="AS171">
        <v>52.71705</v>
      </c>
      <c r="AT171">
        <v>710.65239999999994</v>
      </c>
      <c r="AU171">
        <v>5162.0600000000004</v>
      </c>
      <c r="AV171">
        <v>24169.75</v>
      </c>
      <c r="AW171">
        <v>82573.070000000007</v>
      </c>
      <c r="AX171">
        <v>225284</v>
      </c>
      <c r="AY171">
        <v>526117</v>
      </c>
      <c r="AZ171" s="2">
        <v>11.9941</v>
      </c>
      <c r="BA171" s="2">
        <v>101195</v>
      </c>
      <c r="BG171">
        <v>425.35</v>
      </c>
      <c r="BH171" s="2">
        <f t="shared" si="14"/>
        <v>698.5</v>
      </c>
      <c r="BJ171" s="2">
        <f t="shared" si="12"/>
        <v>1.19941E-4</v>
      </c>
      <c r="BK171" s="2" t="s">
        <v>485</v>
      </c>
    </row>
    <row r="172" spans="1:63" x14ac:dyDescent="0.3">
      <c r="A172" s="6">
        <v>171</v>
      </c>
      <c r="B172" s="1" t="s">
        <v>486</v>
      </c>
      <c r="C172" s="1" t="s">
        <v>487</v>
      </c>
      <c r="D172" s="1" t="s">
        <v>488</v>
      </c>
      <c r="E172" s="2">
        <v>330.27700970000001</v>
      </c>
      <c r="F172" s="2">
        <v>676.59999999999991</v>
      </c>
      <c r="G172" s="2">
        <v>832.19999999999993</v>
      </c>
      <c r="H172" s="1">
        <v>298.14999999999998</v>
      </c>
      <c r="I172" s="6">
        <f t="shared" si="13"/>
        <v>416.09999999999997</v>
      </c>
      <c r="J172">
        <v>1</v>
      </c>
      <c r="K172" s="2">
        <v>19</v>
      </c>
      <c r="L172" s="2" t="s">
        <v>836</v>
      </c>
      <c r="M172">
        <v>1</v>
      </c>
      <c r="N172">
        <v>14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 s="6">
        <v>0</v>
      </c>
      <c r="X172" s="6">
        <v>0</v>
      </c>
      <c r="Y172" s="6">
        <v>0</v>
      </c>
      <c r="Z172" s="6">
        <v>1</v>
      </c>
      <c r="AA172" s="6">
        <v>0</v>
      </c>
      <c r="AB172" s="6">
        <v>0</v>
      </c>
      <c r="AC172" s="6">
        <v>1</v>
      </c>
      <c r="AD172" s="6">
        <v>0</v>
      </c>
      <c r="AE172" s="6">
        <v>1</v>
      </c>
      <c r="AF172">
        <v>349.65</v>
      </c>
      <c r="AG172">
        <v>396.6</v>
      </c>
      <c r="AH172">
        <v>443.55</v>
      </c>
      <c r="AI172">
        <v>490.5</v>
      </c>
      <c r="AJ172">
        <v>537.45000000000005</v>
      </c>
      <c r="AK172">
        <v>584.4</v>
      </c>
      <c r="AL172">
        <v>631.35</v>
      </c>
      <c r="AM172">
        <v>678.3</v>
      </c>
      <c r="AN172">
        <v>725.25</v>
      </c>
      <c r="AO172">
        <v>772.2</v>
      </c>
      <c r="AP172">
        <v>5.5301999999999999E-3</v>
      </c>
      <c r="AQ172">
        <v>0.56241580000000002</v>
      </c>
      <c r="AR172">
        <v>17.69097</v>
      </c>
      <c r="AS172">
        <v>246.41749999999999</v>
      </c>
      <c r="AT172">
        <v>1915.6659999999999</v>
      </c>
      <c r="AU172">
        <v>9719.0550000000003</v>
      </c>
      <c r="AV172">
        <v>35931.42</v>
      </c>
      <c r="AW172">
        <v>104962</v>
      </c>
      <c r="AX172">
        <v>257749</v>
      </c>
      <c r="AY172">
        <v>559061</v>
      </c>
      <c r="AZ172" s="2">
        <v>13.3986</v>
      </c>
      <c r="BA172" s="2">
        <v>101306</v>
      </c>
      <c r="BG172">
        <v>403.45</v>
      </c>
      <c r="BH172" s="2">
        <f t="shared" si="14"/>
        <v>676.59999999999991</v>
      </c>
      <c r="BJ172" s="2">
        <f t="shared" si="12"/>
        <v>1.33986E-4</v>
      </c>
      <c r="BK172" s="2" t="s">
        <v>488</v>
      </c>
    </row>
    <row r="173" spans="1:63" x14ac:dyDescent="0.3">
      <c r="A173" s="6">
        <v>172</v>
      </c>
      <c r="B173" s="1" t="s">
        <v>489</v>
      </c>
      <c r="C173" s="1" t="s">
        <v>490</v>
      </c>
      <c r="D173" s="1" t="s">
        <v>491</v>
      </c>
      <c r="E173" s="2">
        <v>620.53797540000005</v>
      </c>
      <c r="F173" s="2">
        <v>833.4</v>
      </c>
      <c r="G173" s="2">
        <v>916</v>
      </c>
      <c r="H173" s="1">
        <v>298.14999999999998</v>
      </c>
      <c r="I173" s="6">
        <f t="shared" si="13"/>
        <v>458</v>
      </c>
      <c r="J173">
        <v>1</v>
      </c>
      <c r="K173" s="2">
        <v>39</v>
      </c>
      <c r="L173" s="2" t="s">
        <v>837</v>
      </c>
      <c r="M173">
        <v>2</v>
      </c>
      <c r="N173">
        <v>27</v>
      </c>
      <c r="O173">
        <v>0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 s="6">
        <v>4</v>
      </c>
      <c r="X173" s="6">
        <v>1</v>
      </c>
      <c r="Y173" s="6">
        <v>0</v>
      </c>
      <c r="Z173" s="6">
        <v>1</v>
      </c>
      <c r="AA173" s="6">
        <v>0</v>
      </c>
      <c r="AB173" s="6">
        <v>1</v>
      </c>
      <c r="AC173" s="6">
        <v>0</v>
      </c>
      <c r="AD173" s="6">
        <v>0</v>
      </c>
      <c r="AE173" s="6">
        <v>0</v>
      </c>
      <c r="AF173">
        <v>298.55</v>
      </c>
      <c r="AG173">
        <v>360.4889</v>
      </c>
      <c r="AH173">
        <v>422.42779999999999</v>
      </c>
      <c r="AI173">
        <v>484.36669999999998</v>
      </c>
      <c r="AJ173">
        <v>546.30560000000003</v>
      </c>
      <c r="AK173">
        <v>608.24440000000004</v>
      </c>
      <c r="AL173">
        <v>670.18330000000003</v>
      </c>
      <c r="AM173">
        <v>732.12220000000002</v>
      </c>
      <c r="AN173">
        <v>794.06110000000001</v>
      </c>
      <c r="AO173">
        <v>856</v>
      </c>
      <c r="AP173" s="13">
        <v>7.8665999999999995E-14</v>
      </c>
      <c r="AQ173" s="13">
        <v>3.9211800000000003E-8</v>
      </c>
      <c r="AR173">
        <v>2.2645200000000001E-4</v>
      </c>
      <c r="AS173">
        <v>9.1057799999999994E-2</v>
      </c>
      <c r="AT173">
        <v>6.689476</v>
      </c>
      <c r="AU173">
        <v>157.93129999999999</v>
      </c>
      <c r="AV173">
        <v>1707.32</v>
      </c>
      <c r="AW173">
        <v>10699.76</v>
      </c>
      <c r="AX173">
        <v>45924.22</v>
      </c>
      <c r="AY173">
        <v>153016</v>
      </c>
      <c r="AZ173" s="2">
        <v>4.2412000000000001</v>
      </c>
      <c r="BA173" s="2">
        <v>100886</v>
      </c>
      <c r="BG173">
        <v>560.25</v>
      </c>
      <c r="BH173" s="2">
        <f t="shared" si="14"/>
        <v>833.4</v>
      </c>
      <c r="BJ173" s="2">
        <f t="shared" ref="BJ173:BJ205" si="15">AZ173/100000</f>
        <v>4.2412E-5</v>
      </c>
      <c r="BK173" s="2" t="s">
        <v>491</v>
      </c>
    </row>
    <row r="174" spans="1:63" x14ac:dyDescent="0.3">
      <c r="A174" s="6">
        <v>173</v>
      </c>
      <c r="B174" s="1" t="s">
        <v>492</v>
      </c>
      <c r="C174" s="1" t="s">
        <v>493</v>
      </c>
      <c r="D174" s="1" t="s">
        <v>494</v>
      </c>
      <c r="E174" s="2">
        <v>344.29265980000002</v>
      </c>
      <c r="F174" s="2">
        <v>641.37599999999998</v>
      </c>
      <c r="G174" s="2">
        <v>844</v>
      </c>
      <c r="H174" s="1">
        <v>298.14999999999998</v>
      </c>
      <c r="I174" s="6">
        <f t="shared" si="13"/>
        <v>422</v>
      </c>
      <c r="J174">
        <v>1</v>
      </c>
      <c r="K174" s="2">
        <v>20</v>
      </c>
      <c r="L174" s="2" t="s">
        <v>838</v>
      </c>
      <c r="M174">
        <v>1</v>
      </c>
      <c r="N174">
        <v>15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 s="6">
        <v>0</v>
      </c>
      <c r="X174" s="6">
        <v>0</v>
      </c>
      <c r="Y174" s="6">
        <v>0</v>
      </c>
      <c r="Z174" s="6">
        <v>1</v>
      </c>
      <c r="AA174" s="6">
        <v>0</v>
      </c>
      <c r="AB174" s="6">
        <v>0</v>
      </c>
      <c r="AC174" s="6">
        <v>1</v>
      </c>
      <c r="AD174" s="6">
        <v>0</v>
      </c>
      <c r="AE174" s="6">
        <v>1</v>
      </c>
      <c r="AF174">
        <v>369.43</v>
      </c>
      <c r="AG174">
        <v>415.49329999999998</v>
      </c>
      <c r="AH174">
        <v>461.55669999999998</v>
      </c>
      <c r="AI174">
        <v>507.62</v>
      </c>
      <c r="AJ174">
        <v>553.68330000000003</v>
      </c>
      <c r="AK174">
        <v>599.74670000000003</v>
      </c>
      <c r="AL174">
        <v>645.80999999999995</v>
      </c>
      <c r="AM174">
        <v>691.87329999999997</v>
      </c>
      <c r="AN174">
        <v>737.93669999999997</v>
      </c>
      <c r="AO174">
        <v>784</v>
      </c>
      <c r="AP174">
        <v>4.2921100000000001</v>
      </c>
      <c r="AQ174">
        <v>78.453630000000004</v>
      </c>
      <c r="AR174">
        <v>706.33969999999999</v>
      </c>
      <c r="AS174">
        <v>3881.482</v>
      </c>
      <c r="AT174">
        <v>14978.04</v>
      </c>
      <c r="AU174">
        <v>44629.56</v>
      </c>
      <c r="AV174">
        <v>109725</v>
      </c>
      <c r="AW174">
        <v>233482</v>
      </c>
      <c r="AX174">
        <v>445644</v>
      </c>
      <c r="AY174">
        <v>784983</v>
      </c>
      <c r="AZ174" s="2">
        <v>15.230499999999999</v>
      </c>
      <c r="BA174" s="2">
        <v>101324</v>
      </c>
      <c r="BG174">
        <v>368.226</v>
      </c>
      <c r="BH174" s="2">
        <f t="shared" si="14"/>
        <v>641.37599999999998</v>
      </c>
      <c r="BJ174" s="2">
        <f t="shared" si="15"/>
        <v>1.5230499999999999E-4</v>
      </c>
      <c r="BK174" s="2" t="s">
        <v>494</v>
      </c>
    </row>
    <row r="175" spans="1:63" x14ac:dyDescent="0.3">
      <c r="A175" s="6">
        <v>174</v>
      </c>
      <c r="B175" s="1" t="s">
        <v>495</v>
      </c>
      <c r="C175" s="1" t="s">
        <v>496</v>
      </c>
      <c r="D175" s="1" t="s">
        <v>497</v>
      </c>
      <c r="E175" s="2">
        <v>466.4749812</v>
      </c>
      <c r="F175" s="2">
        <v>749.82799999999997</v>
      </c>
      <c r="G175" s="2">
        <v>918</v>
      </c>
      <c r="H175" s="1">
        <v>298.14999999999998</v>
      </c>
      <c r="I175" s="6">
        <f t="shared" si="13"/>
        <v>459</v>
      </c>
      <c r="J175">
        <v>0</v>
      </c>
      <c r="K175" s="2">
        <v>31</v>
      </c>
      <c r="L175" s="2" t="s">
        <v>839</v>
      </c>
      <c r="M175">
        <v>1</v>
      </c>
      <c r="N175">
        <v>29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>
        <v>344.82</v>
      </c>
      <c r="AG175">
        <v>401.84</v>
      </c>
      <c r="AH175">
        <v>458.86</v>
      </c>
      <c r="AI175">
        <v>515.88</v>
      </c>
      <c r="AJ175">
        <v>572.9</v>
      </c>
      <c r="AK175">
        <v>629.91999999999996</v>
      </c>
      <c r="AL175">
        <v>686.94</v>
      </c>
      <c r="AM175">
        <v>743.96</v>
      </c>
      <c r="AN175">
        <v>800.98</v>
      </c>
      <c r="AO175">
        <v>858</v>
      </c>
      <c r="AP175">
        <v>3.4081300000000002E-2</v>
      </c>
      <c r="AQ175">
        <v>2.8507389999999999</v>
      </c>
      <c r="AR175">
        <v>64.462670000000003</v>
      </c>
      <c r="AS175">
        <v>631.44870000000003</v>
      </c>
      <c r="AT175">
        <v>3538.893</v>
      </c>
      <c r="AU175">
        <v>13493.57</v>
      </c>
      <c r="AV175">
        <v>39178.019999999997</v>
      </c>
      <c r="AW175">
        <v>93479.05</v>
      </c>
      <c r="AX175">
        <v>193440</v>
      </c>
      <c r="AY175">
        <v>361654</v>
      </c>
      <c r="AZ175" s="2">
        <v>6.5340499999999997</v>
      </c>
      <c r="BA175" s="2">
        <v>101330</v>
      </c>
      <c r="BG175">
        <v>476.678</v>
      </c>
      <c r="BH175" s="2">
        <f t="shared" si="14"/>
        <v>749.82799999999997</v>
      </c>
      <c r="BJ175" s="2">
        <f t="shared" si="15"/>
        <v>6.5340500000000002E-5</v>
      </c>
      <c r="BK175" s="2" t="s">
        <v>497</v>
      </c>
    </row>
    <row r="176" spans="1:63" x14ac:dyDescent="0.3">
      <c r="A176" s="6">
        <v>175</v>
      </c>
      <c r="B176" s="1" t="s">
        <v>498</v>
      </c>
      <c r="C176" s="1" t="s">
        <v>499</v>
      </c>
      <c r="D176" s="1" t="s">
        <v>500</v>
      </c>
      <c r="E176" s="2">
        <v>480.49063130000002</v>
      </c>
      <c r="F176" s="2">
        <v>795.07299999999998</v>
      </c>
      <c r="G176" s="2">
        <v>894</v>
      </c>
      <c r="H176" s="1">
        <v>298.14999999999998</v>
      </c>
      <c r="I176" s="6">
        <f t="shared" si="13"/>
        <v>447</v>
      </c>
      <c r="J176">
        <v>0</v>
      </c>
      <c r="K176" s="2">
        <v>32</v>
      </c>
      <c r="L176" s="2" t="s">
        <v>840</v>
      </c>
      <c r="M176">
        <v>1</v>
      </c>
      <c r="N176">
        <v>30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>
        <v>369.12</v>
      </c>
      <c r="AG176">
        <v>420.77330000000001</v>
      </c>
      <c r="AH176">
        <v>472.42669999999998</v>
      </c>
      <c r="AI176">
        <v>524.08000000000004</v>
      </c>
      <c r="AJ176">
        <v>575.73329999999999</v>
      </c>
      <c r="AK176">
        <v>627.38670000000002</v>
      </c>
      <c r="AL176">
        <v>679.04</v>
      </c>
      <c r="AM176">
        <v>730.69330000000002</v>
      </c>
      <c r="AN176">
        <v>782.34670000000006</v>
      </c>
      <c r="AO176">
        <v>834</v>
      </c>
      <c r="AP176">
        <v>0.23199020000000001</v>
      </c>
      <c r="AQ176">
        <v>6.520886</v>
      </c>
      <c r="AR176">
        <v>77.61403</v>
      </c>
      <c r="AS176">
        <v>515.36469999999997</v>
      </c>
      <c r="AT176">
        <v>2271.7020000000002</v>
      </c>
      <c r="AU176">
        <v>7452.509</v>
      </c>
      <c r="AV176">
        <v>19666.89</v>
      </c>
      <c r="AW176">
        <v>44085.63</v>
      </c>
      <c r="AX176">
        <v>87300.32</v>
      </c>
      <c r="AY176">
        <v>157236</v>
      </c>
      <c r="AZ176" s="2">
        <v>2.84856</v>
      </c>
      <c r="BA176" s="2">
        <v>101714</v>
      </c>
      <c r="BG176">
        <v>521.923</v>
      </c>
      <c r="BH176" s="2">
        <f t="shared" si="14"/>
        <v>795.07299999999998</v>
      </c>
      <c r="BJ176" s="2">
        <f t="shared" si="15"/>
        <v>2.84856E-5</v>
      </c>
      <c r="BK176" s="2" t="s">
        <v>500</v>
      </c>
    </row>
    <row r="177" spans="1:63" x14ac:dyDescent="0.3">
      <c r="A177" s="6">
        <v>176</v>
      </c>
      <c r="B177" s="1" t="s">
        <v>501</v>
      </c>
      <c r="C177" s="1" t="s">
        <v>502</v>
      </c>
      <c r="D177" s="1" t="s">
        <v>503</v>
      </c>
      <c r="E177" s="2">
        <v>494.50628139999998</v>
      </c>
      <c r="F177" s="2">
        <v>806.38299999999992</v>
      </c>
      <c r="G177" s="2">
        <v>940</v>
      </c>
      <c r="H177" s="1">
        <v>298.14999999999998</v>
      </c>
      <c r="I177" s="6">
        <f t="shared" si="13"/>
        <v>470</v>
      </c>
      <c r="J177">
        <v>0</v>
      </c>
      <c r="K177" s="2">
        <v>33</v>
      </c>
      <c r="L177" s="2" t="s">
        <v>841</v>
      </c>
      <c r="M177">
        <v>1</v>
      </c>
      <c r="N177">
        <v>31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>
        <v>348.02</v>
      </c>
      <c r="AG177">
        <v>407.12889999999999</v>
      </c>
      <c r="AH177">
        <v>466.23779999999999</v>
      </c>
      <c r="AI177">
        <v>525.34670000000006</v>
      </c>
      <c r="AJ177">
        <v>584.4556</v>
      </c>
      <c r="AK177">
        <v>643.56439999999998</v>
      </c>
      <c r="AL177">
        <v>702.67330000000004</v>
      </c>
      <c r="AM177">
        <v>761.78219999999999</v>
      </c>
      <c r="AN177">
        <v>820.89110000000005</v>
      </c>
      <c r="AO177">
        <v>880</v>
      </c>
      <c r="AP177" s="13">
        <v>1.3302700000000001E-5</v>
      </c>
      <c r="AQ177">
        <v>1.23319E-2</v>
      </c>
      <c r="AR177">
        <v>1.3989229999999999</v>
      </c>
      <c r="AS177">
        <v>41.739789999999999</v>
      </c>
      <c r="AT177">
        <v>513.06769999999995</v>
      </c>
      <c r="AU177">
        <v>3433.5509999999999</v>
      </c>
      <c r="AV177">
        <v>15001.51</v>
      </c>
      <c r="AW177">
        <v>48421.81</v>
      </c>
      <c r="AX177">
        <v>126154</v>
      </c>
      <c r="AY177">
        <v>284189</v>
      </c>
      <c r="AZ177" s="2">
        <v>5.99824</v>
      </c>
      <c r="BA177" s="2">
        <v>101330</v>
      </c>
      <c r="BG177">
        <v>533.23299999999995</v>
      </c>
      <c r="BH177" s="2">
        <f t="shared" si="14"/>
        <v>806.38299999999992</v>
      </c>
      <c r="BJ177" s="2">
        <f t="shared" si="15"/>
        <v>5.9982399999999997E-5</v>
      </c>
      <c r="BK177" s="2" t="s">
        <v>503</v>
      </c>
    </row>
    <row r="178" spans="1:63" x14ac:dyDescent="0.3">
      <c r="A178" s="6">
        <v>177</v>
      </c>
      <c r="B178" s="1" t="s">
        <v>504</v>
      </c>
      <c r="C178" s="1" t="s">
        <v>505</v>
      </c>
      <c r="D178" s="1" t="s">
        <v>506</v>
      </c>
      <c r="E178" s="2">
        <v>508.52193140000003</v>
      </c>
      <c r="F178" s="2">
        <v>811.47399999999993</v>
      </c>
      <c r="G178" s="2">
        <v>903</v>
      </c>
      <c r="H178" s="1">
        <v>298.14999999999998</v>
      </c>
      <c r="I178" s="6">
        <f t="shared" si="13"/>
        <v>451.5</v>
      </c>
      <c r="J178">
        <v>0</v>
      </c>
      <c r="K178" s="2">
        <v>34</v>
      </c>
      <c r="L178" s="2" t="s">
        <v>842</v>
      </c>
      <c r="M178">
        <v>1</v>
      </c>
      <c r="N178">
        <v>32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>
        <v>371.1</v>
      </c>
      <c r="AG178">
        <v>423.5333</v>
      </c>
      <c r="AH178">
        <v>475.9667</v>
      </c>
      <c r="AI178">
        <v>528.4</v>
      </c>
      <c r="AJ178">
        <v>580.83330000000001</v>
      </c>
      <c r="AK178">
        <v>633.26670000000001</v>
      </c>
      <c r="AL178">
        <v>685.7</v>
      </c>
      <c r="AM178">
        <v>738.13329999999996</v>
      </c>
      <c r="AN178">
        <v>790.56669999999997</v>
      </c>
      <c r="AO178">
        <v>843</v>
      </c>
      <c r="AP178">
        <v>0.42488670000000001</v>
      </c>
      <c r="AQ178">
        <v>9.8384420000000006</v>
      </c>
      <c r="AR178">
        <v>101.7131</v>
      </c>
      <c r="AS178">
        <v>608.57429999999999</v>
      </c>
      <c r="AT178">
        <v>2480.875</v>
      </c>
      <c r="AU178">
        <v>7669.0519999999997</v>
      </c>
      <c r="AV178">
        <v>19332.27</v>
      </c>
      <c r="AW178">
        <v>41810.75</v>
      </c>
      <c r="AX178">
        <v>80464.570000000007</v>
      </c>
      <c r="AY178">
        <v>141568</v>
      </c>
      <c r="AZ178" s="2">
        <v>2.4859900000000001</v>
      </c>
      <c r="BA178" s="2">
        <v>101755</v>
      </c>
      <c r="BG178">
        <v>538.32399999999996</v>
      </c>
      <c r="BH178" s="2">
        <f t="shared" si="14"/>
        <v>811.47399999999993</v>
      </c>
      <c r="BJ178" s="2">
        <f t="shared" si="15"/>
        <v>2.4859900000000002E-5</v>
      </c>
      <c r="BK178" s="2" t="s">
        <v>506</v>
      </c>
    </row>
    <row r="179" spans="1:63" x14ac:dyDescent="0.3">
      <c r="A179" s="6">
        <v>178</v>
      </c>
      <c r="B179" s="1" t="s">
        <v>507</v>
      </c>
      <c r="C179" s="1" t="s">
        <v>508</v>
      </c>
      <c r="D179" s="1" t="s">
        <v>509</v>
      </c>
      <c r="E179" s="2">
        <v>424.46441650000003</v>
      </c>
      <c r="F179" s="2">
        <v>748.19499999999994</v>
      </c>
      <c r="G179" s="2">
        <v>916</v>
      </c>
      <c r="H179" s="1">
        <v>298.14999999999998</v>
      </c>
      <c r="I179" s="6">
        <f t="shared" si="13"/>
        <v>458</v>
      </c>
      <c r="J179">
        <v>0</v>
      </c>
      <c r="K179" s="2">
        <v>29</v>
      </c>
      <c r="L179" s="2" t="s">
        <v>843</v>
      </c>
      <c r="M179">
        <v>1</v>
      </c>
      <c r="N179">
        <v>28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>
        <v>357.72</v>
      </c>
      <c r="AG179">
        <v>413.08440000000002</v>
      </c>
      <c r="AH179">
        <v>468.44889999999998</v>
      </c>
      <c r="AI179">
        <v>523.81330000000003</v>
      </c>
      <c r="AJ179">
        <v>579.17780000000005</v>
      </c>
      <c r="AK179">
        <v>634.54219999999998</v>
      </c>
      <c r="AL179">
        <v>689.9067</v>
      </c>
      <c r="AM179">
        <v>745.27110000000005</v>
      </c>
      <c r="AN179">
        <v>800.63559999999995</v>
      </c>
      <c r="AO179">
        <v>856</v>
      </c>
      <c r="AP179">
        <v>3.1924099999999997E-2</v>
      </c>
      <c r="AQ179">
        <v>2.5230830000000002</v>
      </c>
      <c r="AR179">
        <v>57.39676</v>
      </c>
      <c r="AS179">
        <v>578.6454</v>
      </c>
      <c r="AT179">
        <v>3357.5949999999998</v>
      </c>
      <c r="AU179">
        <v>13241.76</v>
      </c>
      <c r="AV179">
        <v>39627.68</v>
      </c>
      <c r="AW179">
        <v>97072.76</v>
      </c>
      <c r="AX179">
        <v>205542</v>
      </c>
      <c r="AY179">
        <v>392347</v>
      </c>
      <c r="AZ179" s="2">
        <v>7.3740300000000003</v>
      </c>
      <c r="BA179" s="2">
        <v>101323</v>
      </c>
      <c r="BG179">
        <v>475.04500000000002</v>
      </c>
      <c r="BH179" s="2">
        <f t="shared" si="14"/>
        <v>748.19499999999994</v>
      </c>
      <c r="BJ179" s="2">
        <f t="shared" si="15"/>
        <v>7.3740300000000003E-5</v>
      </c>
      <c r="BK179" s="2" t="s">
        <v>509</v>
      </c>
    </row>
    <row r="180" spans="1:63" x14ac:dyDescent="0.3">
      <c r="A180" s="6">
        <v>179</v>
      </c>
      <c r="B180" s="1" t="s">
        <v>510</v>
      </c>
      <c r="C180" s="1" t="s">
        <v>511</v>
      </c>
      <c r="D180" s="1" t="s">
        <v>512</v>
      </c>
      <c r="E180" s="2">
        <v>452.4957167</v>
      </c>
      <c r="F180" s="2">
        <v>784.88300000000004</v>
      </c>
      <c r="G180" s="2">
        <v>926</v>
      </c>
      <c r="H180" s="1">
        <v>298.14999999999998</v>
      </c>
      <c r="I180" s="6">
        <f t="shared" si="13"/>
        <v>463</v>
      </c>
      <c r="J180">
        <v>0</v>
      </c>
      <c r="K180" s="2">
        <v>31</v>
      </c>
      <c r="L180" s="2" t="s">
        <v>844</v>
      </c>
      <c r="M180">
        <v>1</v>
      </c>
      <c r="N180">
        <v>30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>
        <v>359.77</v>
      </c>
      <c r="AG180">
        <v>416.01780000000002</v>
      </c>
      <c r="AH180">
        <v>472.26560000000001</v>
      </c>
      <c r="AI180">
        <v>528.51329999999996</v>
      </c>
      <c r="AJ180">
        <v>584.76110000000006</v>
      </c>
      <c r="AK180">
        <v>641.00890000000004</v>
      </c>
      <c r="AL180">
        <v>697.25670000000002</v>
      </c>
      <c r="AM180">
        <v>753.50440000000003</v>
      </c>
      <c r="AN180">
        <v>809.75220000000002</v>
      </c>
      <c r="AO180">
        <v>866</v>
      </c>
      <c r="AP180">
        <v>1.3156999999999999E-3</v>
      </c>
      <c r="AQ180">
        <v>0.25325950000000003</v>
      </c>
      <c r="AR180">
        <v>10.596869999999999</v>
      </c>
      <c r="AS180">
        <v>163.90780000000001</v>
      </c>
      <c r="AT180">
        <v>1291.9369999999999</v>
      </c>
      <c r="AU180">
        <v>6364.24</v>
      </c>
      <c r="AV180">
        <v>22433.73</v>
      </c>
      <c r="AW180">
        <v>62125.760000000002</v>
      </c>
      <c r="AX180">
        <v>144605</v>
      </c>
      <c r="AY180">
        <v>298212</v>
      </c>
      <c r="AZ180" s="2">
        <v>5.99254</v>
      </c>
      <c r="BA180" s="2">
        <v>101321</v>
      </c>
      <c r="BG180">
        <v>511.733</v>
      </c>
      <c r="BH180" s="2">
        <f t="shared" si="14"/>
        <v>784.88300000000004</v>
      </c>
      <c r="BJ180" s="2">
        <f t="shared" si="15"/>
        <v>5.9925400000000001E-5</v>
      </c>
      <c r="BK180" s="2" t="s">
        <v>512</v>
      </c>
    </row>
    <row r="181" spans="1:63" s="3" customFormat="1" x14ac:dyDescent="0.3">
      <c r="A181" s="6">
        <v>180</v>
      </c>
      <c r="B181" s="9" t="s">
        <v>513</v>
      </c>
      <c r="C181" s="9" t="s">
        <v>514</v>
      </c>
      <c r="D181" s="9" t="s">
        <v>515</v>
      </c>
      <c r="E181" s="3">
        <v>466.5113667</v>
      </c>
      <c r="F181" s="3">
        <v>775.149</v>
      </c>
      <c r="G181" s="3">
        <v>949</v>
      </c>
      <c r="H181" s="9">
        <v>298.14999999999998</v>
      </c>
      <c r="I181" s="22">
        <f t="shared" si="13"/>
        <v>474.5</v>
      </c>
      <c r="J181" s="23">
        <v>0</v>
      </c>
      <c r="K181" s="3">
        <v>32</v>
      </c>
      <c r="L181" s="24" t="s">
        <v>845</v>
      </c>
      <c r="M181" s="25">
        <v>1</v>
      </c>
      <c r="N181" s="25">
        <v>31</v>
      </c>
      <c r="O181" s="25">
        <v>0</v>
      </c>
      <c r="P181" s="25">
        <v>0</v>
      </c>
      <c r="Q181" s="25">
        <v>0</v>
      </c>
      <c r="R181" s="25">
        <v>0</v>
      </c>
      <c r="S181" s="25">
        <v>1</v>
      </c>
      <c r="T181" s="25">
        <v>0</v>
      </c>
      <c r="U181" s="25">
        <v>0</v>
      </c>
      <c r="V181" s="25">
        <v>0</v>
      </c>
      <c r="W181" s="22">
        <v>0</v>
      </c>
      <c r="X181" s="22">
        <v>0</v>
      </c>
      <c r="Y181" s="22">
        <v>0</v>
      </c>
      <c r="Z181" s="22">
        <v>0</v>
      </c>
      <c r="AA181" s="22">
        <v>0</v>
      </c>
      <c r="AB181" s="22">
        <v>0</v>
      </c>
      <c r="AC181" s="22">
        <v>0</v>
      </c>
      <c r="AD181" s="22">
        <v>0</v>
      </c>
      <c r="AE181" s="22">
        <v>0</v>
      </c>
      <c r="AF181">
        <v>358.32</v>
      </c>
      <c r="AG181">
        <v>417.28440000000001</v>
      </c>
      <c r="AH181">
        <v>476.24889999999999</v>
      </c>
      <c r="AI181">
        <v>535.2133</v>
      </c>
      <c r="AJ181">
        <v>594.17780000000005</v>
      </c>
      <c r="AK181">
        <v>653.1422</v>
      </c>
      <c r="AL181">
        <v>712.10670000000005</v>
      </c>
      <c r="AM181">
        <v>771.0711</v>
      </c>
      <c r="AN181">
        <v>830.03560000000004</v>
      </c>
      <c r="AO181">
        <v>889</v>
      </c>
      <c r="AP181">
        <v>4.5599500000000001E-2</v>
      </c>
      <c r="AQ181">
        <v>3.4829110000000001</v>
      </c>
      <c r="AR181">
        <v>74.225309999999993</v>
      </c>
      <c r="AS181">
        <v>698.40229999999997</v>
      </c>
      <c r="AT181">
        <v>3805.4870000000001</v>
      </c>
      <c r="AU181">
        <v>14220.54</v>
      </c>
      <c r="AV181">
        <v>40685.82</v>
      </c>
      <c r="AW181">
        <v>96023.360000000001</v>
      </c>
      <c r="AX181">
        <v>197082</v>
      </c>
      <c r="AY181">
        <v>366185</v>
      </c>
      <c r="AZ181" s="2">
        <v>6.4626000000000001</v>
      </c>
      <c r="BA181" s="2">
        <v>101322</v>
      </c>
      <c r="BG181" s="23">
        <v>501.99900000000002</v>
      </c>
      <c r="BH181" s="3">
        <f t="shared" si="14"/>
        <v>775.149</v>
      </c>
      <c r="BJ181" s="2">
        <f t="shared" si="15"/>
        <v>6.4626000000000001E-5</v>
      </c>
      <c r="BK181" s="3" t="s">
        <v>515</v>
      </c>
    </row>
    <row r="182" spans="1:63" x14ac:dyDescent="0.3">
      <c r="A182" s="6">
        <v>181</v>
      </c>
      <c r="B182" s="1" t="s">
        <v>516</v>
      </c>
      <c r="C182" s="1" t="s">
        <v>517</v>
      </c>
      <c r="D182" s="1" t="s">
        <v>518</v>
      </c>
      <c r="E182" s="2">
        <v>408.39673090000002</v>
      </c>
      <c r="F182" s="2">
        <v>706.53700000000003</v>
      </c>
      <c r="G182" s="2">
        <v>865</v>
      </c>
      <c r="H182" s="1">
        <v>298.14999999999998</v>
      </c>
      <c r="I182" s="6">
        <f t="shared" si="13"/>
        <v>432.5</v>
      </c>
      <c r="J182">
        <v>0</v>
      </c>
      <c r="K182" s="2">
        <v>27</v>
      </c>
      <c r="L182" s="2" t="s">
        <v>846</v>
      </c>
      <c r="M182">
        <v>2</v>
      </c>
      <c r="N182">
        <v>21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 s="6">
        <v>2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>
        <v>263.75</v>
      </c>
      <c r="AG182">
        <v>323.88889999999998</v>
      </c>
      <c r="AH182">
        <v>384.02780000000001</v>
      </c>
      <c r="AI182">
        <v>444.16669999999999</v>
      </c>
      <c r="AJ182">
        <v>504.30560000000003</v>
      </c>
      <c r="AK182">
        <v>564.44439999999997</v>
      </c>
      <c r="AL182">
        <v>624.58330000000001</v>
      </c>
      <c r="AM182">
        <v>684.72220000000004</v>
      </c>
      <c r="AN182">
        <v>744.86109999999996</v>
      </c>
      <c r="AO182">
        <v>805</v>
      </c>
      <c r="AP182" s="13">
        <v>4.8086900000000002E-7</v>
      </c>
      <c r="AQ182">
        <v>3.5104400000000001E-3</v>
      </c>
      <c r="AR182">
        <v>1.0105569999999999</v>
      </c>
      <c r="AS182">
        <v>46.170769999999997</v>
      </c>
      <c r="AT182">
        <v>685.32209999999998</v>
      </c>
      <c r="AU182">
        <v>4940.6909999999998</v>
      </c>
      <c r="AV182">
        <v>22011.11</v>
      </c>
      <c r="AW182">
        <v>70554.27</v>
      </c>
      <c r="AX182">
        <v>180068</v>
      </c>
      <c r="AY182">
        <v>393565</v>
      </c>
      <c r="AZ182" s="2">
        <v>7.8556100000000004</v>
      </c>
      <c r="BA182" s="2">
        <v>101325</v>
      </c>
      <c r="BG182">
        <v>433.387</v>
      </c>
      <c r="BH182" s="2">
        <f t="shared" si="14"/>
        <v>706.53700000000003</v>
      </c>
      <c r="BJ182" s="2">
        <f t="shared" si="15"/>
        <v>7.8556100000000005E-5</v>
      </c>
      <c r="BK182" s="2" t="s">
        <v>518</v>
      </c>
    </row>
    <row r="183" spans="1:63" x14ac:dyDescent="0.3">
      <c r="A183" s="6">
        <v>182</v>
      </c>
      <c r="B183" s="1" t="s">
        <v>519</v>
      </c>
      <c r="C183" s="1" t="s">
        <v>520</v>
      </c>
      <c r="D183" s="1" t="s">
        <v>521</v>
      </c>
      <c r="E183" s="2">
        <v>450.44368109999999</v>
      </c>
      <c r="F183" s="2">
        <v>735.94200000000001</v>
      </c>
      <c r="G183" s="2">
        <v>901</v>
      </c>
      <c r="H183" s="1">
        <v>298.14999999999998</v>
      </c>
      <c r="I183" s="6">
        <f t="shared" si="13"/>
        <v>450.5</v>
      </c>
      <c r="J183">
        <v>0</v>
      </c>
      <c r="K183" s="2">
        <v>30</v>
      </c>
      <c r="L183" s="2" t="s">
        <v>847</v>
      </c>
      <c r="M183">
        <v>2</v>
      </c>
      <c r="N183">
        <v>24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 s="6">
        <v>2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>
        <v>286.05</v>
      </c>
      <c r="AG183">
        <v>347.71109999999999</v>
      </c>
      <c r="AH183">
        <v>409.37220000000002</v>
      </c>
      <c r="AI183">
        <v>471.0333</v>
      </c>
      <c r="AJ183">
        <v>532.69439999999997</v>
      </c>
      <c r="AK183">
        <v>594.35559999999998</v>
      </c>
      <c r="AL183">
        <v>656.01670000000001</v>
      </c>
      <c r="AM183">
        <v>717.67780000000005</v>
      </c>
      <c r="AN183">
        <v>779.33889999999997</v>
      </c>
      <c r="AO183">
        <v>841</v>
      </c>
      <c r="AP183" s="13">
        <v>3.2492500000000001E-5</v>
      </c>
      <c r="AQ183">
        <v>4.5587700000000002E-2</v>
      </c>
      <c r="AR183">
        <v>5.0571029999999997</v>
      </c>
      <c r="AS183">
        <v>128.24610000000001</v>
      </c>
      <c r="AT183">
        <v>1301.73</v>
      </c>
      <c r="AU183">
        <v>7283.6319999999996</v>
      </c>
      <c r="AV183">
        <v>27283.279999999999</v>
      </c>
      <c r="AW183">
        <v>77446.92</v>
      </c>
      <c r="AX183">
        <v>181057</v>
      </c>
      <c r="AY183">
        <v>370241</v>
      </c>
      <c r="AZ183" s="2">
        <v>6.8805699999999996</v>
      </c>
      <c r="BA183" s="2">
        <v>101326</v>
      </c>
      <c r="BG183">
        <v>462.79199999999997</v>
      </c>
      <c r="BH183" s="2">
        <f t="shared" si="14"/>
        <v>735.94200000000001</v>
      </c>
      <c r="BJ183" s="2">
        <f t="shared" si="15"/>
        <v>6.8805699999999998E-5</v>
      </c>
      <c r="BK183" s="2" t="s">
        <v>521</v>
      </c>
    </row>
    <row r="184" spans="1:63" x14ac:dyDescent="0.3">
      <c r="A184" s="6">
        <v>183</v>
      </c>
      <c r="B184" s="1" t="s">
        <v>522</v>
      </c>
      <c r="C184" s="1" t="s">
        <v>523</v>
      </c>
      <c r="D184" s="1" t="s">
        <v>524</v>
      </c>
      <c r="E184" s="2">
        <v>422.41238099999998</v>
      </c>
      <c r="F184" s="2">
        <v>737.81</v>
      </c>
      <c r="G184" s="2">
        <v>878</v>
      </c>
      <c r="H184" s="1">
        <v>298.14999999999998</v>
      </c>
      <c r="I184" s="6">
        <f t="shared" si="13"/>
        <v>439</v>
      </c>
      <c r="J184">
        <v>0</v>
      </c>
      <c r="K184" s="2">
        <v>28</v>
      </c>
      <c r="L184" s="2" t="s">
        <v>848</v>
      </c>
      <c r="M184">
        <v>2</v>
      </c>
      <c r="N184">
        <v>22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 s="6">
        <v>2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>
        <v>275.95</v>
      </c>
      <c r="AG184">
        <v>336.17779999999999</v>
      </c>
      <c r="AH184">
        <v>396.40559999999999</v>
      </c>
      <c r="AI184">
        <v>456.63330000000002</v>
      </c>
      <c r="AJ184">
        <v>516.86109999999996</v>
      </c>
      <c r="AK184">
        <v>577.08889999999997</v>
      </c>
      <c r="AL184">
        <v>637.31669999999997</v>
      </c>
      <c r="AM184">
        <v>697.5444</v>
      </c>
      <c r="AN184">
        <v>757.7722</v>
      </c>
      <c r="AO184">
        <v>818</v>
      </c>
      <c r="AP184" s="13">
        <v>4.8851799999999999E-9</v>
      </c>
      <c r="AQ184">
        <v>1.3402999999999999E-4</v>
      </c>
      <c r="AR184">
        <v>0.10022399999999999</v>
      </c>
      <c r="AS184">
        <v>9.0876319999999993</v>
      </c>
      <c r="AT184">
        <v>220.13900000000001</v>
      </c>
      <c r="AU184">
        <v>2246.1880000000001</v>
      </c>
      <c r="AV184">
        <v>12777.2</v>
      </c>
      <c r="AW184">
        <v>48640.12</v>
      </c>
      <c r="AX184">
        <v>140603</v>
      </c>
      <c r="AY184">
        <v>339594</v>
      </c>
      <c r="AZ184" s="2">
        <v>7.5119300000000004</v>
      </c>
      <c r="BA184" s="2">
        <v>101325</v>
      </c>
      <c r="BG184">
        <v>464.66</v>
      </c>
      <c r="BH184" s="2">
        <f t="shared" si="14"/>
        <v>737.81</v>
      </c>
      <c r="BJ184" s="2">
        <f t="shared" si="15"/>
        <v>7.5119300000000004E-5</v>
      </c>
      <c r="BK184" s="2" t="s">
        <v>524</v>
      </c>
    </row>
    <row r="185" spans="1:63" x14ac:dyDescent="0.3">
      <c r="A185" s="6">
        <v>184</v>
      </c>
      <c r="B185" s="1" t="s">
        <v>525</v>
      </c>
      <c r="C185" s="1" t="s">
        <v>526</v>
      </c>
      <c r="D185" s="1" t="s">
        <v>527</v>
      </c>
      <c r="E185" s="2">
        <v>448.42803099999998</v>
      </c>
      <c r="F185" s="2">
        <v>720.84999999999991</v>
      </c>
      <c r="G185" s="2">
        <v>903</v>
      </c>
      <c r="H185" s="1">
        <v>298.14999999999998</v>
      </c>
      <c r="I185" s="6">
        <f t="shared" si="13"/>
        <v>451.5</v>
      </c>
      <c r="J185">
        <v>0</v>
      </c>
      <c r="K185" s="2">
        <v>30</v>
      </c>
      <c r="L185" s="2" t="s">
        <v>849</v>
      </c>
      <c r="M185">
        <v>2</v>
      </c>
      <c r="N185">
        <v>22</v>
      </c>
      <c r="O185">
        <v>0</v>
      </c>
      <c r="P185">
        <v>2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 s="6">
        <v>4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>
        <v>442.1</v>
      </c>
      <c r="AG185">
        <v>486.64440000000002</v>
      </c>
      <c r="AH185">
        <v>531.18889999999999</v>
      </c>
      <c r="AI185">
        <v>575.73329999999999</v>
      </c>
      <c r="AJ185">
        <v>620.27779999999996</v>
      </c>
      <c r="AK185">
        <v>664.82219999999995</v>
      </c>
      <c r="AL185">
        <v>709.36670000000004</v>
      </c>
      <c r="AM185">
        <v>753.91110000000003</v>
      </c>
      <c r="AN185">
        <v>798.4556</v>
      </c>
      <c r="AO185">
        <v>843</v>
      </c>
      <c r="AP185">
        <v>36.014000000000003</v>
      </c>
      <c r="AQ185">
        <v>284.29500000000002</v>
      </c>
      <c r="AR185">
        <v>1459.5730000000001</v>
      </c>
      <c r="AS185">
        <v>5458.6030000000001</v>
      </c>
      <c r="AT185">
        <v>16096.64</v>
      </c>
      <c r="AU185">
        <v>39613.9</v>
      </c>
      <c r="AV185">
        <v>84827.839999999997</v>
      </c>
      <c r="AW185">
        <v>163111</v>
      </c>
      <c r="AX185">
        <v>288659</v>
      </c>
      <c r="AY185">
        <v>479904</v>
      </c>
      <c r="AZ185" s="2">
        <v>8.9512499999999999</v>
      </c>
      <c r="BA185" s="2">
        <v>101330</v>
      </c>
      <c r="BG185">
        <v>447.7</v>
      </c>
      <c r="BH185" s="2">
        <f t="shared" si="14"/>
        <v>720.84999999999991</v>
      </c>
      <c r="BJ185" s="2">
        <f t="shared" si="15"/>
        <v>8.9512500000000001E-5</v>
      </c>
      <c r="BK185" s="2" t="s">
        <v>527</v>
      </c>
    </row>
    <row r="186" spans="1:63" x14ac:dyDescent="0.3">
      <c r="A186" s="6">
        <v>185</v>
      </c>
      <c r="B186" s="1" t="s">
        <v>528</v>
      </c>
      <c r="C186" s="1" t="s">
        <v>529</v>
      </c>
      <c r="D186" s="1" t="s">
        <v>530</v>
      </c>
      <c r="E186" s="2">
        <v>446.41238099999998</v>
      </c>
      <c r="F186" s="2">
        <v>750.8119999999999</v>
      </c>
      <c r="G186" s="2">
        <v>875</v>
      </c>
      <c r="H186" s="1">
        <v>298.14999999999998</v>
      </c>
      <c r="I186" s="6">
        <f t="shared" si="13"/>
        <v>437.5</v>
      </c>
      <c r="J186">
        <v>0</v>
      </c>
      <c r="K186" s="2">
        <v>30</v>
      </c>
      <c r="L186" s="2" t="s">
        <v>850</v>
      </c>
      <c r="M186">
        <v>2</v>
      </c>
      <c r="N186">
        <v>20</v>
      </c>
      <c r="O186">
        <v>0</v>
      </c>
      <c r="P186">
        <v>3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 s="6">
        <v>6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>
        <v>347.57</v>
      </c>
      <c r="AG186">
        <v>399.50670000000002</v>
      </c>
      <c r="AH186">
        <v>451.44330000000002</v>
      </c>
      <c r="AI186">
        <v>503.38</v>
      </c>
      <c r="AJ186">
        <v>555.31669999999997</v>
      </c>
      <c r="AK186">
        <v>607.25329999999997</v>
      </c>
      <c r="AL186">
        <v>659.19</v>
      </c>
      <c r="AM186">
        <v>711.12670000000003</v>
      </c>
      <c r="AN186">
        <v>763.06330000000003</v>
      </c>
      <c r="AO186">
        <v>815</v>
      </c>
      <c r="AP186" s="13">
        <v>2.2381399999999999E-5</v>
      </c>
      <c r="AQ186">
        <v>1.3060799999999999E-2</v>
      </c>
      <c r="AR186">
        <v>1.2421409999999999</v>
      </c>
      <c r="AS186">
        <v>35.386200000000002</v>
      </c>
      <c r="AT186">
        <v>439.91019999999997</v>
      </c>
      <c r="AU186">
        <v>3046.69</v>
      </c>
      <c r="AV186">
        <v>13868.28</v>
      </c>
      <c r="AW186">
        <v>46618.51</v>
      </c>
      <c r="AX186">
        <v>126151</v>
      </c>
      <c r="AY186">
        <v>294461</v>
      </c>
      <c r="AZ186" s="2">
        <v>7.1601800000000004</v>
      </c>
      <c r="BA186" s="2">
        <v>101329</v>
      </c>
      <c r="BG186">
        <v>477.66199999999998</v>
      </c>
      <c r="BH186" s="2">
        <f t="shared" si="14"/>
        <v>750.8119999999999</v>
      </c>
      <c r="BJ186" s="2">
        <f t="shared" si="15"/>
        <v>7.160180000000001E-5</v>
      </c>
      <c r="BK186" s="2" t="s">
        <v>530</v>
      </c>
    </row>
    <row r="187" spans="1:63" x14ac:dyDescent="0.3">
      <c r="A187" s="6">
        <v>186</v>
      </c>
      <c r="B187" s="1" t="s">
        <v>531</v>
      </c>
      <c r="C187" s="1" t="s">
        <v>415</v>
      </c>
      <c r="D187" s="1" t="s">
        <v>532</v>
      </c>
      <c r="E187" s="2">
        <v>286.21440940000002</v>
      </c>
      <c r="F187" s="2">
        <v>653.99900000000002</v>
      </c>
      <c r="G187" s="2">
        <v>792</v>
      </c>
      <c r="H187" s="1">
        <v>298.14999999999998</v>
      </c>
      <c r="I187" s="6">
        <f t="shared" si="13"/>
        <v>396</v>
      </c>
      <c r="J187">
        <v>0</v>
      </c>
      <c r="K187" s="2">
        <v>16</v>
      </c>
      <c r="L187" s="2" t="s">
        <v>851</v>
      </c>
      <c r="M187">
        <v>2</v>
      </c>
      <c r="N187">
        <v>10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</v>
      </c>
      <c r="V187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>
        <v>395.4</v>
      </c>
      <c r="AG187">
        <v>432.8</v>
      </c>
      <c r="AH187">
        <v>470.2</v>
      </c>
      <c r="AI187">
        <v>507.6</v>
      </c>
      <c r="AJ187">
        <v>545</v>
      </c>
      <c r="AK187">
        <v>582.4</v>
      </c>
      <c r="AL187">
        <v>619.79999999999995</v>
      </c>
      <c r="AM187">
        <v>657.2</v>
      </c>
      <c r="AN187">
        <v>694.6</v>
      </c>
      <c r="AO187">
        <v>732</v>
      </c>
      <c r="AP187">
        <v>0.46205439999999998</v>
      </c>
      <c r="AQ187">
        <v>10.159929999999999</v>
      </c>
      <c r="AR187">
        <v>116.828</v>
      </c>
      <c r="AS187">
        <v>825.96400000000006</v>
      </c>
      <c r="AT187">
        <v>4033.1689999999999</v>
      </c>
      <c r="AU187">
        <v>14819.95</v>
      </c>
      <c r="AV187">
        <v>43725.32</v>
      </c>
      <c r="AW187">
        <v>108952</v>
      </c>
      <c r="AX187">
        <v>238828</v>
      </c>
      <c r="AY187">
        <v>477064</v>
      </c>
      <c r="AZ187" s="2">
        <v>13.112500000000001</v>
      </c>
      <c r="BA187" s="2">
        <v>101322</v>
      </c>
      <c r="BG187">
        <v>380.84899999999999</v>
      </c>
      <c r="BH187" s="2">
        <f t="shared" si="14"/>
        <v>653.99900000000002</v>
      </c>
      <c r="BJ187" s="2">
        <f t="shared" si="15"/>
        <v>1.31125E-4</v>
      </c>
      <c r="BK187" s="2" t="s">
        <v>532</v>
      </c>
    </row>
    <row r="188" spans="1:63" x14ac:dyDescent="0.3">
      <c r="A188" s="6">
        <v>187</v>
      </c>
      <c r="B188" s="1" t="s">
        <v>533</v>
      </c>
      <c r="C188" s="1" t="s">
        <v>534</v>
      </c>
      <c r="D188" s="1" t="s">
        <v>535</v>
      </c>
      <c r="E188" s="2">
        <v>300.23005949999998</v>
      </c>
      <c r="F188" s="2">
        <v>615.58699999999999</v>
      </c>
      <c r="G188" s="2">
        <v>765</v>
      </c>
      <c r="H188" s="1">
        <v>298.14999999999998</v>
      </c>
      <c r="I188" s="6">
        <f t="shared" si="13"/>
        <v>382.5</v>
      </c>
      <c r="J188">
        <v>0</v>
      </c>
      <c r="K188" s="2">
        <v>17</v>
      </c>
      <c r="L188" s="2" t="s">
        <v>852</v>
      </c>
      <c r="M188">
        <v>2</v>
      </c>
      <c r="N188">
        <v>11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>
        <v>244.27</v>
      </c>
      <c r="AG188">
        <v>295.4622</v>
      </c>
      <c r="AH188">
        <v>346.65440000000001</v>
      </c>
      <c r="AI188">
        <v>397.8467</v>
      </c>
      <c r="AJ188">
        <v>449.03890000000001</v>
      </c>
      <c r="AK188">
        <v>500.23110000000003</v>
      </c>
      <c r="AL188">
        <v>551.42330000000004</v>
      </c>
      <c r="AM188">
        <v>602.61559999999997</v>
      </c>
      <c r="AN188">
        <v>653.80780000000004</v>
      </c>
      <c r="AO188">
        <v>705</v>
      </c>
      <c r="AP188" s="13">
        <v>5.9014500000000002E-8</v>
      </c>
      <c r="AQ188">
        <v>7.05344E-4</v>
      </c>
      <c r="AR188">
        <v>0.3234573</v>
      </c>
      <c r="AS188">
        <v>21.661339999999999</v>
      </c>
      <c r="AT188">
        <v>433.6934</v>
      </c>
      <c r="AU188">
        <v>3932.596</v>
      </c>
      <c r="AV188">
        <v>20852.240000000002</v>
      </c>
      <c r="AW188">
        <v>76280.850000000006</v>
      </c>
      <c r="AX188">
        <v>215468</v>
      </c>
      <c r="AY188">
        <v>510374</v>
      </c>
      <c r="AZ188" s="2">
        <v>12.391999999999999</v>
      </c>
      <c r="BA188" s="2">
        <v>101327</v>
      </c>
      <c r="BG188">
        <v>342.43700000000001</v>
      </c>
      <c r="BH188" s="2">
        <f t="shared" si="14"/>
        <v>615.58699999999999</v>
      </c>
      <c r="BJ188" s="2">
        <f t="shared" si="15"/>
        <v>1.2391999999999999E-4</v>
      </c>
      <c r="BK188" s="2" t="s">
        <v>535</v>
      </c>
    </row>
    <row r="189" spans="1:63" x14ac:dyDescent="0.3">
      <c r="A189" s="6">
        <v>188</v>
      </c>
      <c r="B189" s="1" t="s">
        <v>536</v>
      </c>
      <c r="C189" s="1" t="s">
        <v>537</v>
      </c>
      <c r="D189" s="1" t="s">
        <v>538</v>
      </c>
      <c r="E189" s="2">
        <v>314.2457096</v>
      </c>
      <c r="F189" s="2">
        <v>621.15</v>
      </c>
      <c r="G189" s="2">
        <v>767</v>
      </c>
      <c r="H189" s="1">
        <v>298.14999999999998</v>
      </c>
      <c r="I189" s="6">
        <f t="shared" si="13"/>
        <v>383.5</v>
      </c>
      <c r="J189">
        <v>0</v>
      </c>
      <c r="K189" s="2">
        <v>18</v>
      </c>
      <c r="L189" s="2" t="s">
        <v>853</v>
      </c>
      <c r="M189">
        <v>2</v>
      </c>
      <c r="N189">
        <v>12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>
        <v>259.35000000000002</v>
      </c>
      <c r="AG189">
        <v>309.08890000000002</v>
      </c>
      <c r="AH189">
        <v>358.82780000000002</v>
      </c>
      <c r="AI189">
        <v>408.56670000000003</v>
      </c>
      <c r="AJ189">
        <v>458.30560000000003</v>
      </c>
      <c r="AK189">
        <v>508.0444</v>
      </c>
      <c r="AL189">
        <v>557.78330000000005</v>
      </c>
      <c r="AM189">
        <v>607.5222</v>
      </c>
      <c r="AN189">
        <v>657.26110000000006</v>
      </c>
      <c r="AO189">
        <v>707</v>
      </c>
      <c r="AP189" s="13">
        <v>4.7650299999999999E-7</v>
      </c>
      <c r="AQ189">
        <v>1.7731999999999999E-3</v>
      </c>
      <c r="AR189">
        <v>0.47102830000000001</v>
      </c>
      <c r="AS189">
        <v>24.559989999999999</v>
      </c>
      <c r="AT189">
        <v>442.04860000000002</v>
      </c>
      <c r="AU189">
        <v>3858.7629999999999</v>
      </c>
      <c r="AV189">
        <v>20319.189999999999</v>
      </c>
      <c r="AW189">
        <v>74849.25</v>
      </c>
      <c r="AX189">
        <v>214537</v>
      </c>
      <c r="AY189">
        <v>518852</v>
      </c>
      <c r="AZ189" s="2">
        <v>13.176600000000001</v>
      </c>
      <c r="BA189" s="2">
        <v>102019</v>
      </c>
      <c r="BG189">
        <v>348</v>
      </c>
      <c r="BH189" s="2">
        <f t="shared" si="14"/>
        <v>621.15</v>
      </c>
      <c r="BJ189" s="2">
        <f t="shared" si="15"/>
        <v>1.3176600000000001E-4</v>
      </c>
      <c r="BK189" s="2" t="s">
        <v>538</v>
      </c>
    </row>
    <row r="190" spans="1:63" x14ac:dyDescent="0.3">
      <c r="A190" s="6">
        <v>189</v>
      </c>
      <c r="B190" s="1" t="s">
        <v>539</v>
      </c>
      <c r="C190" s="1" t="s">
        <v>540</v>
      </c>
      <c r="D190" s="1" t="s">
        <v>541</v>
      </c>
      <c r="E190" s="2">
        <v>342.27700970000001</v>
      </c>
      <c r="F190" s="2">
        <v>645.79</v>
      </c>
      <c r="G190" s="2">
        <v>800</v>
      </c>
      <c r="H190" s="1">
        <v>298.14999999999998</v>
      </c>
      <c r="I190" s="6">
        <f t="shared" si="13"/>
        <v>400</v>
      </c>
      <c r="J190">
        <v>0</v>
      </c>
      <c r="K190" s="2">
        <v>20</v>
      </c>
      <c r="L190" s="2" t="s">
        <v>854</v>
      </c>
      <c r="M190">
        <v>2</v>
      </c>
      <c r="N190">
        <v>14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>
        <v>259.35000000000002</v>
      </c>
      <c r="AG190">
        <v>312.75560000000002</v>
      </c>
      <c r="AH190">
        <v>366.16109999999998</v>
      </c>
      <c r="AI190">
        <v>419.56670000000003</v>
      </c>
      <c r="AJ190">
        <v>472.97219999999999</v>
      </c>
      <c r="AK190">
        <v>526.37779999999998</v>
      </c>
      <c r="AL190">
        <v>579.78330000000005</v>
      </c>
      <c r="AM190">
        <v>633.18889999999999</v>
      </c>
      <c r="AN190">
        <v>686.59439999999995</v>
      </c>
      <c r="AO190">
        <v>740</v>
      </c>
      <c r="AP190" s="13">
        <v>1.4016099999999999E-6</v>
      </c>
      <c r="AQ190">
        <v>5.3073599999999997E-3</v>
      </c>
      <c r="AR190">
        <v>1.1902999999999999</v>
      </c>
      <c r="AS190">
        <v>49.944000000000003</v>
      </c>
      <c r="AT190">
        <v>729.29060000000004</v>
      </c>
      <c r="AU190">
        <v>5318.3909999999996</v>
      </c>
      <c r="AV190">
        <v>24202.400000000001</v>
      </c>
      <c r="AW190">
        <v>79393</v>
      </c>
      <c r="AX190">
        <v>207114</v>
      </c>
      <c r="AY190">
        <v>461714</v>
      </c>
      <c r="AZ190" s="2">
        <v>10.215999999999999</v>
      </c>
      <c r="BA190" s="2">
        <v>101324</v>
      </c>
      <c r="BG190">
        <v>372.64</v>
      </c>
      <c r="BH190" s="2">
        <f t="shared" si="14"/>
        <v>645.79</v>
      </c>
      <c r="BJ190" s="2">
        <f t="shared" si="15"/>
        <v>1.0216E-4</v>
      </c>
      <c r="BK190" s="2" t="s">
        <v>541</v>
      </c>
    </row>
    <row r="191" spans="1:63" x14ac:dyDescent="0.3">
      <c r="A191" s="6">
        <v>190</v>
      </c>
      <c r="B191" s="1" t="s">
        <v>542</v>
      </c>
      <c r="C191" s="1" t="s">
        <v>543</v>
      </c>
      <c r="D191" s="1" t="s">
        <v>544</v>
      </c>
      <c r="E191" s="2">
        <v>314.2457096</v>
      </c>
      <c r="F191" s="2">
        <v>622.15</v>
      </c>
      <c r="G191" s="2">
        <v>768</v>
      </c>
      <c r="H191" s="1">
        <v>298.14999999999998</v>
      </c>
      <c r="I191" s="6">
        <f t="shared" si="13"/>
        <v>384</v>
      </c>
      <c r="J191">
        <v>0</v>
      </c>
      <c r="K191" s="2">
        <v>18</v>
      </c>
      <c r="L191" s="2" t="s">
        <v>855</v>
      </c>
      <c r="M191">
        <v>2</v>
      </c>
      <c r="N191">
        <v>12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>
        <v>263.95</v>
      </c>
      <c r="AG191">
        <v>313.28890000000001</v>
      </c>
      <c r="AH191">
        <v>362.62779999999998</v>
      </c>
      <c r="AI191">
        <v>411.9667</v>
      </c>
      <c r="AJ191">
        <v>461.30560000000003</v>
      </c>
      <c r="AK191">
        <v>510.64440000000002</v>
      </c>
      <c r="AL191">
        <v>559.98329999999999</v>
      </c>
      <c r="AM191">
        <v>609.32219999999995</v>
      </c>
      <c r="AN191">
        <v>658.66110000000003</v>
      </c>
      <c r="AO191">
        <v>708</v>
      </c>
      <c r="AP191" s="13">
        <v>2.8878000000000001E-6</v>
      </c>
      <c r="AQ191">
        <v>4.4534300000000004E-3</v>
      </c>
      <c r="AR191">
        <v>0.72922509999999996</v>
      </c>
      <c r="AS191">
        <v>29.27054</v>
      </c>
      <c r="AT191">
        <v>462.2364</v>
      </c>
      <c r="AU191">
        <v>3827.8829999999998</v>
      </c>
      <c r="AV191">
        <v>19998.47</v>
      </c>
      <c r="AW191">
        <v>74682.61</v>
      </c>
      <c r="AX191">
        <v>217748</v>
      </c>
      <c r="AY191">
        <v>529045</v>
      </c>
      <c r="AZ191" s="2">
        <v>13.087300000000001</v>
      </c>
      <c r="BA191" s="2">
        <v>100717</v>
      </c>
      <c r="BG191">
        <v>349</v>
      </c>
      <c r="BH191" s="2">
        <f t="shared" si="14"/>
        <v>622.15</v>
      </c>
      <c r="BJ191" s="2">
        <f t="shared" si="15"/>
        <v>1.3087300000000002E-4</v>
      </c>
      <c r="BK191" s="2" t="s">
        <v>544</v>
      </c>
    </row>
    <row r="192" spans="1:63" x14ac:dyDescent="0.3">
      <c r="A192" s="6">
        <v>191</v>
      </c>
      <c r="B192" s="1" t="s">
        <v>545</v>
      </c>
      <c r="C192" s="1" t="s">
        <v>546</v>
      </c>
      <c r="D192" s="1" t="s">
        <v>547</v>
      </c>
      <c r="E192" s="2">
        <v>342.27700970000001</v>
      </c>
      <c r="F192" s="2">
        <v>662.43299999999999</v>
      </c>
      <c r="G192" s="2">
        <v>800</v>
      </c>
      <c r="H192" s="1">
        <v>298.14999999999998</v>
      </c>
      <c r="I192" s="6">
        <f t="shared" si="13"/>
        <v>400</v>
      </c>
      <c r="J192">
        <v>0</v>
      </c>
      <c r="K192" s="2">
        <v>20</v>
      </c>
      <c r="L192" s="2" t="s">
        <v>856</v>
      </c>
      <c r="M192">
        <v>2</v>
      </c>
      <c r="N192">
        <v>14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>
        <v>263.95</v>
      </c>
      <c r="AG192">
        <v>316.84440000000001</v>
      </c>
      <c r="AH192">
        <v>369.7389</v>
      </c>
      <c r="AI192">
        <v>422.63330000000002</v>
      </c>
      <c r="AJ192">
        <v>475.52780000000001</v>
      </c>
      <c r="AK192">
        <v>528.42219999999998</v>
      </c>
      <c r="AL192">
        <v>581.31669999999997</v>
      </c>
      <c r="AM192">
        <v>634.21109999999999</v>
      </c>
      <c r="AN192">
        <v>687.10559999999998</v>
      </c>
      <c r="AO192">
        <v>740</v>
      </c>
      <c r="AP192" s="13">
        <v>2.2952300000000001E-7</v>
      </c>
      <c r="AQ192">
        <v>1.1171899999999999E-3</v>
      </c>
      <c r="AR192">
        <v>0.34053109999999998</v>
      </c>
      <c r="AS192">
        <v>18.911850000000001</v>
      </c>
      <c r="AT192">
        <v>346.97050000000002</v>
      </c>
      <c r="AU192">
        <v>3012.636</v>
      </c>
      <c r="AV192">
        <v>15610.73</v>
      </c>
      <c r="AW192">
        <v>56592.44</v>
      </c>
      <c r="AX192">
        <v>161281</v>
      </c>
      <c r="AY192">
        <v>397361</v>
      </c>
      <c r="AZ192" s="2">
        <v>10.616400000000001</v>
      </c>
      <c r="BA192" s="2">
        <v>101319</v>
      </c>
      <c r="BG192">
        <v>389.28300000000002</v>
      </c>
      <c r="BH192" s="2">
        <f t="shared" si="14"/>
        <v>662.43299999999999</v>
      </c>
      <c r="BJ192" s="2">
        <f t="shared" si="15"/>
        <v>1.0616400000000001E-4</v>
      </c>
      <c r="BK192" s="2" t="s">
        <v>547</v>
      </c>
    </row>
    <row r="193" spans="1:63" x14ac:dyDescent="0.3">
      <c r="A193" s="6">
        <v>192</v>
      </c>
      <c r="B193" s="1" t="s">
        <v>548</v>
      </c>
      <c r="C193" s="1" t="s">
        <v>549</v>
      </c>
      <c r="D193" s="1" t="s">
        <v>550</v>
      </c>
      <c r="E193" s="2">
        <v>356.29265980000002</v>
      </c>
      <c r="F193" s="2">
        <v>654.69299999999998</v>
      </c>
      <c r="G193" s="2">
        <v>792</v>
      </c>
      <c r="H193" s="1">
        <v>298.14999999999998</v>
      </c>
      <c r="I193" s="6">
        <f t="shared" si="13"/>
        <v>396</v>
      </c>
      <c r="J193">
        <v>0</v>
      </c>
      <c r="K193" s="2">
        <v>21</v>
      </c>
      <c r="L193" s="2" t="s">
        <v>857</v>
      </c>
      <c r="M193">
        <v>2</v>
      </c>
      <c r="N193">
        <v>15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>
        <v>263.95</v>
      </c>
      <c r="AG193">
        <v>315.9556</v>
      </c>
      <c r="AH193">
        <v>367.96109999999999</v>
      </c>
      <c r="AI193">
        <v>419.9667</v>
      </c>
      <c r="AJ193">
        <v>471.97219999999999</v>
      </c>
      <c r="AK193">
        <v>523.9778</v>
      </c>
      <c r="AL193">
        <v>575.98329999999999</v>
      </c>
      <c r="AM193">
        <v>627.98889999999994</v>
      </c>
      <c r="AN193">
        <v>679.99440000000004</v>
      </c>
      <c r="AO193">
        <v>732</v>
      </c>
      <c r="AP193" s="13">
        <v>5.4414900000000002E-8</v>
      </c>
      <c r="AQ193">
        <v>5.0718599999999996E-4</v>
      </c>
      <c r="AR193">
        <v>0.2169751</v>
      </c>
      <c r="AS193">
        <v>14.497350000000001</v>
      </c>
      <c r="AT193">
        <v>296.8272</v>
      </c>
      <c r="AU193">
        <v>2773.3879999999999</v>
      </c>
      <c r="AV193">
        <v>15163.65</v>
      </c>
      <c r="AW193">
        <v>57094.99</v>
      </c>
      <c r="AX193">
        <v>165601</v>
      </c>
      <c r="AY193">
        <v>402003</v>
      </c>
      <c r="AZ193" s="2">
        <v>9.9047499999999999</v>
      </c>
      <c r="BA193" s="2">
        <v>101332</v>
      </c>
      <c r="BG193">
        <v>381.54300000000001</v>
      </c>
      <c r="BH193" s="2">
        <f t="shared" si="14"/>
        <v>654.69299999999998</v>
      </c>
      <c r="BJ193" s="2">
        <f t="shared" si="15"/>
        <v>9.9047499999999997E-5</v>
      </c>
      <c r="BK193" s="2" t="s">
        <v>550</v>
      </c>
    </row>
    <row r="194" spans="1:63" x14ac:dyDescent="0.3">
      <c r="A194" s="6">
        <v>193</v>
      </c>
      <c r="B194" s="1" t="s">
        <v>551</v>
      </c>
      <c r="C194" s="1" t="s">
        <v>552</v>
      </c>
      <c r="D194" s="1" t="s">
        <v>553</v>
      </c>
      <c r="E194" s="2">
        <v>370.30830980000002</v>
      </c>
      <c r="F194" s="2">
        <v>673.601</v>
      </c>
      <c r="G194" s="2">
        <v>825</v>
      </c>
      <c r="H194" s="1">
        <v>298.14999999999998</v>
      </c>
      <c r="I194" s="6">
        <f t="shared" si="13"/>
        <v>412.5</v>
      </c>
      <c r="J194">
        <v>0</v>
      </c>
      <c r="K194" s="2">
        <v>22</v>
      </c>
      <c r="L194" s="2" t="s">
        <v>858</v>
      </c>
      <c r="M194">
        <v>2</v>
      </c>
      <c r="N194">
        <v>16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>
        <v>263.95</v>
      </c>
      <c r="AG194">
        <v>319.62220000000002</v>
      </c>
      <c r="AH194">
        <v>375.2944</v>
      </c>
      <c r="AI194">
        <v>430.9667</v>
      </c>
      <c r="AJ194">
        <v>486.63889999999998</v>
      </c>
      <c r="AK194">
        <v>542.31110000000001</v>
      </c>
      <c r="AL194">
        <v>597.98329999999999</v>
      </c>
      <c r="AM194">
        <v>653.65560000000005</v>
      </c>
      <c r="AN194">
        <v>709.32780000000002</v>
      </c>
      <c r="AO194">
        <v>765</v>
      </c>
      <c r="AP194" s="13">
        <v>1.5468500000000001E-7</v>
      </c>
      <c r="AQ194">
        <v>1.3115799999999999E-3</v>
      </c>
      <c r="AR194">
        <v>0.47480129999999998</v>
      </c>
      <c r="AS194">
        <v>26.911180000000002</v>
      </c>
      <c r="AT194">
        <v>478.05020000000002</v>
      </c>
      <c r="AU194">
        <v>3974.5659999999998</v>
      </c>
      <c r="AV194">
        <v>19779.810000000001</v>
      </c>
      <c r="AW194">
        <v>69059.570000000007</v>
      </c>
      <c r="AX194">
        <v>188442</v>
      </c>
      <c r="AY194">
        <v>434988</v>
      </c>
      <c r="AZ194" s="2">
        <v>9.6609599999999993</v>
      </c>
      <c r="BA194" s="2">
        <v>101330</v>
      </c>
      <c r="BG194">
        <v>400.45100000000002</v>
      </c>
      <c r="BH194" s="2">
        <f t="shared" si="14"/>
        <v>673.601</v>
      </c>
      <c r="BJ194" s="2">
        <f t="shared" si="15"/>
        <v>9.6609599999999997E-5</v>
      </c>
      <c r="BK194" s="2" t="s">
        <v>553</v>
      </c>
    </row>
    <row r="195" spans="1:63" x14ac:dyDescent="0.3">
      <c r="A195" s="6">
        <v>194</v>
      </c>
      <c r="B195" s="1" t="s">
        <v>554</v>
      </c>
      <c r="C195" s="1" t="s">
        <v>555</v>
      </c>
      <c r="D195" s="1" t="s">
        <v>556</v>
      </c>
      <c r="E195" s="2">
        <v>352.40690169999999</v>
      </c>
      <c r="F195" s="2">
        <v>676.5</v>
      </c>
      <c r="G195" s="2">
        <v>817.8</v>
      </c>
      <c r="H195" s="1">
        <v>298.14999999999998</v>
      </c>
      <c r="I195" s="6">
        <f t="shared" si="13"/>
        <v>408.9</v>
      </c>
      <c r="J195">
        <v>0</v>
      </c>
      <c r="K195" s="2">
        <v>25</v>
      </c>
      <c r="L195" s="2" t="s">
        <v>859</v>
      </c>
      <c r="M195">
        <v>2</v>
      </c>
      <c r="N195">
        <v>23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>
        <v>326.64999999999998</v>
      </c>
      <c r="AG195">
        <v>374.55560000000003</v>
      </c>
      <c r="AH195">
        <v>422.46109999999999</v>
      </c>
      <c r="AI195">
        <v>470.36669999999998</v>
      </c>
      <c r="AJ195">
        <v>518.2722</v>
      </c>
      <c r="AK195">
        <v>566.17780000000005</v>
      </c>
      <c r="AL195">
        <v>614.08330000000001</v>
      </c>
      <c r="AM195">
        <v>661.98889999999994</v>
      </c>
      <c r="AN195">
        <v>709.89440000000002</v>
      </c>
      <c r="AO195">
        <v>757.8</v>
      </c>
      <c r="AP195" s="13">
        <v>4.7291500000000002E-4</v>
      </c>
      <c r="AQ195">
        <v>0.1449917</v>
      </c>
      <c r="AR195">
        <v>8.3148280000000003</v>
      </c>
      <c r="AS195">
        <v>157.7758</v>
      </c>
      <c r="AT195">
        <v>1409.617</v>
      </c>
      <c r="AU195">
        <v>7457.8389999999999</v>
      </c>
      <c r="AV195">
        <v>27290.01</v>
      </c>
      <c r="AW195">
        <v>77008.92</v>
      </c>
      <c r="AX195">
        <v>181287</v>
      </c>
      <c r="AY195">
        <v>377407</v>
      </c>
      <c r="AZ195" s="2">
        <v>8.4985099999999996</v>
      </c>
      <c r="BA195" s="2">
        <v>101433</v>
      </c>
      <c r="BG195">
        <v>403.35</v>
      </c>
      <c r="BH195" s="2">
        <f t="shared" si="14"/>
        <v>676.5</v>
      </c>
      <c r="BJ195" s="2">
        <f t="shared" si="15"/>
        <v>8.4985099999999994E-5</v>
      </c>
      <c r="BK195" s="2" t="s">
        <v>556</v>
      </c>
    </row>
    <row r="196" spans="1:63" x14ac:dyDescent="0.3">
      <c r="A196" s="6">
        <v>195</v>
      </c>
      <c r="B196" s="1" t="s">
        <v>557</v>
      </c>
      <c r="C196" s="1" t="s">
        <v>558</v>
      </c>
      <c r="D196" s="1" t="s">
        <v>559</v>
      </c>
      <c r="E196" s="2">
        <v>366.42255169999999</v>
      </c>
      <c r="F196" s="2">
        <v>686.8</v>
      </c>
      <c r="G196" s="2">
        <v>825.9</v>
      </c>
      <c r="H196" s="1">
        <v>298.14999999999998</v>
      </c>
      <c r="I196" s="6">
        <f t="shared" si="13"/>
        <v>412.95</v>
      </c>
      <c r="J196">
        <v>0</v>
      </c>
      <c r="K196" s="2">
        <v>26</v>
      </c>
      <c r="L196" s="2" t="s">
        <v>860</v>
      </c>
      <c r="M196">
        <v>2</v>
      </c>
      <c r="N196">
        <v>24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>
        <v>329.25</v>
      </c>
      <c r="AG196">
        <v>377.76670000000001</v>
      </c>
      <c r="AH196">
        <v>426.2833</v>
      </c>
      <c r="AI196">
        <v>474.8</v>
      </c>
      <c r="AJ196">
        <v>523.31669999999997</v>
      </c>
      <c r="AK196">
        <v>571.83330000000001</v>
      </c>
      <c r="AL196">
        <v>620.35</v>
      </c>
      <c r="AM196">
        <v>668.86670000000004</v>
      </c>
      <c r="AN196">
        <v>717.38329999999996</v>
      </c>
      <c r="AO196">
        <v>765.9</v>
      </c>
      <c r="AP196">
        <v>2.9445600000000001E-4</v>
      </c>
      <c r="AQ196">
        <v>0.10414</v>
      </c>
      <c r="AR196">
        <v>6.5560090000000004</v>
      </c>
      <c r="AS196">
        <v>132.4298</v>
      </c>
      <c r="AT196">
        <v>1234.826</v>
      </c>
      <c r="AU196">
        <v>6729.8620000000001</v>
      </c>
      <c r="AV196">
        <v>25148.37</v>
      </c>
      <c r="AW196">
        <v>72054.19</v>
      </c>
      <c r="AX196">
        <v>171588</v>
      </c>
      <c r="AY196">
        <v>360545</v>
      </c>
      <c r="AZ196" s="2">
        <v>8.1207399999999996</v>
      </c>
      <c r="BA196" s="2">
        <v>101102</v>
      </c>
      <c r="BG196">
        <v>413.65</v>
      </c>
      <c r="BH196" s="2">
        <f t="shared" si="14"/>
        <v>686.8</v>
      </c>
      <c r="BJ196" s="2">
        <f t="shared" si="15"/>
        <v>8.1207399999999998E-5</v>
      </c>
      <c r="BK196" s="2" t="s">
        <v>559</v>
      </c>
    </row>
    <row r="197" spans="1:63" x14ac:dyDescent="0.3">
      <c r="A197" s="6">
        <v>196</v>
      </c>
      <c r="B197" s="1" t="s">
        <v>560</v>
      </c>
      <c r="C197" s="1" t="s">
        <v>561</v>
      </c>
      <c r="D197" s="1" t="s">
        <v>562</v>
      </c>
      <c r="E197" s="2">
        <v>380.4382018</v>
      </c>
      <c r="F197" s="2">
        <v>696.8</v>
      </c>
      <c r="G197" s="2">
        <v>833.69999999999993</v>
      </c>
      <c r="H197" s="1">
        <v>298.14999999999998</v>
      </c>
      <c r="I197" s="6">
        <f t="shared" si="13"/>
        <v>416.84999999999997</v>
      </c>
      <c r="J197">
        <v>0</v>
      </c>
      <c r="K197" s="2">
        <v>27</v>
      </c>
      <c r="L197" s="2" t="s">
        <v>861</v>
      </c>
      <c r="M197">
        <v>2</v>
      </c>
      <c r="N197">
        <v>25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2">
        <v>332.15</v>
      </c>
      <c r="AG197">
        <v>381.21109999999999</v>
      </c>
      <c r="AH197">
        <v>430.2722</v>
      </c>
      <c r="AI197">
        <v>479.33330000000001</v>
      </c>
      <c r="AJ197">
        <v>528.39440000000002</v>
      </c>
      <c r="AK197">
        <v>577.4556</v>
      </c>
      <c r="AL197">
        <v>626.51670000000001</v>
      </c>
      <c r="AM197">
        <v>675.57780000000002</v>
      </c>
      <c r="AN197">
        <v>724.63890000000004</v>
      </c>
      <c r="AO197">
        <v>773.7</v>
      </c>
      <c r="AP197">
        <v>1.65174E-4</v>
      </c>
      <c r="AQ197">
        <v>7.0233500000000004E-2</v>
      </c>
      <c r="AR197">
        <v>4.9894210000000001</v>
      </c>
      <c r="AS197">
        <v>109.2462</v>
      </c>
      <c r="AT197">
        <v>1075.415</v>
      </c>
      <c r="AU197">
        <v>6079.4949999999999</v>
      </c>
      <c r="AV197">
        <v>23286.97</v>
      </c>
      <c r="AW197">
        <v>67854.11</v>
      </c>
      <c r="AX197">
        <v>163496</v>
      </c>
      <c r="AY197">
        <v>346549</v>
      </c>
      <c r="AZ197" s="2">
        <v>7.8065699999999998</v>
      </c>
      <c r="BA197" s="2">
        <v>101197</v>
      </c>
      <c r="BG197">
        <v>423.65</v>
      </c>
      <c r="BH197" s="2">
        <f t="shared" si="14"/>
        <v>696.8</v>
      </c>
      <c r="BJ197" s="2">
        <f t="shared" si="15"/>
        <v>7.80657E-5</v>
      </c>
      <c r="BK197" s="2" t="s">
        <v>562</v>
      </c>
    </row>
    <row r="198" spans="1:63" x14ac:dyDescent="0.3">
      <c r="A198" s="6">
        <v>197</v>
      </c>
      <c r="B198" s="1" t="s">
        <v>563</v>
      </c>
      <c r="C198" s="1" t="s">
        <v>564</v>
      </c>
      <c r="D198" s="1" t="s">
        <v>565</v>
      </c>
      <c r="E198" s="2">
        <v>394.45385190000002</v>
      </c>
      <c r="F198" s="2">
        <v>706.3</v>
      </c>
      <c r="G198" s="2">
        <v>841.1</v>
      </c>
      <c r="H198" s="1">
        <v>298.14999999999998</v>
      </c>
      <c r="I198" s="6">
        <f t="shared" si="13"/>
        <v>420.55</v>
      </c>
      <c r="J198">
        <v>0</v>
      </c>
      <c r="K198" s="2">
        <v>28</v>
      </c>
      <c r="L198" s="2" t="s">
        <v>862</v>
      </c>
      <c r="M198">
        <v>2</v>
      </c>
      <c r="N198">
        <v>26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2">
        <v>334.35</v>
      </c>
      <c r="AG198">
        <v>383.9889</v>
      </c>
      <c r="AH198">
        <v>433.62779999999998</v>
      </c>
      <c r="AI198">
        <v>483.26670000000001</v>
      </c>
      <c r="AJ198">
        <v>532.90560000000005</v>
      </c>
      <c r="AK198">
        <v>582.5444</v>
      </c>
      <c r="AL198">
        <v>632.18330000000003</v>
      </c>
      <c r="AM198">
        <v>681.82219999999995</v>
      </c>
      <c r="AN198">
        <v>731.46109999999999</v>
      </c>
      <c r="AO198">
        <v>781.1</v>
      </c>
      <c r="AP198" s="13">
        <v>7.6761099999999999E-5</v>
      </c>
      <c r="AQ198">
        <v>3.8709399999999998E-2</v>
      </c>
      <c r="AR198">
        <v>3.1877179999999998</v>
      </c>
      <c r="AS198">
        <v>78.95702</v>
      </c>
      <c r="AT198">
        <v>858.03359999999998</v>
      </c>
      <c r="AU198">
        <v>5231.509</v>
      </c>
      <c r="AV198">
        <v>21158.69</v>
      </c>
      <c r="AW198">
        <v>63911.32</v>
      </c>
      <c r="AX198">
        <v>157274</v>
      </c>
      <c r="AY198">
        <v>336786</v>
      </c>
      <c r="AZ198" s="2">
        <v>7.55314</v>
      </c>
      <c r="BA198" s="2">
        <v>101764</v>
      </c>
      <c r="BG198">
        <v>433.15</v>
      </c>
      <c r="BH198" s="2">
        <f t="shared" si="14"/>
        <v>706.3</v>
      </c>
      <c r="BJ198" s="2">
        <f t="shared" si="15"/>
        <v>7.5531399999999993E-5</v>
      </c>
      <c r="BK198" s="2" t="s">
        <v>565</v>
      </c>
    </row>
    <row r="199" spans="1:63" x14ac:dyDescent="0.3">
      <c r="A199" s="6">
        <v>198</v>
      </c>
      <c r="B199" s="1" t="s">
        <v>566</v>
      </c>
      <c r="C199" s="1" t="s">
        <v>567</v>
      </c>
      <c r="D199" s="1" t="s">
        <v>568</v>
      </c>
      <c r="E199" s="2">
        <v>408.46950190000001</v>
      </c>
      <c r="F199" s="2">
        <v>715.59999999999991</v>
      </c>
      <c r="G199" s="2">
        <v>848.3</v>
      </c>
      <c r="H199" s="1">
        <v>298.14999999999998</v>
      </c>
      <c r="I199" s="6">
        <f t="shared" si="13"/>
        <v>424.15</v>
      </c>
      <c r="J199">
        <v>0</v>
      </c>
      <c r="K199" s="2">
        <v>29</v>
      </c>
      <c r="L199" s="2" t="s">
        <v>863</v>
      </c>
      <c r="M199">
        <v>2</v>
      </c>
      <c r="N199">
        <v>27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>
        <v>336.85</v>
      </c>
      <c r="AG199">
        <v>387.0111</v>
      </c>
      <c r="AH199">
        <v>437.17219999999998</v>
      </c>
      <c r="AI199">
        <v>487.33330000000001</v>
      </c>
      <c r="AJ199">
        <v>537.49440000000004</v>
      </c>
      <c r="AK199">
        <v>587.65560000000005</v>
      </c>
      <c r="AL199">
        <v>637.81669999999997</v>
      </c>
      <c r="AM199">
        <v>687.9778</v>
      </c>
      <c r="AN199">
        <v>738.13890000000004</v>
      </c>
      <c r="AO199">
        <v>788.3</v>
      </c>
      <c r="AP199" s="13">
        <v>4.9449900000000002E-5</v>
      </c>
      <c r="AQ199">
        <v>2.84172E-2</v>
      </c>
      <c r="AR199">
        <v>2.5521419999999999</v>
      </c>
      <c r="AS199">
        <v>67.055350000000004</v>
      </c>
      <c r="AT199">
        <v>759.04269999999997</v>
      </c>
      <c r="AU199">
        <v>4762.1030000000001</v>
      </c>
      <c r="AV199">
        <v>19654.57</v>
      </c>
      <c r="AW199">
        <v>60244.68</v>
      </c>
      <c r="AX199">
        <v>149887</v>
      </c>
      <c r="AY199">
        <v>323783</v>
      </c>
      <c r="AZ199" s="2">
        <v>7.2689500000000002</v>
      </c>
      <c r="BA199" s="2">
        <v>101640</v>
      </c>
      <c r="BG199">
        <v>442.45</v>
      </c>
      <c r="BH199" s="2">
        <f t="shared" si="14"/>
        <v>715.59999999999991</v>
      </c>
      <c r="BJ199" s="2">
        <f t="shared" si="15"/>
        <v>7.2689500000000003E-5</v>
      </c>
      <c r="BK199" s="2" t="s">
        <v>568</v>
      </c>
    </row>
    <row r="200" spans="1:63" x14ac:dyDescent="0.3">
      <c r="A200" s="6">
        <v>199</v>
      </c>
      <c r="B200" s="1" t="s">
        <v>569</v>
      </c>
      <c r="C200" s="1" t="s">
        <v>570</v>
      </c>
      <c r="D200" s="1" t="s">
        <v>571</v>
      </c>
      <c r="E200" s="2">
        <v>422.48515200000003</v>
      </c>
      <c r="F200" s="2">
        <v>724.4</v>
      </c>
      <c r="G200" s="2">
        <v>855.1</v>
      </c>
      <c r="H200" s="1">
        <v>298.14999999999998</v>
      </c>
      <c r="I200" s="6">
        <f t="shared" si="13"/>
        <v>427.55</v>
      </c>
      <c r="J200">
        <v>0</v>
      </c>
      <c r="K200" s="2">
        <v>30</v>
      </c>
      <c r="L200" s="2" t="s">
        <v>864</v>
      </c>
      <c r="M200">
        <v>2</v>
      </c>
      <c r="N200">
        <v>28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>
        <v>338.65</v>
      </c>
      <c r="AG200">
        <v>389.36669999999998</v>
      </c>
      <c r="AH200">
        <v>440.08330000000001</v>
      </c>
      <c r="AI200">
        <v>490.8</v>
      </c>
      <c r="AJ200">
        <v>541.51670000000001</v>
      </c>
      <c r="AK200">
        <v>592.23329999999999</v>
      </c>
      <c r="AL200">
        <v>642.95000000000005</v>
      </c>
      <c r="AM200">
        <v>693.66669999999999</v>
      </c>
      <c r="AN200">
        <v>744.38329999999996</v>
      </c>
      <c r="AO200">
        <v>795.1</v>
      </c>
      <c r="AP200" s="13">
        <v>2.55835E-5</v>
      </c>
      <c r="AQ200">
        <v>1.8234199999999999E-2</v>
      </c>
      <c r="AR200">
        <v>1.8837489999999999</v>
      </c>
      <c r="AS200">
        <v>54.315019999999997</v>
      </c>
      <c r="AT200">
        <v>654.37239999999997</v>
      </c>
      <c r="AU200">
        <v>4281.1750000000002</v>
      </c>
      <c r="AV200">
        <v>18174.189999999999</v>
      </c>
      <c r="AW200">
        <v>56771.39</v>
      </c>
      <c r="AX200">
        <v>143083</v>
      </c>
      <c r="AY200">
        <v>311972</v>
      </c>
      <c r="AZ200" s="2">
        <v>7.0063599999999999</v>
      </c>
      <c r="BA200" s="2">
        <v>101490</v>
      </c>
      <c r="BG200">
        <v>451.25</v>
      </c>
      <c r="BH200" s="2">
        <f t="shared" si="14"/>
        <v>724.4</v>
      </c>
      <c r="BJ200" s="2">
        <f t="shared" si="15"/>
        <v>7.0063599999999998E-5</v>
      </c>
      <c r="BK200" s="2" t="s">
        <v>571</v>
      </c>
    </row>
    <row r="201" spans="1:63" x14ac:dyDescent="0.3">
      <c r="A201" s="6">
        <v>200</v>
      </c>
      <c r="B201" s="1" t="s">
        <v>572</v>
      </c>
      <c r="C201" s="1" t="s">
        <v>573</v>
      </c>
      <c r="D201" s="1" t="s">
        <v>574</v>
      </c>
      <c r="E201" s="2">
        <v>182.20345080000001</v>
      </c>
      <c r="F201" s="2">
        <v>531.524</v>
      </c>
      <c r="G201" s="2">
        <v>729</v>
      </c>
      <c r="H201" s="1">
        <v>298.14999999999998</v>
      </c>
      <c r="I201" s="6">
        <f t="shared" si="13"/>
        <v>364.5</v>
      </c>
      <c r="J201">
        <v>0</v>
      </c>
      <c r="K201" s="2">
        <v>13</v>
      </c>
      <c r="L201" s="2" t="s">
        <v>865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13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2">
        <v>297.82</v>
      </c>
      <c r="AG201">
        <v>339.06220000000002</v>
      </c>
      <c r="AH201">
        <v>380.30439999999999</v>
      </c>
      <c r="AI201">
        <v>421.54669999999999</v>
      </c>
      <c r="AJ201">
        <v>462.78890000000001</v>
      </c>
      <c r="AK201">
        <v>504.03109999999998</v>
      </c>
      <c r="AL201">
        <v>545.27329999999995</v>
      </c>
      <c r="AM201">
        <v>586.51559999999995</v>
      </c>
      <c r="AN201">
        <v>627.75779999999997</v>
      </c>
      <c r="AO201">
        <v>669</v>
      </c>
      <c r="AP201">
        <v>2.284754</v>
      </c>
      <c r="AQ201">
        <v>60.247549999999997</v>
      </c>
      <c r="AR201">
        <v>667.89260000000002</v>
      </c>
      <c r="AS201">
        <v>4141.2870000000003</v>
      </c>
      <c r="AT201">
        <v>17173.73</v>
      </c>
      <c r="AU201">
        <v>53508.42</v>
      </c>
      <c r="AV201">
        <v>135442</v>
      </c>
      <c r="AW201">
        <v>293991</v>
      </c>
      <c r="AX201">
        <v>568766</v>
      </c>
      <c r="AY201">
        <v>1009530</v>
      </c>
      <c r="AZ201" s="2">
        <v>20.998200000000001</v>
      </c>
      <c r="BA201" s="2">
        <v>101321</v>
      </c>
      <c r="BG201">
        <v>258.37400000000002</v>
      </c>
      <c r="BH201" s="2">
        <f t="shared" si="14"/>
        <v>531.524</v>
      </c>
      <c r="BJ201" s="2">
        <f t="shared" si="15"/>
        <v>2.09982E-4</v>
      </c>
      <c r="BK201" s="2" t="s">
        <v>574</v>
      </c>
    </row>
    <row r="202" spans="1:63" x14ac:dyDescent="0.3">
      <c r="A202" s="6">
        <v>201</v>
      </c>
      <c r="B202" s="1" t="s">
        <v>575</v>
      </c>
      <c r="C202" s="1" t="s">
        <v>576</v>
      </c>
      <c r="D202" s="1" t="s">
        <v>577</v>
      </c>
      <c r="E202" s="2">
        <v>196.2191009</v>
      </c>
      <c r="F202" s="2">
        <v>549.12</v>
      </c>
      <c r="G202" s="2">
        <v>749</v>
      </c>
      <c r="H202" s="1">
        <v>298.14999999999998</v>
      </c>
      <c r="I202" s="6">
        <f t="shared" si="13"/>
        <v>374.5</v>
      </c>
      <c r="J202">
        <v>0</v>
      </c>
      <c r="K202" s="2">
        <v>14</v>
      </c>
      <c r="L202" s="2" t="s">
        <v>866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14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>
        <v>328.84</v>
      </c>
      <c r="AG202">
        <v>368.8578</v>
      </c>
      <c r="AH202">
        <v>408.87560000000002</v>
      </c>
      <c r="AI202">
        <v>448.89330000000001</v>
      </c>
      <c r="AJ202">
        <v>488.91109999999998</v>
      </c>
      <c r="AK202">
        <v>528.9289</v>
      </c>
      <c r="AL202">
        <v>568.94669999999996</v>
      </c>
      <c r="AM202">
        <v>608.96439999999996</v>
      </c>
      <c r="AN202">
        <v>648.98220000000003</v>
      </c>
      <c r="AO202">
        <v>689</v>
      </c>
      <c r="AP202">
        <v>15.88977</v>
      </c>
      <c r="AQ202">
        <v>209.20169999999999</v>
      </c>
      <c r="AR202">
        <v>1501.3979999999999</v>
      </c>
      <c r="AS202">
        <v>7016.7910000000002</v>
      </c>
      <c r="AT202">
        <v>24032.39</v>
      </c>
      <c r="AU202">
        <v>65433.81</v>
      </c>
      <c r="AV202">
        <v>150069</v>
      </c>
      <c r="AW202">
        <v>302520</v>
      </c>
      <c r="AX202">
        <v>553817</v>
      </c>
      <c r="AY202">
        <v>945696</v>
      </c>
      <c r="AZ202" s="2">
        <v>19.6675</v>
      </c>
      <c r="BA202" s="2">
        <v>101326</v>
      </c>
      <c r="BG202">
        <v>275.97000000000003</v>
      </c>
      <c r="BH202" s="2">
        <f t="shared" ref="BH202:BH233" si="16">BG202+273.15</f>
        <v>549.12</v>
      </c>
      <c r="BJ202" s="2">
        <f t="shared" si="15"/>
        <v>1.96675E-4</v>
      </c>
      <c r="BK202" s="2" t="s">
        <v>577</v>
      </c>
    </row>
    <row r="203" spans="1:63" x14ac:dyDescent="0.3">
      <c r="A203" s="6">
        <v>202</v>
      </c>
      <c r="B203" s="1" t="s">
        <v>578</v>
      </c>
      <c r="C203" s="1" t="s">
        <v>579</v>
      </c>
      <c r="D203" s="1" t="s">
        <v>580</v>
      </c>
      <c r="E203" s="2">
        <v>210.23475099999999</v>
      </c>
      <c r="F203" s="2">
        <v>554.85500000000002</v>
      </c>
      <c r="G203" s="2">
        <v>761</v>
      </c>
      <c r="H203" s="1">
        <v>298.14999999999998</v>
      </c>
      <c r="I203" s="6">
        <f t="shared" si="13"/>
        <v>380.5</v>
      </c>
      <c r="J203">
        <v>0</v>
      </c>
      <c r="K203" s="2">
        <v>15</v>
      </c>
      <c r="L203" s="2" t="s">
        <v>867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15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2">
        <v>337.11</v>
      </c>
      <c r="AG203">
        <v>377.54219999999998</v>
      </c>
      <c r="AH203">
        <v>417.9744</v>
      </c>
      <c r="AI203">
        <v>458.4067</v>
      </c>
      <c r="AJ203">
        <v>498.83890000000002</v>
      </c>
      <c r="AK203">
        <v>539.27110000000005</v>
      </c>
      <c r="AL203">
        <v>579.70330000000001</v>
      </c>
      <c r="AM203">
        <v>620.13559999999995</v>
      </c>
      <c r="AN203">
        <v>660.56780000000003</v>
      </c>
      <c r="AO203">
        <v>701</v>
      </c>
      <c r="AP203">
        <v>38.349089999999997</v>
      </c>
      <c r="AQ203">
        <v>390.53280000000001</v>
      </c>
      <c r="AR203">
        <v>2324.2429999999999</v>
      </c>
      <c r="AS203">
        <v>9467.1119999999992</v>
      </c>
      <c r="AT203">
        <v>29300.400000000001</v>
      </c>
      <c r="AU203">
        <v>74013.5</v>
      </c>
      <c r="AV203">
        <v>160471</v>
      </c>
      <c r="AW203">
        <v>309718</v>
      </c>
      <c r="AX203">
        <v>546860</v>
      </c>
      <c r="AY203">
        <v>902574</v>
      </c>
      <c r="AZ203" s="2">
        <v>17.5016</v>
      </c>
      <c r="BA203" s="2">
        <v>101329</v>
      </c>
      <c r="BG203">
        <v>281.70499999999998</v>
      </c>
      <c r="BH203" s="2">
        <f t="shared" si="16"/>
        <v>554.85500000000002</v>
      </c>
      <c r="BJ203" s="2">
        <f t="shared" si="15"/>
        <v>1.7501600000000001E-4</v>
      </c>
      <c r="BK203" s="2" t="s">
        <v>580</v>
      </c>
    </row>
    <row r="204" spans="1:63" x14ac:dyDescent="0.3">
      <c r="A204" s="6">
        <v>203</v>
      </c>
      <c r="B204" s="1" t="s">
        <v>581</v>
      </c>
      <c r="C204" s="1" t="s">
        <v>582</v>
      </c>
      <c r="D204" s="1" t="s">
        <v>583</v>
      </c>
      <c r="E204" s="2">
        <v>224.25040100000001</v>
      </c>
      <c r="F204" s="2">
        <v>570.18299999999999</v>
      </c>
      <c r="G204" s="2">
        <v>766</v>
      </c>
      <c r="H204" s="1">
        <v>298.14999999999998</v>
      </c>
      <c r="I204" s="6">
        <f t="shared" si="13"/>
        <v>383</v>
      </c>
      <c r="J204">
        <v>0</v>
      </c>
      <c r="K204" s="2">
        <v>16</v>
      </c>
      <c r="L204" s="2" t="s">
        <v>868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16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2">
        <v>334.1</v>
      </c>
      <c r="AG204">
        <v>375.42219999999998</v>
      </c>
      <c r="AH204">
        <v>416.74439999999998</v>
      </c>
      <c r="AI204">
        <v>458.06670000000003</v>
      </c>
      <c r="AJ204">
        <v>499.38889999999998</v>
      </c>
      <c r="AK204">
        <v>540.71109999999999</v>
      </c>
      <c r="AL204">
        <v>582.03330000000005</v>
      </c>
      <c r="AM204">
        <v>623.35559999999998</v>
      </c>
      <c r="AN204">
        <v>664.67780000000005</v>
      </c>
      <c r="AO204">
        <v>706</v>
      </c>
      <c r="AP204">
        <v>11.604839999999999</v>
      </c>
      <c r="AQ204">
        <v>161.70060000000001</v>
      </c>
      <c r="AR204">
        <v>1199.462</v>
      </c>
      <c r="AS204">
        <v>5724.5119999999997</v>
      </c>
      <c r="AT204">
        <v>19902.060000000001</v>
      </c>
      <c r="AU204">
        <v>54834.69</v>
      </c>
      <c r="AV204">
        <v>126997</v>
      </c>
      <c r="AW204">
        <v>257945</v>
      </c>
      <c r="AX204">
        <v>474231</v>
      </c>
      <c r="AY204">
        <v>809078</v>
      </c>
      <c r="AZ204" s="2">
        <v>16.136099999999999</v>
      </c>
      <c r="BA204" s="2">
        <v>101327</v>
      </c>
      <c r="BG204">
        <v>297.03300000000002</v>
      </c>
      <c r="BH204" s="2">
        <f t="shared" si="16"/>
        <v>570.18299999999999</v>
      </c>
      <c r="BJ204" s="2">
        <f t="shared" si="15"/>
        <v>1.61361E-4</v>
      </c>
      <c r="BK204" s="2" t="s">
        <v>583</v>
      </c>
    </row>
    <row r="205" spans="1:63" x14ac:dyDescent="0.3">
      <c r="A205" s="6">
        <v>204</v>
      </c>
      <c r="B205" s="1" t="s">
        <v>584</v>
      </c>
      <c r="C205" s="1" t="s">
        <v>585</v>
      </c>
      <c r="D205" s="1" t="s">
        <v>586</v>
      </c>
      <c r="E205" s="2">
        <v>620.53797540000005</v>
      </c>
      <c r="F205" s="2">
        <v>833.4</v>
      </c>
      <c r="G205" s="2">
        <v>916</v>
      </c>
      <c r="H205" s="1">
        <v>298.14999999999998</v>
      </c>
      <c r="I205" s="6">
        <f t="shared" si="13"/>
        <v>458</v>
      </c>
      <c r="J205">
        <v>1</v>
      </c>
      <c r="K205" s="2">
        <v>39</v>
      </c>
      <c r="L205" s="2" t="s">
        <v>869</v>
      </c>
      <c r="M205">
        <v>2</v>
      </c>
      <c r="N205">
        <v>27</v>
      </c>
      <c r="O205">
        <v>0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 s="6">
        <v>4</v>
      </c>
      <c r="X205" s="6">
        <v>0</v>
      </c>
      <c r="Y205" s="6">
        <v>0</v>
      </c>
      <c r="Z205" s="6">
        <v>1</v>
      </c>
      <c r="AA205" s="6">
        <v>0</v>
      </c>
      <c r="AB205" s="6">
        <v>0</v>
      </c>
      <c r="AC205" s="6">
        <v>1</v>
      </c>
      <c r="AD205" s="6">
        <v>1</v>
      </c>
      <c r="AE205" s="6">
        <v>0</v>
      </c>
      <c r="AF205">
        <v>298.55</v>
      </c>
      <c r="AG205">
        <v>360.4889</v>
      </c>
      <c r="AH205">
        <v>422.42779999999999</v>
      </c>
      <c r="AI205">
        <v>484.36669999999998</v>
      </c>
      <c r="AJ205">
        <v>546.30560000000003</v>
      </c>
      <c r="AK205">
        <v>608.24440000000004</v>
      </c>
      <c r="AL205">
        <v>670.18330000000003</v>
      </c>
      <c r="AM205">
        <v>732.12220000000002</v>
      </c>
      <c r="AN205">
        <v>794.06110000000001</v>
      </c>
      <c r="AO205">
        <v>856</v>
      </c>
      <c r="AP205" s="13">
        <v>7.8665999999999995E-14</v>
      </c>
      <c r="AQ205" s="13">
        <v>3.9211800000000003E-8</v>
      </c>
      <c r="AR205">
        <v>2.2645200000000001E-4</v>
      </c>
      <c r="AS205">
        <v>9.1057799999999994E-2</v>
      </c>
      <c r="AT205">
        <v>6.689476</v>
      </c>
      <c r="AU205">
        <v>157.93129999999999</v>
      </c>
      <c r="AV205">
        <v>1707.32</v>
      </c>
      <c r="AW205">
        <v>10699.76</v>
      </c>
      <c r="AX205">
        <v>45924.22</v>
      </c>
      <c r="AY205">
        <v>153016</v>
      </c>
      <c r="AZ205" s="2">
        <v>4.2412000000000001</v>
      </c>
      <c r="BA205" s="2">
        <v>100886</v>
      </c>
      <c r="BG205">
        <v>560.25</v>
      </c>
      <c r="BH205" s="2">
        <f t="shared" si="16"/>
        <v>833.4</v>
      </c>
      <c r="BJ205" s="2">
        <f t="shared" si="15"/>
        <v>4.2412E-5</v>
      </c>
      <c r="BK205" s="2" t="s">
        <v>586</v>
      </c>
    </row>
    <row r="210" spans="1:59" x14ac:dyDescent="0.3">
      <c r="A210" s="6"/>
      <c r="B210" s="1"/>
      <c r="C210" s="1"/>
      <c r="D210" s="1"/>
      <c r="H210" s="1"/>
      <c r="I210" s="6"/>
      <c r="J210"/>
      <c r="M210"/>
      <c r="N210"/>
      <c r="O210"/>
      <c r="P210"/>
      <c r="Q210"/>
      <c r="R210"/>
      <c r="S210"/>
      <c r="T210"/>
      <c r="U210"/>
      <c r="V210"/>
      <c r="W210" s="6"/>
      <c r="X210" s="6"/>
      <c r="Y210" s="6"/>
      <c r="Z210" s="6"/>
      <c r="AA210" s="6"/>
      <c r="AB210" s="6"/>
      <c r="AC210" s="6"/>
      <c r="AD210" s="6"/>
      <c r="AE210" s="6"/>
      <c r="BG210"/>
    </row>
    <row r="211" spans="1:59" x14ac:dyDescent="0.3">
      <c r="I211"/>
      <c r="J211"/>
    </row>
    <row r="212" spans="1:59" x14ac:dyDescent="0.3">
      <c r="I212"/>
      <c r="J212"/>
    </row>
    <row r="213" spans="1:59" x14ac:dyDescent="0.3">
      <c r="I213"/>
      <c r="J213"/>
    </row>
    <row r="214" spans="1:59" x14ac:dyDescent="0.3">
      <c r="I214"/>
      <c r="J214"/>
    </row>
    <row r="215" spans="1:59" x14ac:dyDescent="0.3">
      <c r="I215"/>
      <c r="J215"/>
    </row>
    <row r="216" spans="1:59" x14ac:dyDescent="0.3">
      <c r="I216"/>
      <c r="J216"/>
    </row>
    <row r="217" spans="1:59" x14ac:dyDescent="0.3">
      <c r="I217"/>
      <c r="J217"/>
    </row>
    <row r="218" spans="1:59" x14ac:dyDescent="0.3">
      <c r="I218"/>
      <c r="J218"/>
    </row>
    <row r="219" spans="1:59" x14ac:dyDescent="0.3">
      <c r="I219"/>
      <c r="J219"/>
    </row>
    <row r="220" spans="1:59" x14ac:dyDescent="0.3">
      <c r="I220"/>
      <c r="J220"/>
    </row>
    <row r="221" spans="1:59" x14ac:dyDescent="0.3">
      <c r="I221"/>
      <c r="J221"/>
    </row>
    <row r="222" spans="1:59" x14ac:dyDescent="0.3">
      <c r="I222"/>
      <c r="J222"/>
    </row>
    <row r="223" spans="1:59" x14ac:dyDescent="0.3">
      <c r="I223"/>
      <c r="J223"/>
    </row>
    <row r="224" spans="1:59" x14ac:dyDescent="0.3">
      <c r="I224"/>
      <c r="J224"/>
    </row>
    <row r="225" spans="9:10" x14ac:dyDescent="0.3">
      <c r="I225"/>
      <c r="J225"/>
    </row>
    <row r="226" spans="9:10" x14ac:dyDescent="0.3">
      <c r="I226"/>
      <c r="J226"/>
    </row>
    <row r="227" spans="9:10" x14ac:dyDescent="0.3">
      <c r="I227"/>
      <c r="J227"/>
    </row>
    <row r="228" spans="9:10" x14ac:dyDescent="0.3">
      <c r="I228"/>
      <c r="J228"/>
    </row>
    <row r="229" spans="9:10" x14ac:dyDescent="0.3">
      <c r="I229"/>
      <c r="J229"/>
    </row>
    <row r="230" spans="9:10" x14ac:dyDescent="0.3">
      <c r="I230"/>
      <c r="J230"/>
    </row>
    <row r="231" spans="9:10" x14ac:dyDescent="0.3">
      <c r="I231"/>
      <c r="J231"/>
    </row>
    <row r="232" spans="9:10" x14ac:dyDescent="0.3">
      <c r="I232"/>
      <c r="J232"/>
    </row>
    <row r="233" spans="9:10" x14ac:dyDescent="0.3">
      <c r="I233"/>
      <c r="J233"/>
    </row>
    <row r="234" spans="9:10" x14ac:dyDescent="0.3">
      <c r="I234"/>
      <c r="J234"/>
    </row>
    <row r="235" spans="9:10" x14ac:dyDescent="0.3">
      <c r="I235"/>
      <c r="J235"/>
    </row>
    <row r="236" spans="9:10" x14ac:dyDescent="0.3">
      <c r="I236"/>
      <c r="J236"/>
    </row>
    <row r="237" spans="9:10" x14ac:dyDescent="0.3">
      <c r="I237"/>
      <c r="J237"/>
    </row>
    <row r="238" spans="9:10" x14ac:dyDescent="0.3">
      <c r="I238"/>
      <c r="J238"/>
    </row>
    <row r="239" spans="9:10" x14ac:dyDescent="0.3">
      <c r="I239"/>
      <c r="J239"/>
    </row>
    <row r="240" spans="9:10" x14ac:dyDescent="0.3">
      <c r="I240"/>
      <c r="J240"/>
    </row>
    <row r="241" spans="9:10" x14ac:dyDescent="0.3">
      <c r="I241"/>
      <c r="J241"/>
    </row>
    <row r="242" spans="9:10" x14ac:dyDescent="0.3">
      <c r="I242"/>
      <c r="J242"/>
    </row>
    <row r="243" spans="9:10" x14ac:dyDescent="0.3">
      <c r="I243"/>
      <c r="J243"/>
    </row>
    <row r="244" spans="9:10" x14ac:dyDescent="0.3">
      <c r="I244"/>
      <c r="J244"/>
    </row>
    <row r="245" spans="9:10" x14ac:dyDescent="0.3">
      <c r="I245"/>
      <c r="J245"/>
    </row>
    <row r="246" spans="9:10" x14ac:dyDescent="0.3">
      <c r="I246"/>
      <c r="J246"/>
    </row>
    <row r="247" spans="9:10" x14ac:dyDescent="0.3">
      <c r="I247"/>
      <c r="J247"/>
    </row>
    <row r="248" spans="9:10" x14ac:dyDescent="0.3">
      <c r="I248"/>
      <c r="J248"/>
    </row>
    <row r="249" spans="9:10" x14ac:dyDescent="0.3">
      <c r="I249"/>
      <c r="J249"/>
    </row>
    <row r="250" spans="9:10" x14ac:dyDescent="0.3">
      <c r="I250"/>
      <c r="J250"/>
    </row>
    <row r="251" spans="9:10" x14ac:dyDescent="0.3">
      <c r="I251"/>
      <c r="J251"/>
    </row>
    <row r="252" spans="9:10" x14ac:dyDescent="0.3">
      <c r="I252"/>
      <c r="J252"/>
    </row>
    <row r="253" spans="9:10" x14ac:dyDescent="0.3">
      <c r="I253"/>
      <c r="J253"/>
    </row>
    <row r="254" spans="9:10" x14ac:dyDescent="0.3">
      <c r="I254"/>
      <c r="J254"/>
    </row>
    <row r="255" spans="9:10" x14ac:dyDescent="0.3">
      <c r="I255"/>
      <c r="J255"/>
    </row>
    <row r="256" spans="9:10" x14ac:dyDescent="0.3">
      <c r="I256"/>
      <c r="J256"/>
    </row>
    <row r="257" spans="9:10" x14ac:dyDescent="0.3">
      <c r="I257"/>
      <c r="J257"/>
    </row>
    <row r="258" spans="9:10" x14ac:dyDescent="0.3">
      <c r="I258"/>
      <c r="J258"/>
    </row>
    <row r="259" spans="9:10" x14ac:dyDescent="0.3">
      <c r="I259"/>
      <c r="J259"/>
    </row>
    <row r="260" spans="9:10" x14ac:dyDescent="0.3">
      <c r="I260"/>
      <c r="J260"/>
    </row>
    <row r="261" spans="9:10" x14ac:dyDescent="0.3">
      <c r="I261"/>
      <c r="J261"/>
    </row>
    <row r="262" spans="9:10" x14ac:dyDescent="0.3">
      <c r="I262"/>
      <c r="J262"/>
    </row>
    <row r="263" spans="9:10" x14ac:dyDescent="0.3">
      <c r="I263"/>
      <c r="J263"/>
    </row>
    <row r="264" spans="9:10" x14ac:dyDescent="0.3">
      <c r="I264"/>
      <c r="J264"/>
    </row>
    <row r="265" spans="9:10" x14ac:dyDescent="0.3">
      <c r="I265"/>
      <c r="J265"/>
    </row>
    <row r="266" spans="9:10" x14ac:dyDescent="0.3">
      <c r="I266"/>
      <c r="J266"/>
    </row>
    <row r="267" spans="9:10" x14ac:dyDescent="0.3">
      <c r="I267"/>
      <c r="J267"/>
    </row>
    <row r="268" spans="9:10" x14ac:dyDescent="0.3">
      <c r="I268"/>
      <c r="J268"/>
    </row>
    <row r="269" spans="9:10" x14ac:dyDescent="0.3">
      <c r="I269"/>
      <c r="J269"/>
    </row>
    <row r="270" spans="9:10" x14ac:dyDescent="0.3">
      <c r="I270"/>
      <c r="J270"/>
    </row>
    <row r="271" spans="9:10" x14ac:dyDescent="0.3">
      <c r="I271"/>
      <c r="J271"/>
    </row>
    <row r="272" spans="9:10" x14ac:dyDescent="0.3">
      <c r="I272"/>
      <c r="J272"/>
    </row>
    <row r="273" spans="9:10" x14ac:dyDescent="0.3">
      <c r="I273"/>
      <c r="J273"/>
    </row>
    <row r="274" spans="9:10" x14ac:dyDescent="0.3">
      <c r="I274"/>
      <c r="J274"/>
    </row>
    <row r="275" spans="9:10" x14ac:dyDescent="0.3">
      <c r="I275"/>
      <c r="J275"/>
    </row>
    <row r="276" spans="9:10" x14ac:dyDescent="0.3">
      <c r="I276"/>
      <c r="J276"/>
    </row>
    <row r="277" spans="9:10" x14ac:dyDescent="0.3">
      <c r="I277"/>
      <c r="J277"/>
    </row>
    <row r="278" spans="9:10" x14ac:dyDescent="0.3">
      <c r="I278"/>
      <c r="J278"/>
    </row>
    <row r="279" spans="9:10" x14ac:dyDescent="0.3">
      <c r="I279"/>
      <c r="J279"/>
    </row>
    <row r="280" spans="9:10" x14ac:dyDescent="0.3">
      <c r="I280"/>
      <c r="J280"/>
    </row>
    <row r="281" spans="9:10" x14ac:dyDescent="0.3">
      <c r="I281"/>
      <c r="J281"/>
    </row>
    <row r="282" spans="9:10" x14ac:dyDescent="0.3">
      <c r="I282"/>
      <c r="J282"/>
    </row>
    <row r="283" spans="9:10" x14ac:dyDescent="0.3">
      <c r="I283"/>
      <c r="J283"/>
    </row>
    <row r="284" spans="9:10" x14ac:dyDescent="0.3">
      <c r="I284"/>
      <c r="J284"/>
    </row>
    <row r="285" spans="9:10" x14ac:dyDescent="0.3">
      <c r="I285"/>
      <c r="J285"/>
    </row>
    <row r="286" spans="9:10" x14ac:dyDescent="0.3">
      <c r="I286"/>
      <c r="J286"/>
    </row>
    <row r="287" spans="9:10" x14ac:dyDescent="0.3">
      <c r="I287"/>
      <c r="J287"/>
    </row>
    <row r="288" spans="9:10" x14ac:dyDescent="0.3">
      <c r="I288"/>
      <c r="J288"/>
    </row>
    <row r="289" spans="9:10" x14ac:dyDescent="0.3">
      <c r="I289"/>
      <c r="J289"/>
    </row>
    <row r="290" spans="9:10" x14ac:dyDescent="0.3">
      <c r="I290"/>
      <c r="J290"/>
    </row>
    <row r="291" spans="9:10" x14ac:dyDescent="0.3">
      <c r="I291"/>
      <c r="J291"/>
    </row>
    <row r="292" spans="9:10" x14ac:dyDescent="0.3">
      <c r="I292"/>
      <c r="J292"/>
    </row>
    <row r="293" spans="9:10" x14ac:dyDescent="0.3">
      <c r="I293"/>
      <c r="J293"/>
    </row>
    <row r="294" spans="9:10" x14ac:dyDescent="0.3">
      <c r="I294"/>
      <c r="J294"/>
    </row>
    <row r="295" spans="9:10" x14ac:dyDescent="0.3">
      <c r="I295"/>
      <c r="J295"/>
    </row>
    <row r="296" spans="9:10" x14ac:dyDescent="0.3">
      <c r="I296"/>
      <c r="J296"/>
    </row>
    <row r="297" spans="9:10" x14ac:dyDescent="0.3">
      <c r="I297"/>
      <c r="J297"/>
    </row>
    <row r="298" spans="9:10" x14ac:dyDescent="0.3">
      <c r="I298"/>
      <c r="J298"/>
    </row>
    <row r="299" spans="9:10" x14ac:dyDescent="0.3">
      <c r="I299"/>
      <c r="J299"/>
    </row>
    <row r="300" spans="9:10" x14ac:dyDescent="0.3">
      <c r="I300"/>
      <c r="J300"/>
    </row>
    <row r="301" spans="9:10" x14ac:dyDescent="0.3">
      <c r="I301"/>
      <c r="J301"/>
    </row>
    <row r="302" spans="9:10" x14ac:dyDescent="0.3">
      <c r="I302"/>
      <c r="J302"/>
    </row>
    <row r="303" spans="9:10" x14ac:dyDescent="0.3">
      <c r="I303"/>
      <c r="J303"/>
    </row>
    <row r="304" spans="9:10" x14ac:dyDescent="0.3">
      <c r="I304"/>
      <c r="J304"/>
    </row>
    <row r="305" spans="9:10" x14ac:dyDescent="0.3">
      <c r="I305"/>
      <c r="J305"/>
    </row>
    <row r="306" spans="9:10" x14ac:dyDescent="0.3">
      <c r="I306"/>
      <c r="J306"/>
    </row>
    <row r="307" spans="9:10" x14ac:dyDescent="0.3">
      <c r="I307"/>
      <c r="J307"/>
    </row>
    <row r="308" spans="9:10" x14ac:dyDescent="0.3">
      <c r="I308"/>
      <c r="J308"/>
    </row>
    <row r="309" spans="9:10" x14ac:dyDescent="0.3">
      <c r="I309"/>
      <c r="J309"/>
    </row>
    <row r="310" spans="9:10" x14ac:dyDescent="0.3">
      <c r="I310"/>
      <c r="J310"/>
    </row>
    <row r="311" spans="9:10" x14ac:dyDescent="0.3">
      <c r="I311"/>
      <c r="J311"/>
    </row>
    <row r="312" spans="9:10" x14ac:dyDescent="0.3">
      <c r="I312"/>
      <c r="J312"/>
    </row>
    <row r="313" spans="9:10" x14ac:dyDescent="0.3">
      <c r="I313"/>
      <c r="J313"/>
    </row>
    <row r="314" spans="9:10" x14ac:dyDescent="0.3">
      <c r="I314"/>
      <c r="J314"/>
    </row>
    <row r="315" spans="9:10" x14ac:dyDescent="0.3">
      <c r="I315"/>
      <c r="J315"/>
    </row>
    <row r="316" spans="9:10" x14ac:dyDescent="0.3">
      <c r="I316"/>
      <c r="J316"/>
    </row>
    <row r="317" spans="9:10" x14ac:dyDescent="0.3">
      <c r="I317"/>
      <c r="J317"/>
    </row>
    <row r="318" spans="9:10" x14ac:dyDescent="0.3">
      <c r="I318"/>
      <c r="J318"/>
    </row>
    <row r="319" spans="9:10" x14ac:dyDescent="0.3">
      <c r="I319"/>
      <c r="J319"/>
    </row>
    <row r="320" spans="9:10" x14ac:dyDescent="0.3">
      <c r="I320"/>
      <c r="J320"/>
    </row>
    <row r="321" spans="9:10" x14ac:dyDescent="0.3">
      <c r="I321"/>
      <c r="J321"/>
    </row>
    <row r="322" spans="9:10" x14ac:dyDescent="0.3">
      <c r="I322"/>
      <c r="J322"/>
    </row>
    <row r="323" spans="9:10" x14ac:dyDescent="0.3">
      <c r="I323"/>
      <c r="J323"/>
    </row>
    <row r="324" spans="9:10" x14ac:dyDescent="0.3">
      <c r="I324"/>
      <c r="J324"/>
    </row>
    <row r="325" spans="9:10" x14ac:dyDescent="0.3">
      <c r="I325"/>
      <c r="J325"/>
    </row>
    <row r="326" spans="9:10" x14ac:dyDescent="0.3">
      <c r="I326"/>
      <c r="J326"/>
    </row>
    <row r="327" spans="9:10" x14ac:dyDescent="0.3">
      <c r="I327"/>
      <c r="J327"/>
    </row>
    <row r="328" spans="9:10" x14ac:dyDescent="0.3">
      <c r="I328"/>
      <c r="J328"/>
    </row>
    <row r="329" spans="9:10" x14ac:dyDescent="0.3">
      <c r="I329"/>
      <c r="J329"/>
    </row>
    <row r="330" spans="9:10" x14ac:dyDescent="0.3">
      <c r="I330"/>
      <c r="J330"/>
    </row>
    <row r="331" spans="9:10" x14ac:dyDescent="0.3">
      <c r="I331"/>
      <c r="J331"/>
    </row>
    <row r="332" spans="9:10" x14ac:dyDescent="0.3">
      <c r="I332"/>
      <c r="J332"/>
    </row>
    <row r="333" spans="9:10" x14ac:dyDescent="0.3">
      <c r="I333"/>
      <c r="J333"/>
    </row>
    <row r="334" spans="9:10" x14ac:dyDescent="0.3">
      <c r="I334"/>
      <c r="J334"/>
    </row>
    <row r="335" spans="9:10" x14ac:dyDescent="0.3">
      <c r="I335"/>
      <c r="J335"/>
    </row>
    <row r="336" spans="9:10" x14ac:dyDescent="0.3">
      <c r="I336"/>
      <c r="J336"/>
    </row>
    <row r="337" spans="9:10" x14ac:dyDescent="0.3">
      <c r="I337"/>
      <c r="J337"/>
    </row>
    <row r="338" spans="9:10" x14ac:dyDescent="0.3">
      <c r="I338"/>
      <c r="J338"/>
    </row>
    <row r="339" spans="9:10" x14ac:dyDescent="0.3">
      <c r="I339"/>
      <c r="J339"/>
    </row>
    <row r="340" spans="9:10" x14ac:dyDescent="0.3">
      <c r="I340"/>
      <c r="J340"/>
    </row>
    <row r="341" spans="9:10" x14ac:dyDescent="0.3">
      <c r="I341"/>
      <c r="J341"/>
    </row>
    <row r="342" spans="9:10" x14ac:dyDescent="0.3">
      <c r="I342"/>
      <c r="J342"/>
    </row>
    <row r="343" spans="9:10" x14ac:dyDescent="0.3">
      <c r="I343"/>
      <c r="J343"/>
    </row>
    <row r="344" spans="9:10" x14ac:dyDescent="0.3">
      <c r="I344"/>
      <c r="J344"/>
    </row>
    <row r="345" spans="9:10" x14ac:dyDescent="0.3">
      <c r="I345"/>
      <c r="J345"/>
    </row>
    <row r="346" spans="9:10" x14ac:dyDescent="0.3">
      <c r="I346"/>
      <c r="J346"/>
    </row>
    <row r="347" spans="9:10" x14ac:dyDescent="0.3">
      <c r="I347"/>
      <c r="J347"/>
    </row>
    <row r="348" spans="9:10" x14ac:dyDescent="0.3">
      <c r="I348"/>
      <c r="J348"/>
    </row>
    <row r="349" spans="9:10" x14ac:dyDescent="0.3">
      <c r="I349"/>
      <c r="J349"/>
    </row>
    <row r="350" spans="9:10" x14ac:dyDescent="0.3">
      <c r="I350"/>
      <c r="J350"/>
    </row>
    <row r="351" spans="9:10" x14ac:dyDescent="0.3">
      <c r="I351"/>
      <c r="J351"/>
    </row>
    <row r="352" spans="9:10" x14ac:dyDescent="0.3">
      <c r="I352"/>
      <c r="J352"/>
    </row>
    <row r="353" spans="9:10" x14ac:dyDescent="0.3">
      <c r="I353"/>
      <c r="J353"/>
    </row>
    <row r="354" spans="9:10" x14ac:dyDescent="0.3">
      <c r="I354"/>
      <c r="J354"/>
    </row>
    <row r="355" spans="9:10" x14ac:dyDescent="0.3">
      <c r="I355"/>
      <c r="J355"/>
    </row>
    <row r="356" spans="9:10" x14ac:dyDescent="0.3">
      <c r="I356"/>
      <c r="J356"/>
    </row>
    <row r="357" spans="9:10" x14ac:dyDescent="0.3">
      <c r="I357"/>
      <c r="J357"/>
    </row>
    <row r="358" spans="9:10" x14ac:dyDescent="0.3">
      <c r="I358"/>
      <c r="J358"/>
    </row>
    <row r="359" spans="9:10" x14ac:dyDescent="0.3">
      <c r="I359"/>
      <c r="J359"/>
    </row>
    <row r="360" spans="9:10" x14ac:dyDescent="0.3">
      <c r="I360"/>
      <c r="J360"/>
    </row>
    <row r="361" spans="9:10" x14ac:dyDescent="0.3">
      <c r="I361"/>
      <c r="J361"/>
    </row>
    <row r="362" spans="9:10" x14ac:dyDescent="0.3">
      <c r="I362"/>
      <c r="J362"/>
    </row>
    <row r="363" spans="9:10" x14ac:dyDescent="0.3">
      <c r="I363"/>
      <c r="J363"/>
    </row>
    <row r="364" spans="9:10" x14ac:dyDescent="0.3">
      <c r="I364"/>
      <c r="J364"/>
    </row>
    <row r="365" spans="9:10" x14ac:dyDescent="0.3">
      <c r="I365"/>
      <c r="J365"/>
    </row>
    <row r="366" spans="9:10" x14ac:dyDescent="0.3">
      <c r="I366"/>
      <c r="J366"/>
    </row>
    <row r="367" spans="9:10" x14ac:dyDescent="0.3">
      <c r="I367"/>
      <c r="J367"/>
    </row>
    <row r="368" spans="9:10" x14ac:dyDescent="0.3">
      <c r="I368"/>
      <c r="J368"/>
    </row>
    <row r="369" spans="9:10" x14ac:dyDescent="0.3">
      <c r="I369"/>
      <c r="J369"/>
    </row>
    <row r="370" spans="9:10" x14ac:dyDescent="0.3">
      <c r="I370"/>
      <c r="J370"/>
    </row>
    <row r="371" spans="9:10" x14ac:dyDescent="0.3">
      <c r="I371"/>
      <c r="J371"/>
    </row>
    <row r="372" spans="9:10" x14ac:dyDescent="0.3">
      <c r="I372"/>
      <c r="J372"/>
    </row>
    <row r="373" spans="9:10" x14ac:dyDescent="0.3">
      <c r="I373"/>
      <c r="J373"/>
    </row>
    <row r="374" spans="9:10" x14ac:dyDescent="0.3">
      <c r="I374"/>
      <c r="J374"/>
    </row>
    <row r="375" spans="9:10" x14ac:dyDescent="0.3">
      <c r="I375"/>
      <c r="J375"/>
    </row>
    <row r="376" spans="9:10" x14ac:dyDescent="0.3">
      <c r="I376"/>
      <c r="J376"/>
    </row>
    <row r="377" spans="9:10" x14ac:dyDescent="0.3">
      <c r="I377"/>
      <c r="J377"/>
    </row>
    <row r="378" spans="9:10" x14ac:dyDescent="0.3">
      <c r="I378"/>
      <c r="J378"/>
    </row>
    <row r="379" spans="9:10" x14ac:dyDescent="0.3">
      <c r="I379"/>
      <c r="J379"/>
    </row>
    <row r="380" spans="9:10" x14ac:dyDescent="0.3">
      <c r="I380"/>
      <c r="J380"/>
    </row>
    <row r="381" spans="9:10" x14ac:dyDescent="0.3">
      <c r="I381"/>
      <c r="J381"/>
    </row>
    <row r="382" spans="9:10" x14ac:dyDescent="0.3">
      <c r="I382"/>
      <c r="J382"/>
    </row>
    <row r="383" spans="9:10" x14ac:dyDescent="0.3">
      <c r="I383"/>
      <c r="J383"/>
    </row>
    <row r="384" spans="9:10" x14ac:dyDescent="0.3">
      <c r="I384"/>
      <c r="J384"/>
    </row>
    <row r="385" spans="9:10" x14ac:dyDescent="0.3">
      <c r="I385"/>
      <c r="J385"/>
    </row>
    <row r="386" spans="9:10" x14ac:dyDescent="0.3">
      <c r="I386"/>
      <c r="J386"/>
    </row>
    <row r="387" spans="9:10" x14ac:dyDescent="0.3">
      <c r="I387"/>
      <c r="J387"/>
    </row>
    <row r="388" spans="9:10" x14ac:dyDescent="0.3">
      <c r="I388"/>
      <c r="J388"/>
    </row>
    <row r="389" spans="9:10" x14ac:dyDescent="0.3">
      <c r="I389"/>
      <c r="J389"/>
    </row>
    <row r="390" spans="9:10" x14ac:dyDescent="0.3">
      <c r="I390"/>
      <c r="J390"/>
    </row>
    <row r="391" spans="9:10" x14ac:dyDescent="0.3">
      <c r="I391"/>
      <c r="J391"/>
    </row>
    <row r="392" spans="9:10" x14ac:dyDescent="0.3">
      <c r="I392"/>
      <c r="J392"/>
    </row>
    <row r="393" spans="9:10" x14ac:dyDescent="0.3">
      <c r="I393"/>
      <c r="J393"/>
    </row>
    <row r="394" spans="9:10" x14ac:dyDescent="0.3">
      <c r="I394"/>
      <c r="J394"/>
    </row>
    <row r="395" spans="9:10" x14ac:dyDescent="0.3">
      <c r="I395"/>
      <c r="J395"/>
    </row>
    <row r="396" spans="9:10" x14ac:dyDescent="0.3">
      <c r="I396"/>
      <c r="J396"/>
    </row>
    <row r="397" spans="9:10" x14ac:dyDescent="0.3">
      <c r="I397"/>
      <c r="J397"/>
    </row>
    <row r="398" spans="9:10" x14ac:dyDescent="0.3">
      <c r="I398"/>
      <c r="J398"/>
    </row>
    <row r="399" spans="9:10" x14ac:dyDescent="0.3">
      <c r="I399"/>
      <c r="J399"/>
    </row>
    <row r="400" spans="9:10" x14ac:dyDescent="0.3">
      <c r="I400"/>
      <c r="J400"/>
    </row>
    <row r="401" spans="9:10" x14ac:dyDescent="0.3">
      <c r="I401"/>
      <c r="J401"/>
    </row>
    <row r="402" spans="9:10" x14ac:dyDescent="0.3">
      <c r="I402"/>
      <c r="J402"/>
    </row>
    <row r="403" spans="9:10" x14ac:dyDescent="0.3">
      <c r="I403"/>
      <c r="J403"/>
    </row>
    <row r="404" spans="9:10" x14ac:dyDescent="0.3">
      <c r="I404"/>
      <c r="J404"/>
    </row>
    <row r="405" spans="9:10" x14ac:dyDescent="0.3">
      <c r="I405"/>
      <c r="J405"/>
    </row>
    <row r="406" spans="9:10" x14ac:dyDescent="0.3">
      <c r="I406"/>
      <c r="J406"/>
    </row>
    <row r="407" spans="9:10" x14ac:dyDescent="0.3">
      <c r="I407"/>
      <c r="J407"/>
    </row>
    <row r="408" spans="9:10" x14ac:dyDescent="0.3">
      <c r="I408"/>
      <c r="J408"/>
    </row>
    <row r="409" spans="9:10" x14ac:dyDescent="0.3">
      <c r="I409"/>
      <c r="J409"/>
    </row>
    <row r="410" spans="9:10" x14ac:dyDescent="0.3">
      <c r="I410"/>
      <c r="J410"/>
    </row>
    <row r="411" spans="9:10" x14ac:dyDescent="0.3">
      <c r="I411"/>
      <c r="J411"/>
    </row>
    <row r="412" spans="9:10" x14ac:dyDescent="0.3">
      <c r="I412"/>
      <c r="J412"/>
    </row>
    <row r="413" spans="9:10" x14ac:dyDescent="0.3">
      <c r="I413"/>
      <c r="J413"/>
    </row>
    <row r="414" spans="9:10" x14ac:dyDescent="0.3">
      <c r="I414"/>
      <c r="J414"/>
    </row>
    <row r="415" spans="9:10" x14ac:dyDescent="0.3">
      <c r="I415"/>
      <c r="J415"/>
    </row>
    <row r="416" spans="9:10" x14ac:dyDescent="0.3">
      <c r="I416"/>
      <c r="J416"/>
    </row>
    <row r="417" spans="9:10" x14ac:dyDescent="0.3">
      <c r="I417"/>
      <c r="J417"/>
    </row>
    <row r="418" spans="9:10" x14ac:dyDescent="0.3">
      <c r="I418"/>
      <c r="J418"/>
    </row>
    <row r="419" spans="9:10" x14ac:dyDescent="0.3">
      <c r="I419"/>
      <c r="J419"/>
    </row>
    <row r="420" spans="9:10" x14ac:dyDescent="0.3">
      <c r="I420"/>
      <c r="J420"/>
    </row>
    <row r="421" spans="9:10" x14ac:dyDescent="0.3">
      <c r="I421"/>
      <c r="J421"/>
    </row>
    <row r="422" spans="9:10" x14ac:dyDescent="0.3">
      <c r="I422"/>
      <c r="J422"/>
    </row>
    <row r="423" spans="9:10" x14ac:dyDescent="0.3">
      <c r="I423"/>
      <c r="J423"/>
    </row>
    <row r="424" spans="9:10" x14ac:dyDescent="0.3">
      <c r="I424"/>
      <c r="J424"/>
    </row>
    <row r="425" spans="9:10" x14ac:dyDescent="0.3">
      <c r="I425"/>
      <c r="J425"/>
    </row>
    <row r="426" spans="9:10" x14ac:dyDescent="0.3">
      <c r="I426"/>
      <c r="J426"/>
    </row>
    <row r="427" spans="9:10" x14ac:dyDescent="0.3">
      <c r="I427"/>
      <c r="J427"/>
    </row>
    <row r="428" spans="9:10" x14ac:dyDescent="0.3">
      <c r="I428"/>
      <c r="J428"/>
    </row>
    <row r="429" spans="9:10" x14ac:dyDescent="0.3">
      <c r="I429"/>
      <c r="J429"/>
    </row>
    <row r="430" spans="9:10" x14ac:dyDescent="0.3">
      <c r="I430"/>
      <c r="J430"/>
    </row>
    <row r="431" spans="9:10" x14ac:dyDescent="0.3">
      <c r="I431"/>
      <c r="J431"/>
    </row>
    <row r="432" spans="9:10" x14ac:dyDescent="0.3">
      <c r="I432"/>
      <c r="J432"/>
    </row>
    <row r="433" spans="9:10" x14ac:dyDescent="0.3">
      <c r="I433"/>
      <c r="J433"/>
    </row>
    <row r="434" spans="9:10" x14ac:dyDescent="0.3">
      <c r="I434"/>
      <c r="J434"/>
    </row>
    <row r="435" spans="9:10" x14ac:dyDescent="0.3">
      <c r="I435"/>
      <c r="J435"/>
    </row>
    <row r="436" spans="9:10" x14ac:dyDescent="0.3">
      <c r="I436"/>
      <c r="J436"/>
    </row>
    <row r="437" spans="9:10" x14ac:dyDescent="0.3">
      <c r="I437"/>
      <c r="J437"/>
    </row>
    <row r="438" spans="9:10" x14ac:dyDescent="0.3">
      <c r="I438"/>
      <c r="J438"/>
    </row>
    <row r="439" spans="9:10" x14ac:dyDescent="0.3">
      <c r="I439"/>
      <c r="J439"/>
    </row>
    <row r="440" spans="9:10" x14ac:dyDescent="0.3">
      <c r="I440"/>
      <c r="J440"/>
    </row>
    <row r="441" spans="9:10" x14ac:dyDescent="0.3">
      <c r="I441"/>
      <c r="J441"/>
    </row>
    <row r="442" spans="9:10" x14ac:dyDescent="0.3">
      <c r="I442"/>
      <c r="J442"/>
    </row>
    <row r="443" spans="9:10" x14ac:dyDescent="0.3">
      <c r="I443"/>
      <c r="J443"/>
    </row>
    <row r="444" spans="9:10" x14ac:dyDescent="0.3">
      <c r="I444"/>
      <c r="J444"/>
    </row>
    <row r="445" spans="9:10" x14ac:dyDescent="0.3">
      <c r="I445"/>
      <c r="J445"/>
    </row>
    <row r="446" spans="9:10" x14ac:dyDescent="0.3">
      <c r="I446"/>
      <c r="J446"/>
    </row>
    <row r="447" spans="9:10" x14ac:dyDescent="0.3">
      <c r="I447"/>
      <c r="J447"/>
    </row>
    <row r="448" spans="9:10" x14ac:dyDescent="0.3">
      <c r="I448"/>
      <c r="J448"/>
    </row>
    <row r="449" spans="9:10" x14ac:dyDescent="0.3">
      <c r="I449"/>
      <c r="J449"/>
    </row>
    <row r="450" spans="9:10" x14ac:dyDescent="0.3">
      <c r="I450"/>
      <c r="J450"/>
    </row>
    <row r="451" spans="9:10" x14ac:dyDescent="0.3">
      <c r="I451"/>
      <c r="J451"/>
    </row>
    <row r="452" spans="9:10" x14ac:dyDescent="0.3">
      <c r="I452"/>
      <c r="J452"/>
    </row>
    <row r="453" spans="9:10" x14ac:dyDescent="0.3">
      <c r="I453"/>
      <c r="J453"/>
    </row>
    <row r="454" spans="9:10" x14ac:dyDescent="0.3">
      <c r="I454"/>
      <c r="J454"/>
    </row>
    <row r="455" spans="9:10" x14ac:dyDescent="0.3">
      <c r="I455"/>
      <c r="J455"/>
    </row>
    <row r="456" spans="9:10" x14ac:dyDescent="0.3">
      <c r="I456"/>
      <c r="J456"/>
    </row>
    <row r="457" spans="9:10" x14ac:dyDescent="0.3">
      <c r="I457"/>
      <c r="J457"/>
    </row>
    <row r="458" spans="9:10" x14ac:dyDescent="0.3">
      <c r="I458"/>
      <c r="J458"/>
    </row>
    <row r="459" spans="9:10" x14ac:dyDescent="0.3">
      <c r="I459"/>
      <c r="J459"/>
    </row>
    <row r="460" spans="9:10" x14ac:dyDescent="0.3">
      <c r="I460"/>
      <c r="J460"/>
    </row>
    <row r="461" spans="9:10" x14ac:dyDescent="0.3">
      <c r="I461"/>
      <c r="J461"/>
    </row>
    <row r="462" spans="9:10" x14ac:dyDescent="0.3">
      <c r="I462"/>
      <c r="J462"/>
    </row>
    <row r="463" spans="9:10" x14ac:dyDescent="0.3">
      <c r="I463"/>
      <c r="J463"/>
    </row>
    <row r="464" spans="9:10" x14ac:dyDescent="0.3">
      <c r="I464"/>
      <c r="J464"/>
    </row>
    <row r="465" spans="9:10" x14ac:dyDescent="0.3">
      <c r="I465"/>
      <c r="J465"/>
    </row>
    <row r="466" spans="9:10" x14ac:dyDescent="0.3">
      <c r="I466"/>
      <c r="J466"/>
    </row>
    <row r="467" spans="9:10" x14ac:dyDescent="0.3">
      <c r="I467"/>
      <c r="J467"/>
    </row>
    <row r="468" spans="9:10" x14ac:dyDescent="0.3">
      <c r="I468"/>
      <c r="J468"/>
    </row>
    <row r="469" spans="9:10" x14ac:dyDescent="0.3">
      <c r="I469"/>
      <c r="J469"/>
    </row>
    <row r="470" spans="9:10" x14ac:dyDescent="0.3">
      <c r="I470"/>
      <c r="J470"/>
    </row>
    <row r="471" spans="9:10" x14ac:dyDescent="0.3">
      <c r="I471"/>
      <c r="J471"/>
    </row>
    <row r="472" spans="9:10" x14ac:dyDescent="0.3">
      <c r="I472"/>
      <c r="J472"/>
    </row>
    <row r="473" spans="9:10" x14ac:dyDescent="0.3">
      <c r="I473"/>
      <c r="J473"/>
    </row>
    <row r="474" spans="9:10" x14ac:dyDescent="0.3">
      <c r="I474"/>
      <c r="J474"/>
    </row>
    <row r="475" spans="9:10" x14ac:dyDescent="0.3">
      <c r="I475"/>
      <c r="J475"/>
    </row>
    <row r="476" spans="9:10" x14ac:dyDescent="0.3">
      <c r="I476"/>
      <c r="J476"/>
    </row>
    <row r="477" spans="9:10" x14ac:dyDescent="0.3">
      <c r="I477"/>
      <c r="J477"/>
    </row>
    <row r="478" spans="9:10" x14ac:dyDescent="0.3">
      <c r="I478"/>
      <c r="J478"/>
    </row>
    <row r="479" spans="9:10" x14ac:dyDescent="0.3">
      <c r="I479"/>
      <c r="J479"/>
    </row>
    <row r="480" spans="9:10" x14ac:dyDescent="0.3">
      <c r="I480"/>
      <c r="J480"/>
    </row>
    <row r="481" spans="9:10" x14ac:dyDescent="0.3">
      <c r="I481"/>
      <c r="J481"/>
    </row>
    <row r="482" spans="9:10" x14ac:dyDescent="0.3">
      <c r="I482"/>
      <c r="J482"/>
    </row>
    <row r="483" spans="9:10" x14ac:dyDescent="0.3">
      <c r="I483"/>
      <c r="J483"/>
    </row>
    <row r="484" spans="9:10" x14ac:dyDescent="0.3">
      <c r="I484"/>
      <c r="J484"/>
    </row>
    <row r="485" spans="9:10" x14ac:dyDescent="0.3">
      <c r="I485"/>
      <c r="J485"/>
    </row>
    <row r="486" spans="9:10" x14ac:dyDescent="0.3">
      <c r="I486"/>
      <c r="J486"/>
    </row>
    <row r="487" spans="9:10" x14ac:dyDescent="0.3">
      <c r="I487"/>
      <c r="J487"/>
    </row>
    <row r="488" spans="9:10" x14ac:dyDescent="0.3">
      <c r="I488"/>
      <c r="J488"/>
    </row>
    <row r="489" spans="9:10" x14ac:dyDescent="0.3">
      <c r="I489"/>
      <c r="J489"/>
    </row>
    <row r="490" spans="9:10" x14ac:dyDescent="0.3">
      <c r="I490"/>
      <c r="J490"/>
    </row>
    <row r="491" spans="9:10" x14ac:dyDescent="0.3">
      <c r="I491"/>
      <c r="J491"/>
    </row>
    <row r="492" spans="9:10" x14ac:dyDescent="0.3">
      <c r="I492"/>
      <c r="J492"/>
    </row>
    <row r="493" spans="9:10" x14ac:dyDescent="0.3">
      <c r="I493"/>
      <c r="J493"/>
    </row>
    <row r="494" spans="9:10" x14ac:dyDescent="0.3">
      <c r="I494"/>
      <c r="J494"/>
    </row>
    <row r="495" spans="9:10" x14ac:dyDescent="0.3">
      <c r="I495"/>
      <c r="J495"/>
    </row>
    <row r="496" spans="9:10" x14ac:dyDescent="0.3">
      <c r="I496"/>
      <c r="J496"/>
    </row>
    <row r="497" spans="9:10" x14ac:dyDescent="0.3">
      <c r="I497"/>
      <c r="J497"/>
    </row>
    <row r="498" spans="9:10" x14ac:dyDescent="0.3">
      <c r="I498"/>
      <c r="J498"/>
    </row>
    <row r="499" spans="9:10" x14ac:dyDescent="0.3">
      <c r="I499"/>
      <c r="J499"/>
    </row>
    <row r="500" spans="9:10" x14ac:dyDescent="0.3">
      <c r="I500"/>
      <c r="J500"/>
    </row>
    <row r="501" spans="9:10" x14ac:dyDescent="0.3">
      <c r="I501"/>
      <c r="J501"/>
    </row>
    <row r="502" spans="9:10" x14ac:dyDescent="0.3">
      <c r="I502"/>
      <c r="J502"/>
    </row>
    <row r="503" spans="9:10" x14ac:dyDescent="0.3">
      <c r="I503"/>
      <c r="J503"/>
    </row>
    <row r="504" spans="9:10" x14ac:dyDescent="0.3">
      <c r="I504"/>
      <c r="J504"/>
    </row>
    <row r="505" spans="9:10" x14ac:dyDescent="0.3">
      <c r="I505"/>
      <c r="J505"/>
    </row>
    <row r="506" spans="9:10" x14ac:dyDescent="0.3">
      <c r="I506"/>
      <c r="J506"/>
    </row>
    <row r="507" spans="9:10" x14ac:dyDescent="0.3">
      <c r="I507"/>
      <c r="J507"/>
    </row>
    <row r="508" spans="9:10" x14ac:dyDescent="0.3">
      <c r="I508"/>
      <c r="J508"/>
    </row>
    <row r="509" spans="9:10" x14ac:dyDescent="0.3">
      <c r="I509"/>
      <c r="J509"/>
    </row>
    <row r="510" spans="9:10" x14ac:dyDescent="0.3">
      <c r="I510"/>
      <c r="J510"/>
    </row>
    <row r="511" spans="9:10" x14ac:dyDescent="0.3">
      <c r="I511"/>
      <c r="J511"/>
    </row>
    <row r="512" spans="9:10" x14ac:dyDescent="0.3">
      <c r="I512"/>
      <c r="J512"/>
    </row>
    <row r="513" spans="9:10" x14ac:dyDescent="0.3">
      <c r="I513"/>
      <c r="J513"/>
    </row>
    <row r="514" spans="9:10" x14ac:dyDescent="0.3">
      <c r="I514"/>
      <c r="J514"/>
    </row>
    <row r="515" spans="9:10" x14ac:dyDescent="0.3">
      <c r="I515"/>
      <c r="J515"/>
    </row>
    <row r="516" spans="9:10" x14ac:dyDescent="0.3">
      <c r="I516"/>
      <c r="J516"/>
    </row>
    <row r="517" spans="9:10" x14ac:dyDescent="0.3">
      <c r="I517"/>
      <c r="J517"/>
    </row>
    <row r="518" spans="9:10" x14ac:dyDescent="0.3">
      <c r="I518"/>
      <c r="J518"/>
    </row>
    <row r="519" spans="9:10" x14ac:dyDescent="0.3">
      <c r="I519"/>
      <c r="J519"/>
    </row>
    <row r="520" spans="9:10" x14ac:dyDescent="0.3">
      <c r="I520"/>
      <c r="J520"/>
    </row>
    <row r="521" spans="9:10" x14ac:dyDescent="0.3">
      <c r="I521"/>
      <c r="J521"/>
    </row>
    <row r="522" spans="9:10" x14ac:dyDescent="0.3">
      <c r="I522"/>
      <c r="J522"/>
    </row>
    <row r="523" spans="9:10" x14ac:dyDescent="0.3">
      <c r="I523"/>
      <c r="J523"/>
    </row>
    <row r="524" spans="9:10" x14ac:dyDescent="0.3">
      <c r="I524"/>
      <c r="J524"/>
    </row>
    <row r="525" spans="9:10" x14ac:dyDescent="0.3">
      <c r="I525"/>
      <c r="J525"/>
    </row>
    <row r="526" spans="9:10" x14ac:dyDescent="0.3">
      <c r="I526"/>
      <c r="J526"/>
    </row>
    <row r="527" spans="9:10" x14ac:dyDescent="0.3">
      <c r="I527"/>
      <c r="J527"/>
    </row>
    <row r="528" spans="9:10" x14ac:dyDescent="0.3">
      <c r="I528"/>
      <c r="J528"/>
    </row>
    <row r="529" spans="9:10" x14ac:dyDescent="0.3">
      <c r="I529"/>
      <c r="J529"/>
    </row>
    <row r="530" spans="9:10" x14ac:dyDescent="0.3">
      <c r="I530"/>
      <c r="J530"/>
    </row>
    <row r="531" spans="9:10" x14ac:dyDescent="0.3">
      <c r="I531"/>
      <c r="J531"/>
    </row>
    <row r="532" spans="9:10" x14ac:dyDescent="0.3">
      <c r="I532"/>
      <c r="J532"/>
    </row>
    <row r="533" spans="9:10" x14ac:dyDescent="0.3">
      <c r="I533"/>
      <c r="J533"/>
    </row>
    <row r="534" spans="9:10" x14ac:dyDescent="0.3">
      <c r="I534"/>
      <c r="J534"/>
    </row>
    <row r="535" spans="9:10" x14ac:dyDescent="0.3">
      <c r="I535"/>
      <c r="J535"/>
    </row>
    <row r="536" spans="9:10" x14ac:dyDescent="0.3">
      <c r="I536"/>
      <c r="J536"/>
    </row>
    <row r="537" spans="9:10" x14ac:dyDescent="0.3">
      <c r="I537"/>
      <c r="J537"/>
    </row>
    <row r="538" spans="9:10" x14ac:dyDescent="0.3">
      <c r="I538"/>
      <c r="J538"/>
    </row>
    <row r="539" spans="9:10" x14ac:dyDescent="0.3">
      <c r="I539"/>
      <c r="J539"/>
    </row>
    <row r="540" spans="9:10" x14ac:dyDescent="0.3">
      <c r="I540"/>
      <c r="J540"/>
    </row>
    <row r="541" spans="9:10" x14ac:dyDescent="0.3">
      <c r="I541"/>
      <c r="J541"/>
    </row>
    <row r="542" spans="9:10" x14ac:dyDescent="0.3">
      <c r="I542"/>
      <c r="J542"/>
    </row>
    <row r="543" spans="9:10" x14ac:dyDescent="0.3">
      <c r="I543"/>
      <c r="J543"/>
    </row>
    <row r="544" spans="9:10" x14ac:dyDescent="0.3">
      <c r="I544"/>
      <c r="J544"/>
    </row>
    <row r="545" spans="9:10" x14ac:dyDescent="0.3">
      <c r="I545"/>
      <c r="J545"/>
    </row>
    <row r="546" spans="9:10" x14ac:dyDescent="0.3">
      <c r="I546"/>
      <c r="J546"/>
    </row>
    <row r="547" spans="9:10" x14ac:dyDescent="0.3">
      <c r="I547"/>
      <c r="J547"/>
    </row>
    <row r="548" spans="9:10" x14ac:dyDescent="0.3">
      <c r="I548"/>
      <c r="J548"/>
    </row>
    <row r="549" spans="9:10" x14ac:dyDescent="0.3">
      <c r="I549"/>
      <c r="J549"/>
    </row>
    <row r="550" spans="9:10" x14ac:dyDescent="0.3">
      <c r="I550"/>
      <c r="J550"/>
    </row>
    <row r="551" spans="9:10" x14ac:dyDescent="0.3">
      <c r="I551"/>
      <c r="J551"/>
    </row>
    <row r="552" spans="9:10" x14ac:dyDescent="0.3">
      <c r="I552"/>
      <c r="J552"/>
    </row>
    <row r="553" spans="9:10" x14ac:dyDescent="0.3">
      <c r="I553"/>
      <c r="J553"/>
    </row>
    <row r="554" spans="9:10" x14ac:dyDescent="0.3">
      <c r="I554"/>
      <c r="J554"/>
    </row>
    <row r="555" spans="9:10" x14ac:dyDescent="0.3">
      <c r="I555"/>
      <c r="J555"/>
    </row>
    <row r="556" spans="9:10" x14ac:dyDescent="0.3">
      <c r="I556"/>
      <c r="J556"/>
    </row>
    <row r="557" spans="9:10" x14ac:dyDescent="0.3">
      <c r="I557"/>
      <c r="J557"/>
    </row>
    <row r="558" spans="9:10" x14ac:dyDescent="0.3">
      <c r="I558"/>
      <c r="J558"/>
    </row>
    <row r="559" spans="9:10" x14ac:dyDescent="0.3">
      <c r="I559"/>
      <c r="J559"/>
    </row>
    <row r="560" spans="9:10" x14ac:dyDescent="0.3">
      <c r="I560"/>
      <c r="J560"/>
    </row>
    <row r="561" spans="9:10" x14ac:dyDescent="0.3">
      <c r="I561"/>
      <c r="J561"/>
    </row>
    <row r="562" spans="9:10" x14ac:dyDescent="0.3">
      <c r="I562"/>
      <c r="J562"/>
    </row>
    <row r="563" spans="9:10" x14ac:dyDescent="0.3">
      <c r="I563"/>
      <c r="J563"/>
    </row>
    <row r="564" spans="9:10" x14ac:dyDescent="0.3">
      <c r="I564"/>
      <c r="J564"/>
    </row>
    <row r="565" spans="9:10" x14ac:dyDescent="0.3">
      <c r="I565"/>
      <c r="J565"/>
    </row>
    <row r="566" spans="9:10" x14ac:dyDescent="0.3">
      <c r="I566"/>
      <c r="J566"/>
    </row>
    <row r="567" spans="9:10" x14ac:dyDescent="0.3">
      <c r="I567"/>
      <c r="J567"/>
    </row>
    <row r="568" spans="9:10" x14ac:dyDescent="0.3">
      <c r="I568"/>
      <c r="J568"/>
    </row>
    <row r="569" spans="9:10" x14ac:dyDescent="0.3">
      <c r="I569"/>
      <c r="J569"/>
    </row>
    <row r="570" spans="9:10" x14ac:dyDescent="0.3">
      <c r="I570"/>
      <c r="J570"/>
    </row>
    <row r="571" spans="9:10" x14ac:dyDescent="0.3">
      <c r="I571"/>
      <c r="J571"/>
    </row>
    <row r="572" spans="9:10" x14ac:dyDescent="0.3">
      <c r="I572"/>
      <c r="J572"/>
    </row>
    <row r="573" spans="9:10" x14ac:dyDescent="0.3">
      <c r="I573"/>
      <c r="J573"/>
    </row>
    <row r="574" spans="9:10" x14ac:dyDescent="0.3">
      <c r="I574"/>
      <c r="J574"/>
    </row>
    <row r="575" spans="9:10" x14ac:dyDescent="0.3">
      <c r="I575"/>
      <c r="J575"/>
    </row>
    <row r="576" spans="9:10" x14ac:dyDescent="0.3">
      <c r="I576"/>
      <c r="J576"/>
    </row>
    <row r="577" spans="9:10" x14ac:dyDescent="0.3">
      <c r="I577"/>
      <c r="J577"/>
    </row>
    <row r="578" spans="9:10" x14ac:dyDescent="0.3">
      <c r="I578"/>
      <c r="J578"/>
    </row>
    <row r="579" spans="9:10" x14ac:dyDescent="0.3">
      <c r="I579"/>
      <c r="J579"/>
    </row>
    <row r="580" spans="9:10" x14ac:dyDescent="0.3">
      <c r="I580"/>
      <c r="J580"/>
    </row>
    <row r="581" spans="9:10" x14ac:dyDescent="0.3">
      <c r="I581"/>
      <c r="J581"/>
    </row>
    <row r="582" spans="9:10" x14ac:dyDescent="0.3">
      <c r="I582"/>
      <c r="J582"/>
    </row>
    <row r="583" spans="9:10" x14ac:dyDescent="0.3">
      <c r="I583"/>
      <c r="J583"/>
    </row>
    <row r="584" spans="9:10" x14ac:dyDescent="0.3">
      <c r="I584"/>
      <c r="J584"/>
    </row>
    <row r="585" spans="9:10" x14ac:dyDescent="0.3">
      <c r="I585"/>
      <c r="J585"/>
    </row>
    <row r="586" spans="9:10" x14ac:dyDescent="0.3">
      <c r="I586"/>
      <c r="J586"/>
    </row>
    <row r="587" spans="9:10" x14ac:dyDescent="0.3">
      <c r="I587"/>
      <c r="J587"/>
    </row>
    <row r="588" spans="9:10" x14ac:dyDescent="0.3">
      <c r="I588"/>
      <c r="J588"/>
    </row>
    <row r="589" spans="9:10" x14ac:dyDescent="0.3">
      <c r="I589"/>
      <c r="J589"/>
    </row>
    <row r="590" spans="9:10" x14ac:dyDescent="0.3">
      <c r="I590"/>
      <c r="J590"/>
    </row>
    <row r="591" spans="9:10" x14ac:dyDescent="0.3">
      <c r="I591"/>
      <c r="J591"/>
    </row>
    <row r="592" spans="9:10" x14ac:dyDescent="0.3">
      <c r="I592"/>
      <c r="J592"/>
    </row>
    <row r="593" spans="9:10" x14ac:dyDescent="0.3">
      <c r="I593"/>
      <c r="J593"/>
    </row>
    <row r="594" spans="9:10" x14ac:dyDescent="0.3">
      <c r="I594"/>
      <c r="J594"/>
    </row>
    <row r="595" spans="9:10" x14ac:dyDescent="0.3">
      <c r="I595"/>
      <c r="J595"/>
    </row>
    <row r="596" spans="9:10" x14ac:dyDescent="0.3">
      <c r="I596"/>
      <c r="J596"/>
    </row>
    <row r="597" spans="9:10" x14ac:dyDescent="0.3">
      <c r="I597"/>
      <c r="J597"/>
    </row>
    <row r="598" spans="9:10" x14ac:dyDescent="0.3">
      <c r="I598"/>
      <c r="J598"/>
    </row>
    <row r="599" spans="9:10" x14ac:dyDescent="0.3">
      <c r="I599"/>
      <c r="J599"/>
    </row>
    <row r="600" spans="9:10" x14ac:dyDescent="0.3">
      <c r="I600"/>
      <c r="J600"/>
    </row>
    <row r="601" spans="9:10" x14ac:dyDescent="0.3">
      <c r="I601"/>
      <c r="J601"/>
    </row>
    <row r="602" spans="9:10" x14ac:dyDescent="0.3">
      <c r="I602"/>
      <c r="J602"/>
    </row>
    <row r="603" spans="9:10" x14ac:dyDescent="0.3">
      <c r="I603"/>
      <c r="J603"/>
    </row>
    <row r="604" spans="9:10" x14ac:dyDescent="0.3">
      <c r="I604"/>
      <c r="J604"/>
    </row>
    <row r="605" spans="9:10" x14ac:dyDescent="0.3">
      <c r="I605"/>
      <c r="J605"/>
    </row>
    <row r="606" spans="9:10" x14ac:dyDescent="0.3">
      <c r="I606"/>
      <c r="J606"/>
    </row>
    <row r="607" spans="9:10" x14ac:dyDescent="0.3">
      <c r="I607"/>
      <c r="J607"/>
    </row>
    <row r="608" spans="9:10" x14ac:dyDescent="0.3">
      <c r="I608"/>
      <c r="J608"/>
    </row>
    <row r="609" spans="9:10" x14ac:dyDescent="0.3">
      <c r="I609"/>
      <c r="J609"/>
    </row>
    <row r="610" spans="9:10" x14ac:dyDescent="0.3">
      <c r="I610"/>
      <c r="J610"/>
    </row>
    <row r="611" spans="9:10" x14ac:dyDescent="0.3">
      <c r="I611"/>
      <c r="J611"/>
    </row>
    <row r="612" spans="9:10" x14ac:dyDescent="0.3">
      <c r="I612"/>
      <c r="J612"/>
    </row>
    <row r="613" spans="9:10" x14ac:dyDescent="0.3">
      <c r="I613"/>
      <c r="J613"/>
    </row>
    <row r="614" spans="9:10" x14ac:dyDescent="0.3">
      <c r="I614"/>
      <c r="J614"/>
    </row>
    <row r="615" spans="9:10" x14ac:dyDescent="0.3">
      <c r="I615"/>
      <c r="J615"/>
    </row>
    <row r="616" spans="9:10" x14ac:dyDescent="0.3">
      <c r="I616"/>
      <c r="J616"/>
    </row>
    <row r="617" spans="9:10" x14ac:dyDescent="0.3">
      <c r="I617"/>
      <c r="J617"/>
    </row>
    <row r="618" spans="9:10" x14ac:dyDescent="0.3">
      <c r="I618"/>
      <c r="J618"/>
    </row>
    <row r="619" spans="9:10" x14ac:dyDescent="0.3">
      <c r="I619"/>
      <c r="J619"/>
    </row>
    <row r="620" spans="9:10" x14ac:dyDescent="0.3">
      <c r="I620"/>
      <c r="J620"/>
    </row>
    <row r="621" spans="9:10" x14ac:dyDescent="0.3">
      <c r="I621"/>
      <c r="J621"/>
    </row>
    <row r="622" spans="9:10" x14ac:dyDescent="0.3">
      <c r="I622"/>
      <c r="J622"/>
    </row>
    <row r="623" spans="9:10" x14ac:dyDescent="0.3">
      <c r="I623"/>
      <c r="J623"/>
    </row>
    <row r="624" spans="9:10" x14ac:dyDescent="0.3">
      <c r="I624"/>
      <c r="J624"/>
    </row>
    <row r="625" spans="9:10" x14ac:dyDescent="0.3">
      <c r="I625"/>
      <c r="J625"/>
    </row>
    <row r="626" spans="9:10" x14ac:dyDescent="0.3">
      <c r="I626"/>
      <c r="J626"/>
    </row>
    <row r="627" spans="9:10" x14ac:dyDescent="0.3">
      <c r="I627"/>
      <c r="J627"/>
    </row>
    <row r="628" spans="9:10" x14ac:dyDescent="0.3">
      <c r="I628"/>
      <c r="J628"/>
    </row>
    <row r="629" spans="9:10" x14ac:dyDescent="0.3">
      <c r="I629"/>
      <c r="J629"/>
    </row>
    <row r="630" spans="9:10" x14ac:dyDescent="0.3">
      <c r="I630"/>
      <c r="J630"/>
    </row>
    <row r="631" spans="9:10" x14ac:dyDescent="0.3">
      <c r="I631"/>
      <c r="J631"/>
    </row>
    <row r="632" spans="9:10" x14ac:dyDescent="0.3">
      <c r="I632"/>
      <c r="J632"/>
    </row>
    <row r="633" spans="9:10" x14ac:dyDescent="0.3">
      <c r="I633"/>
      <c r="J633"/>
    </row>
    <row r="634" spans="9:10" x14ac:dyDescent="0.3">
      <c r="I634"/>
      <c r="J634"/>
    </row>
    <row r="635" spans="9:10" x14ac:dyDescent="0.3">
      <c r="I635"/>
      <c r="J635"/>
    </row>
    <row r="636" spans="9:10" x14ac:dyDescent="0.3">
      <c r="I636"/>
      <c r="J636"/>
    </row>
    <row r="637" spans="9:10" x14ac:dyDescent="0.3">
      <c r="I637"/>
      <c r="J637"/>
    </row>
    <row r="638" spans="9:10" x14ac:dyDescent="0.3">
      <c r="I638"/>
      <c r="J638"/>
    </row>
    <row r="639" spans="9:10" x14ac:dyDescent="0.3">
      <c r="I639"/>
      <c r="J639"/>
    </row>
    <row r="640" spans="9:10" x14ac:dyDescent="0.3">
      <c r="I640"/>
      <c r="J640"/>
    </row>
    <row r="641" spans="9:10" x14ac:dyDescent="0.3">
      <c r="I641"/>
      <c r="J641"/>
    </row>
    <row r="642" spans="9:10" x14ac:dyDescent="0.3">
      <c r="I642"/>
      <c r="J642"/>
    </row>
    <row r="643" spans="9:10" x14ac:dyDescent="0.3">
      <c r="I643"/>
      <c r="J643"/>
    </row>
    <row r="644" spans="9:10" x14ac:dyDescent="0.3">
      <c r="I644"/>
      <c r="J644"/>
    </row>
    <row r="645" spans="9:10" x14ac:dyDescent="0.3">
      <c r="I645"/>
      <c r="J645"/>
    </row>
    <row r="646" spans="9:10" x14ac:dyDescent="0.3">
      <c r="I646"/>
      <c r="J646"/>
    </row>
    <row r="647" spans="9:10" x14ac:dyDescent="0.3">
      <c r="I647"/>
      <c r="J647"/>
    </row>
    <row r="648" spans="9:10" x14ac:dyDescent="0.3">
      <c r="I648"/>
      <c r="J648"/>
    </row>
    <row r="649" spans="9:10" x14ac:dyDescent="0.3">
      <c r="I649"/>
      <c r="J649"/>
    </row>
    <row r="650" spans="9:10" x14ac:dyDescent="0.3">
      <c r="I650"/>
      <c r="J650"/>
    </row>
    <row r="651" spans="9:10" x14ac:dyDescent="0.3">
      <c r="I651"/>
      <c r="J651"/>
    </row>
    <row r="652" spans="9:10" x14ac:dyDescent="0.3">
      <c r="I652"/>
      <c r="J652"/>
    </row>
    <row r="653" spans="9:10" x14ac:dyDescent="0.3">
      <c r="I653"/>
      <c r="J653"/>
    </row>
    <row r="654" spans="9:10" x14ac:dyDescent="0.3">
      <c r="I654"/>
      <c r="J654"/>
    </row>
    <row r="655" spans="9:10" x14ac:dyDescent="0.3">
      <c r="I655"/>
      <c r="J655"/>
    </row>
    <row r="656" spans="9:10" x14ac:dyDescent="0.3">
      <c r="I656"/>
      <c r="J656"/>
    </row>
    <row r="657" spans="9:10" x14ac:dyDescent="0.3">
      <c r="I657"/>
      <c r="J657"/>
    </row>
    <row r="658" spans="9:10" x14ac:dyDescent="0.3">
      <c r="I658"/>
      <c r="J658"/>
    </row>
    <row r="659" spans="9:10" x14ac:dyDescent="0.3">
      <c r="I659"/>
      <c r="J659"/>
    </row>
    <row r="660" spans="9:10" x14ac:dyDescent="0.3">
      <c r="I660"/>
      <c r="J660"/>
    </row>
    <row r="661" spans="9:10" x14ac:dyDescent="0.3">
      <c r="I661"/>
      <c r="J661"/>
    </row>
    <row r="662" spans="9:10" x14ac:dyDescent="0.3">
      <c r="I662"/>
      <c r="J662"/>
    </row>
    <row r="663" spans="9:10" x14ac:dyDescent="0.3">
      <c r="I663"/>
      <c r="J663"/>
    </row>
    <row r="664" spans="9:10" x14ac:dyDescent="0.3">
      <c r="I664"/>
      <c r="J664"/>
    </row>
    <row r="665" spans="9:10" x14ac:dyDescent="0.3">
      <c r="I665"/>
      <c r="J665"/>
    </row>
    <row r="666" spans="9:10" x14ac:dyDescent="0.3">
      <c r="I666"/>
      <c r="J666"/>
    </row>
    <row r="667" spans="9:10" x14ac:dyDescent="0.3">
      <c r="I667"/>
      <c r="J667"/>
    </row>
    <row r="668" spans="9:10" x14ac:dyDescent="0.3">
      <c r="I668"/>
      <c r="J668"/>
    </row>
    <row r="669" spans="9:10" x14ac:dyDescent="0.3">
      <c r="I669"/>
      <c r="J669"/>
    </row>
    <row r="670" spans="9:10" x14ac:dyDescent="0.3">
      <c r="I670"/>
      <c r="J670"/>
    </row>
    <row r="671" spans="9:10" x14ac:dyDescent="0.3">
      <c r="I671"/>
      <c r="J671"/>
    </row>
    <row r="672" spans="9:10" x14ac:dyDescent="0.3">
      <c r="I672"/>
      <c r="J672"/>
    </row>
    <row r="673" spans="9:10" x14ac:dyDescent="0.3">
      <c r="I673"/>
      <c r="J673"/>
    </row>
    <row r="674" spans="9:10" x14ac:dyDescent="0.3">
      <c r="I674"/>
      <c r="J674"/>
    </row>
    <row r="675" spans="9:10" x14ac:dyDescent="0.3">
      <c r="I675"/>
      <c r="J675"/>
    </row>
    <row r="676" spans="9:10" x14ac:dyDescent="0.3">
      <c r="I676"/>
      <c r="J676"/>
    </row>
    <row r="677" spans="9:10" x14ac:dyDescent="0.3">
      <c r="I677"/>
      <c r="J677"/>
    </row>
    <row r="678" spans="9:10" x14ac:dyDescent="0.3">
      <c r="I678"/>
      <c r="J678"/>
    </row>
    <row r="679" spans="9:10" x14ac:dyDescent="0.3">
      <c r="I679"/>
      <c r="J679"/>
    </row>
    <row r="680" spans="9:10" x14ac:dyDescent="0.3">
      <c r="I680"/>
      <c r="J680"/>
    </row>
    <row r="681" spans="9:10" x14ac:dyDescent="0.3">
      <c r="I681"/>
      <c r="J681"/>
    </row>
    <row r="682" spans="9:10" x14ac:dyDescent="0.3">
      <c r="I682"/>
      <c r="J682"/>
    </row>
    <row r="683" spans="9:10" x14ac:dyDescent="0.3">
      <c r="I683"/>
      <c r="J683"/>
    </row>
    <row r="684" spans="9:10" x14ac:dyDescent="0.3">
      <c r="I684"/>
      <c r="J684"/>
    </row>
    <row r="685" spans="9:10" x14ac:dyDescent="0.3">
      <c r="I685"/>
      <c r="J685"/>
    </row>
    <row r="686" spans="9:10" x14ac:dyDescent="0.3">
      <c r="I686"/>
      <c r="J686"/>
    </row>
    <row r="687" spans="9:10" x14ac:dyDescent="0.3">
      <c r="I687"/>
      <c r="J687"/>
    </row>
    <row r="688" spans="9:10" x14ac:dyDescent="0.3">
      <c r="I688"/>
      <c r="J688"/>
    </row>
    <row r="689" spans="9:10" x14ac:dyDescent="0.3">
      <c r="I689"/>
      <c r="J689"/>
    </row>
    <row r="690" spans="9:10" x14ac:dyDescent="0.3">
      <c r="I690"/>
      <c r="J690"/>
    </row>
    <row r="691" spans="9:10" x14ac:dyDescent="0.3">
      <c r="I691"/>
      <c r="J691"/>
    </row>
    <row r="692" spans="9:10" x14ac:dyDescent="0.3">
      <c r="I692"/>
      <c r="J692"/>
    </row>
    <row r="693" spans="9:10" x14ac:dyDescent="0.3">
      <c r="I693"/>
      <c r="J693"/>
    </row>
    <row r="694" spans="9:10" x14ac:dyDescent="0.3">
      <c r="I694"/>
      <c r="J694"/>
    </row>
    <row r="695" spans="9:10" x14ac:dyDescent="0.3">
      <c r="I695"/>
      <c r="J695"/>
    </row>
    <row r="696" spans="9:10" x14ac:dyDescent="0.3">
      <c r="I696"/>
      <c r="J696"/>
    </row>
    <row r="697" spans="9:10" x14ac:dyDescent="0.3">
      <c r="I697"/>
      <c r="J697"/>
    </row>
    <row r="698" spans="9:10" x14ac:dyDescent="0.3">
      <c r="I698"/>
      <c r="J698"/>
    </row>
    <row r="699" spans="9:10" x14ac:dyDescent="0.3">
      <c r="I699"/>
      <c r="J699"/>
    </row>
    <row r="700" spans="9:10" x14ac:dyDescent="0.3">
      <c r="I700"/>
      <c r="J700"/>
    </row>
    <row r="701" spans="9:10" x14ac:dyDescent="0.3">
      <c r="I701"/>
      <c r="J701"/>
    </row>
    <row r="702" spans="9:10" x14ac:dyDescent="0.3">
      <c r="I702"/>
      <c r="J702"/>
    </row>
    <row r="703" spans="9:10" x14ac:dyDescent="0.3">
      <c r="I703"/>
      <c r="J703"/>
    </row>
    <row r="704" spans="9:10" x14ac:dyDescent="0.3">
      <c r="I704"/>
      <c r="J704"/>
    </row>
    <row r="705" spans="9:10" x14ac:dyDescent="0.3">
      <c r="I705"/>
      <c r="J705"/>
    </row>
    <row r="706" spans="9:10" x14ac:dyDescent="0.3">
      <c r="I706"/>
      <c r="J706"/>
    </row>
    <row r="707" spans="9:10" x14ac:dyDescent="0.3">
      <c r="I707"/>
      <c r="J707"/>
    </row>
    <row r="708" spans="9:10" x14ac:dyDescent="0.3">
      <c r="I708"/>
      <c r="J708"/>
    </row>
    <row r="709" spans="9:10" x14ac:dyDescent="0.3">
      <c r="I709"/>
      <c r="J709"/>
    </row>
    <row r="710" spans="9:10" x14ac:dyDescent="0.3">
      <c r="I710"/>
      <c r="J710"/>
    </row>
    <row r="711" spans="9:10" x14ac:dyDescent="0.3">
      <c r="I711"/>
      <c r="J711"/>
    </row>
    <row r="712" spans="9:10" x14ac:dyDescent="0.3">
      <c r="I712"/>
      <c r="J712"/>
    </row>
    <row r="713" spans="9:10" x14ac:dyDescent="0.3">
      <c r="I713"/>
      <c r="J713"/>
    </row>
    <row r="714" spans="9:10" x14ac:dyDescent="0.3">
      <c r="I714"/>
      <c r="J714"/>
    </row>
    <row r="715" spans="9:10" x14ac:dyDescent="0.3">
      <c r="I715"/>
      <c r="J715"/>
    </row>
    <row r="716" spans="9:10" x14ac:dyDescent="0.3">
      <c r="I716"/>
      <c r="J716"/>
    </row>
    <row r="717" spans="9:10" x14ac:dyDescent="0.3">
      <c r="I717"/>
      <c r="J717"/>
    </row>
    <row r="718" spans="9:10" x14ac:dyDescent="0.3">
      <c r="I718"/>
      <c r="J718"/>
    </row>
    <row r="719" spans="9:10" x14ac:dyDescent="0.3">
      <c r="I719"/>
      <c r="J719"/>
    </row>
    <row r="720" spans="9:10" x14ac:dyDescent="0.3">
      <c r="I720"/>
      <c r="J720"/>
    </row>
    <row r="721" spans="9:10" x14ac:dyDescent="0.3">
      <c r="I721"/>
      <c r="J721"/>
    </row>
    <row r="722" spans="9:10" x14ac:dyDescent="0.3">
      <c r="I722"/>
      <c r="J722"/>
    </row>
    <row r="723" spans="9:10" x14ac:dyDescent="0.3">
      <c r="I723"/>
      <c r="J723"/>
    </row>
    <row r="724" spans="9:10" x14ac:dyDescent="0.3">
      <c r="I724"/>
      <c r="J724"/>
    </row>
    <row r="725" spans="9:10" x14ac:dyDescent="0.3">
      <c r="I725"/>
      <c r="J725"/>
    </row>
    <row r="726" spans="9:10" x14ac:dyDescent="0.3">
      <c r="I726"/>
      <c r="J726"/>
    </row>
    <row r="727" spans="9:10" x14ac:dyDescent="0.3">
      <c r="I727"/>
      <c r="J727"/>
    </row>
    <row r="728" spans="9:10" x14ac:dyDescent="0.3">
      <c r="I728"/>
      <c r="J728"/>
    </row>
    <row r="729" spans="9:10" x14ac:dyDescent="0.3">
      <c r="I729"/>
      <c r="J729"/>
    </row>
    <row r="730" spans="9:10" x14ac:dyDescent="0.3">
      <c r="I730"/>
      <c r="J730"/>
    </row>
    <row r="731" spans="9:10" x14ac:dyDescent="0.3">
      <c r="I731"/>
      <c r="J731"/>
    </row>
    <row r="732" spans="9:10" x14ac:dyDescent="0.3">
      <c r="I732"/>
      <c r="J732"/>
    </row>
    <row r="733" spans="9:10" x14ac:dyDescent="0.3">
      <c r="I733"/>
      <c r="J733"/>
    </row>
    <row r="734" spans="9:10" x14ac:dyDescent="0.3">
      <c r="I734"/>
      <c r="J734"/>
    </row>
    <row r="735" spans="9:10" x14ac:dyDescent="0.3">
      <c r="I735"/>
      <c r="J735"/>
    </row>
    <row r="736" spans="9:10" x14ac:dyDescent="0.3">
      <c r="I736"/>
      <c r="J736"/>
    </row>
    <row r="737" spans="9:10" x14ac:dyDescent="0.3">
      <c r="I737"/>
      <c r="J737"/>
    </row>
    <row r="738" spans="9:10" x14ac:dyDescent="0.3">
      <c r="I738"/>
      <c r="J738"/>
    </row>
    <row r="739" spans="9:10" x14ac:dyDescent="0.3">
      <c r="I739"/>
      <c r="J739"/>
    </row>
    <row r="740" spans="9:10" x14ac:dyDescent="0.3">
      <c r="I740"/>
      <c r="J740"/>
    </row>
    <row r="741" spans="9:10" x14ac:dyDescent="0.3">
      <c r="I741"/>
      <c r="J741"/>
    </row>
    <row r="742" spans="9:10" x14ac:dyDescent="0.3">
      <c r="I742"/>
      <c r="J742"/>
    </row>
    <row r="743" spans="9:10" x14ac:dyDescent="0.3">
      <c r="I743"/>
      <c r="J743"/>
    </row>
    <row r="744" spans="9:10" x14ac:dyDescent="0.3">
      <c r="I744"/>
      <c r="J744"/>
    </row>
    <row r="745" spans="9:10" x14ac:dyDescent="0.3">
      <c r="I745"/>
      <c r="J745"/>
    </row>
    <row r="746" spans="9:10" x14ac:dyDescent="0.3">
      <c r="I746"/>
      <c r="J746"/>
    </row>
    <row r="747" spans="9:10" x14ac:dyDescent="0.3">
      <c r="I747"/>
      <c r="J747"/>
    </row>
    <row r="748" spans="9:10" x14ac:dyDescent="0.3">
      <c r="I748"/>
      <c r="J748"/>
    </row>
    <row r="749" spans="9:10" x14ac:dyDescent="0.3">
      <c r="I749"/>
      <c r="J749"/>
    </row>
    <row r="750" spans="9:10" x14ac:dyDescent="0.3">
      <c r="I750"/>
      <c r="J750"/>
    </row>
    <row r="751" spans="9:10" x14ac:dyDescent="0.3">
      <c r="I751"/>
      <c r="J751"/>
    </row>
    <row r="752" spans="9:10" x14ac:dyDescent="0.3">
      <c r="I752"/>
      <c r="J752"/>
    </row>
    <row r="753" spans="9:10" x14ac:dyDescent="0.3">
      <c r="I753"/>
      <c r="J753"/>
    </row>
    <row r="754" spans="9:10" x14ac:dyDescent="0.3">
      <c r="I754"/>
      <c r="J754"/>
    </row>
    <row r="755" spans="9:10" x14ac:dyDescent="0.3">
      <c r="I755"/>
      <c r="J755"/>
    </row>
    <row r="756" spans="9:10" x14ac:dyDescent="0.3">
      <c r="I756"/>
      <c r="J756"/>
    </row>
    <row r="757" spans="9:10" x14ac:dyDescent="0.3">
      <c r="I757"/>
      <c r="J757"/>
    </row>
    <row r="758" spans="9:10" x14ac:dyDescent="0.3">
      <c r="I758"/>
      <c r="J758"/>
    </row>
    <row r="759" spans="9:10" x14ac:dyDescent="0.3">
      <c r="I759"/>
      <c r="J759"/>
    </row>
    <row r="760" spans="9:10" x14ac:dyDescent="0.3">
      <c r="I760"/>
      <c r="J760"/>
    </row>
    <row r="761" spans="9:10" x14ac:dyDescent="0.3">
      <c r="I761"/>
      <c r="J761"/>
    </row>
    <row r="762" spans="9:10" x14ac:dyDescent="0.3">
      <c r="I762"/>
      <c r="J762"/>
    </row>
    <row r="763" spans="9:10" x14ac:dyDescent="0.3">
      <c r="I763"/>
      <c r="J763"/>
    </row>
    <row r="764" spans="9:10" x14ac:dyDescent="0.3">
      <c r="I764"/>
      <c r="J764"/>
    </row>
    <row r="765" spans="9:10" x14ac:dyDescent="0.3">
      <c r="I765"/>
      <c r="J765"/>
    </row>
    <row r="766" spans="9:10" x14ac:dyDescent="0.3">
      <c r="I766"/>
      <c r="J766"/>
    </row>
    <row r="767" spans="9:10" x14ac:dyDescent="0.3">
      <c r="I767"/>
      <c r="J767"/>
    </row>
    <row r="768" spans="9:10" x14ac:dyDescent="0.3">
      <c r="I768"/>
      <c r="J768"/>
    </row>
    <row r="769" spans="9:10" x14ac:dyDescent="0.3">
      <c r="I769"/>
      <c r="J769"/>
    </row>
    <row r="770" spans="9:10" x14ac:dyDescent="0.3">
      <c r="I770"/>
      <c r="J770"/>
    </row>
    <row r="771" spans="9:10" x14ac:dyDescent="0.3">
      <c r="I771"/>
      <c r="J771"/>
    </row>
    <row r="772" spans="9:10" x14ac:dyDescent="0.3">
      <c r="I772"/>
      <c r="J772"/>
    </row>
    <row r="773" spans="9:10" x14ac:dyDescent="0.3">
      <c r="I773"/>
      <c r="J773"/>
    </row>
    <row r="774" spans="9:10" x14ac:dyDescent="0.3">
      <c r="I774"/>
      <c r="J774"/>
    </row>
    <row r="775" spans="9:10" x14ac:dyDescent="0.3">
      <c r="I775"/>
      <c r="J775"/>
    </row>
    <row r="776" spans="9:10" x14ac:dyDescent="0.3">
      <c r="I776"/>
      <c r="J776"/>
    </row>
    <row r="777" spans="9:10" x14ac:dyDescent="0.3">
      <c r="I777"/>
      <c r="J777"/>
    </row>
    <row r="778" spans="9:10" x14ac:dyDescent="0.3">
      <c r="I778"/>
      <c r="J778"/>
    </row>
    <row r="779" spans="9:10" x14ac:dyDescent="0.3">
      <c r="I779"/>
      <c r="J779"/>
    </row>
    <row r="780" spans="9:10" x14ac:dyDescent="0.3">
      <c r="I780"/>
      <c r="J780"/>
    </row>
    <row r="781" spans="9:10" x14ac:dyDescent="0.3">
      <c r="I781"/>
      <c r="J781"/>
    </row>
    <row r="782" spans="9:10" x14ac:dyDescent="0.3">
      <c r="I782"/>
      <c r="J782"/>
    </row>
    <row r="783" spans="9:10" x14ac:dyDescent="0.3">
      <c r="I783"/>
      <c r="J783"/>
    </row>
    <row r="784" spans="9:10" x14ac:dyDescent="0.3">
      <c r="I784"/>
      <c r="J784"/>
    </row>
    <row r="785" spans="9:10" x14ac:dyDescent="0.3">
      <c r="I785"/>
      <c r="J785"/>
    </row>
    <row r="786" spans="9:10" x14ac:dyDescent="0.3">
      <c r="I786"/>
      <c r="J786"/>
    </row>
    <row r="787" spans="9:10" x14ac:dyDescent="0.3">
      <c r="I787"/>
      <c r="J787"/>
    </row>
    <row r="788" spans="9:10" x14ac:dyDescent="0.3">
      <c r="I788"/>
      <c r="J788"/>
    </row>
    <row r="789" spans="9:10" x14ac:dyDescent="0.3">
      <c r="I789"/>
      <c r="J789"/>
    </row>
    <row r="790" spans="9:10" x14ac:dyDescent="0.3">
      <c r="I790"/>
      <c r="J790"/>
    </row>
    <row r="791" spans="9:10" x14ac:dyDescent="0.3">
      <c r="I791"/>
      <c r="J791"/>
    </row>
    <row r="792" spans="9:10" x14ac:dyDescent="0.3">
      <c r="I792"/>
      <c r="J792"/>
    </row>
    <row r="793" spans="9:10" x14ac:dyDescent="0.3">
      <c r="I793"/>
      <c r="J793"/>
    </row>
    <row r="794" spans="9:10" x14ac:dyDescent="0.3">
      <c r="I794"/>
      <c r="J794"/>
    </row>
    <row r="795" spans="9:10" x14ac:dyDescent="0.3">
      <c r="I795"/>
      <c r="J795"/>
    </row>
    <row r="796" spans="9:10" x14ac:dyDescent="0.3">
      <c r="I796"/>
      <c r="J796"/>
    </row>
    <row r="797" spans="9:10" x14ac:dyDescent="0.3">
      <c r="I797"/>
      <c r="J797"/>
    </row>
    <row r="798" spans="9:10" x14ac:dyDescent="0.3">
      <c r="I798"/>
      <c r="J798"/>
    </row>
    <row r="799" spans="9:10" x14ac:dyDescent="0.3">
      <c r="I799"/>
      <c r="J799"/>
    </row>
    <row r="800" spans="9:10" x14ac:dyDescent="0.3">
      <c r="I800"/>
      <c r="J800"/>
    </row>
    <row r="801" spans="9:10" x14ac:dyDescent="0.3">
      <c r="I801"/>
      <c r="J801"/>
    </row>
    <row r="802" spans="9:10" x14ac:dyDescent="0.3">
      <c r="I802"/>
      <c r="J802"/>
    </row>
    <row r="803" spans="9:10" x14ac:dyDescent="0.3">
      <c r="I803"/>
      <c r="J803"/>
    </row>
    <row r="804" spans="9:10" x14ac:dyDescent="0.3">
      <c r="I804"/>
      <c r="J804"/>
    </row>
    <row r="805" spans="9:10" x14ac:dyDescent="0.3">
      <c r="I805"/>
      <c r="J805"/>
    </row>
    <row r="806" spans="9:10" x14ac:dyDescent="0.3">
      <c r="I806"/>
      <c r="J806"/>
    </row>
    <row r="807" spans="9:10" x14ac:dyDescent="0.3">
      <c r="I807"/>
      <c r="J807"/>
    </row>
    <row r="808" spans="9:10" x14ac:dyDescent="0.3">
      <c r="I808"/>
      <c r="J808"/>
    </row>
    <row r="809" spans="9:10" x14ac:dyDescent="0.3">
      <c r="I809"/>
      <c r="J809"/>
    </row>
    <row r="810" spans="9:10" x14ac:dyDescent="0.3">
      <c r="I810"/>
      <c r="J810"/>
    </row>
    <row r="811" spans="9:10" x14ac:dyDescent="0.3">
      <c r="I811"/>
      <c r="J811"/>
    </row>
    <row r="812" spans="9:10" x14ac:dyDescent="0.3">
      <c r="I812"/>
      <c r="J812"/>
    </row>
    <row r="813" spans="9:10" x14ac:dyDescent="0.3">
      <c r="I813"/>
      <c r="J813"/>
    </row>
    <row r="814" spans="9:10" x14ac:dyDescent="0.3">
      <c r="I814"/>
      <c r="J814"/>
    </row>
    <row r="815" spans="9:10" x14ac:dyDescent="0.3">
      <c r="I815"/>
      <c r="J815"/>
    </row>
    <row r="816" spans="9:10" x14ac:dyDescent="0.3">
      <c r="I816"/>
      <c r="J816"/>
    </row>
    <row r="817" spans="9:10" x14ac:dyDescent="0.3">
      <c r="I817"/>
      <c r="J817"/>
    </row>
    <row r="818" spans="9:10" x14ac:dyDescent="0.3">
      <c r="I818"/>
      <c r="J818"/>
    </row>
    <row r="819" spans="9:10" x14ac:dyDescent="0.3">
      <c r="I819"/>
      <c r="J819"/>
    </row>
    <row r="820" spans="9:10" x14ac:dyDescent="0.3">
      <c r="I820"/>
      <c r="J820"/>
    </row>
    <row r="821" spans="9:10" x14ac:dyDescent="0.3">
      <c r="I821"/>
      <c r="J821"/>
    </row>
    <row r="822" spans="9:10" x14ac:dyDescent="0.3">
      <c r="I822"/>
      <c r="J822"/>
    </row>
    <row r="823" spans="9:10" x14ac:dyDescent="0.3">
      <c r="I823"/>
      <c r="J823"/>
    </row>
    <row r="824" spans="9:10" x14ac:dyDescent="0.3">
      <c r="I824"/>
      <c r="J824"/>
    </row>
    <row r="825" spans="9:10" x14ac:dyDescent="0.3">
      <c r="I825"/>
      <c r="J825"/>
    </row>
    <row r="826" spans="9:10" x14ac:dyDescent="0.3">
      <c r="I826"/>
      <c r="J826"/>
    </row>
    <row r="827" spans="9:10" x14ac:dyDescent="0.3">
      <c r="I827"/>
      <c r="J827"/>
    </row>
    <row r="828" spans="9:10" x14ac:dyDescent="0.3">
      <c r="I828"/>
      <c r="J828"/>
    </row>
    <row r="829" spans="9:10" x14ac:dyDescent="0.3">
      <c r="I829"/>
      <c r="J829"/>
    </row>
    <row r="830" spans="9:10" x14ac:dyDescent="0.3">
      <c r="I830"/>
      <c r="J830"/>
    </row>
    <row r="831" spans="9:10" x14ac:dyDescent="0.3">
      <c r="I831"/>
      <c r="J831"/>
    </row>
    <row r="832" spans="9:10" x14ac:dyDescent="0.3">
      <c r="I832"/>
      <c r="J832"/>
    </row>
    <row r="833" spans="9:10" x14ac:dyDescent="0.3">
      <c r="I833"/>
      <c r="J833"/>
    </row>
    <row r="834" spans="9:10" x14ac:dyDescent="0.3">
      <c r="I834"/>
      <c r="J834"/>
    </row>
    <row r="835" spans="9:10" x14ac:dyDescent="0.3">
      <c r="I835"/>
      <c r="J835"/>
    </row>
    <row r="836" spans="9:10" x14ac:dyDescent="0.3">
      <c r="I836"/>
      <c r="J836"/>
    </row>
    <row r="837" spans="9:10" x14ac:dyDescent="0.3">
      <c r="I837"/>
      <c r="J837"/>
    </row>
    <row r="838" spans="9:10" x14ac:dyDescent="0.3">
      <c r="I838"/>
      <c r="J838"/>
    </row>
    <row r="839" spans="9:10" x14ac:dyDescent="0.3">
      <c r="I839"/>
      <c r="J839"/>
    </row>
    <row r="840" spans="9:10" x14ac:dyDescent="0.3">
      <c r="I840"/>
      <c r="J840"/>
    </row>
    <row r="841" spans="9:10" x14ac:dyDescent="0.3">
      <c r="I841"/>
      <c r="J841"/>
    </row>
    <row r="842" spans="9:10" x14ac:dyDescent="0.3">
      <c r="I842"/>
      <c r="J842"/>
    </row>
    <row r="843" spans="9:10" x14ac:dyDescent="0.3">
      <c r="I843"/>
      <c r="J843"/>
    </row>
    <row r="844" spans="9:10" x14ac:dyDescent="0.3">
      <c r="I844"/>
      <c r="J844"/>
    </row>
    <row r="845" spans="9:10" x14ac:dyDescent="0.3">
      <c r="I845"/>
      <c r="J845"/>
    </row>
    <row r="846" spans="9:10" x14ac:dyDescent="0.3">
      <c r="I846"/>
      <c r="J846"/>
    </row>
    <row r="847" spans="9:10" x14ac:dyDescent="0.3">
      <c r="I847"/>
      <c r="J847"/>
    </row>
    <row r="848" spans="9:10" x14ac:dyDescent="0.3">
      <c r="I848"/>
      <c r="J848"/>
    </row>
    <row r="849" spans="9:10" x14ac:dyDescent="0.3">
      <c r="I849"/>
      <c r="J849"/>
    </row>
    <row r="850" spans="9:10" x14ac:dyDescent="0.3">
      <c r="I850"/>
      <c r="J850"/>
    </row>
    <row r="851" spans="9:10" x14ac:dyDescent="0.3">
      <c r="I851"/>
      <c r="J851"/>
    </row>
    <row r="852" spans="9:10" x14ac:dyDescent="0.3">
      <c r="I852"/>
      <c r="J852"/>
    </row>
    <row r="853" spans="9:10" x14ac:dyDescent="0.3">
      <c r="I853"/>
      <c r="J853"/>
    </row>
    <row r="854" spans="9:10" x14ac:dyDescent="0.3">
      <c r="I854"/>
      <c r="J854"/>
    </row>
    <row r="855" spans="9:10" x14ac:dyDescent="0.3">
      <c r="I855"/>
      <c r="J855"/>
    </row>
    <row r="856" spans="9:10" x14ac:dyDescent="0.3">
      <c r="I856"/>
      <c r="J856"/>
    </row>
    <row r="857" spans="9:10" x14ac:dyDescent="0.3">
      <c r="I857"/>
      <c r="J857"/>
    </row>
    <row r="858" spans="9:10" x14ac:dyDescent="0.3">
      <c r="I858"/>
      <c r="J858"/>
    </row>
    <row r="859" spans="9:10" x14ac:dyDescent="0.3">
      <c r="I859"/>
      <c r="J859"/>
    </row>
    <row r="860" spans="9:10" x14ac:dyDescent="0.3">
      <c r="I860"/>
      <c r="J860"/>
    </row>
    <row r="861" spans="9:10" x14ac:dyDescent="0.3">
      <c r="I861"/>
      <c r="J861"/>
    </row>
    <row r="862" spans="9:10" x14ac:dyDescent="0.3">
      <c r="I862"/>
      <c r="J862"/>
    </row>
    <row r="863" spans="9:10" x14ac:dyDescent="0.3">
      <c r="I863"/>
      <c r="J863"/>
    </row>
    <row r="864" spans="9:10" x14ac:dyDescent="0.3">
      <c r="I864"/>
      <c r="J864"/>
    </row>
    <row r="865" spans="9:10" x14ac:dyDescent="0.3">
      <c r="I865"/>
      <c r="J865"/>
    </row>
    <row r="866" spans="9:10" x14ac:dyDescent="0.3">
      <c r="I866"/>
      <c r="J866"/>
    </row>
    <row r="867" spans="9:10" x14ac:dyDescent="0.3">
      <c r="I867"/>
      <c r="J867"/>
    </row>
    <row r="868" spans="9:10" x14ac:dyDescent="0.3">
      <c r="I868"/>
      <c r="J868"/>
    </row>
    <row r="869" spans="9:10" x14ac:dyDescent="0.3">
      <c r="I869"/>
      <c r="J869"/>
    </row>
    <row r="870" spans="9:10" x14ac:dyDescent="0.3">
      <c r="I870"/>
      <c r="J870"/>
    </row>
    <row r="871" spans="9:10" x14ac:dyDescent="0.3">
      <c r="I871"/>
      <c r="J871"/>
    </row>
    <row r="872" spans="9:10" x14ac:dyDescent="0.3">
      <c r="I872"/>
      <c r="J872"/>
    </row>
    <row r="873" spans="9:10" x14ac:dyDescent="0.3">
      <c r="I873"/>
      <c r="J873"/>
    </row>
    <row r="874" spans="9:10" x14ac:dyDescent="0.3">
      <c r="I874"/>
      <c r="J874"/>
    </row>
    <row r="875" spans="9:10" x14ac:dyDescent="0.3">
      <c r="I875"/>
      <c r="J875"/>
    </row>
    <row r="876" spans="9:10" x14ac:dyDescent="0.3">
      <c r="I876"/>
      <c r="J876"/>
    </row>
    <row r="877" spans="9:10" x14ac:dyDescent="0.3">
      <c r="I877"/>
      <c r="J877"/>
    </row>
    <row r="878" spans="9:10" x14ac:dyDescent="0.3">
      <c r="I878"/>
      <c r="J878"/>
    </row>
    <row r="879" spans="9:10" x14ac:dyDescent="0.3">
      <c r="I879"/>
      <c r="J879"/>
    </row>
    <row r="880" spans="9:10" x14ac:dyDescent="0.3">
      <c r="I880"/>
      <c r="J880"/>
    </row>
    <row r="881" spans="9:10" x14ac:dyDescent="0.3">
      <c r="I881"/>
      <c r="J881"/>
    </row>
    <row r="882" spans="9:10" x14ac:dyDescent="0.3">
      <c r="I882"/>
      <c r="J882"/>
    </row>
    <row r="883" spans="9:10" x14ac:dyDescent="0.3">
      <c r="I883"/>
      <c r="J883"/>
    </row>
    <row r="884" spans="9:10" x14ac:dyDescent="0.3">
      <c r="I884"/>
      <c r="J884"/>
    </row>
    <row r="885" spans="9:10" x14ac:dyDescent="0.3">
      <c r="I885"/>
      <c r="J885"/>
    </row>
    <row r="886" spans="9:10" x14ac:dyDescent="0.3">
      <c r="I886"/>
      <c r="J886"/>
    </row>
    <row r="887" spans="9:10" x14ac:dyDescent="0.3">
      <c r="I887"/>
      <c r="J887"/>
    </row>
    <row r="888" spans="9:10" x14ac:dyDescent="0.3">
      <c r="I888"/>
      <c r="J888"/>
    </row>
    <row r="889" spans="9:10" x14ac:dyDescent="0.3">
      <c r="I889"/>
      <c r="J889"/>
    </row>
    <row r="890" spans="9:10" x14ac:dyDescent="0.3">
      <c r="I890"/>
      <c r="J890"/>
    </row>
    <row r="891" spans="9:10" x14ac:dyDescent="0.3">
      <c r="I891"/>
      <c r="J891"/>
    </row>
    <row r="892" spans="9:10" x14ac:dyDescent="0.3">
      <c r="I892"/>
      <c r="J892"/>
    </row>
    <row r="893" spans="9:10" x14ac:dyDescent="0.3">
      <c r="I893"/>
      <c r="J893"/>
    </row>
    <row r="894" spans="9:10" x14ac:dyDescent="0.3">
      <c r="I894"/>
      <c r="J894"/>
    </row>
    <row r="895" spans="9:10" x14ac:dyDescent="0.3">
      <c r="I895"/>
      <c r="J895"/>
    </row>
    <row r="896" spans="9:10" x14ac:dyDescent="0.3">
      <c r="I896"/>
      <c r="J896"/>
    </row>
    <row r="897" spans="9:10" x14ac:dyDescent="0.3">
      <c r="I897"/>
      <c r="J897"/>
    </row>
    <row r="898" spans="9:10" x14ac:dyDescent="0.3">
      <c r="I898"/>
      <c r="J898"/>
    </row>
    <row r="899" spans="9:10" x14ac:dyDescent="0.3">
      <c r="I899"/>
      <c r="J899"/>
    </row>
    <row r="900" spans="9:10" x14ac:dyDescent="0.3">
      <c r="I900"/>
      <c r="J900"/>
    </row>
    <row r="901" spans="9:10" x14ac:dyDescent="0.3">
      <c r="I901"/>
      <c r="J901"/>
    </row>
    <row r="902" spans="9:10" x14ac:dyDescent="0.3">
      <c r="I902"/>
      <c r="J902"/>
    </row>
    <row r="903" spans="9:10" x14ac:dyDescent="0.3">
      <c r="I903"/>
      <c r="J903"/>
    </row>
    <row r="904" spans="9:10" x14ac:dyDescent="0.3">
      <c r="I904"/>
      <c r="J904"/>
    </row>
    <row r="905" spans="9:10" x14ac:dyDescent="0.3">
      <c r="I905"/>
      <c r="J905"/>
    </row>
    <row r="906" spans="9:10" x14ac:dyDescent="0.3">
      <c r="I906"/>
      <c r="J906"/>
    </row>
    <row r="907" spans="9:10" x14ac:dyDescent="0.3">
      <c r="I907"/>
      <c r="J907"/>
    </row>
    <row r="908" spans="9:10" x14ac:dyDescent="0.3">
      <c r="I908"/>
      <c r="J908"/>
    </row>
    <row r="909" spans="9:10" x14ac:dyDescent="0.3">
      <c r="I909"/>
      <c r="J909"/>
    </row>
    <row r="910" spans="9:10" x14ac:dyDescent="0.3">
      <c r="I910"/>
      <c r="J910"/>
    </row>
    <row r="911" spans="9:10" x14ac:dyDescent="0.3">
      <c r="I911"/>
      <c r="J911"/>
    </row>
    <row r="912" spans="9:10" x14ac:dyDescent="0.3">
      <c r="I912"/>
      <c r="J912"/>
    </row>
    <row r="913" spans="9:10" x14ac:dyDescent="0.3">
      <c r="I913"/>
      <c r="J913"/>
    </row>
    <row r="914" spans="9:10" x14ac:dyDescent="0.3">
      <c r="I914"/>
      <c r="J914"/>
    </row>
    <row r="915" spans="9:10" x14ac:dyDescent="0.3">
      <c r="I915"/>
      <c r="J915"/>
    </row>
    <row r="916" spans="9:10" x14ac:dyDescent="0.3">
      <c r="I916"/>
      <c r="J916"/>
    </row>
    <row r="917" spans="9:10" x14ac:dyDescent="0.3">
      <c r="I917"/>
      <c r="J917"/>
    </row>
    <row r="918" spans="9:10" x14ac:dyDescent="0.3">
      <c r="I918"/>
      <c r="J918"/>
    </row>
    <row r="919" spans="9:10" x14ac:dyDescent="0.3">
      <c r="I919"/>
      <c r="J919"/>
    </row>
    <row r="920" spans="9:10" x14ac:dyDescent="0.3">
      <c r="I920"/>
      <c r="J920"/>
    </row>
    <row r="921" spans="9:10" x14ac:dyDescent="0.3">
      <c r="I921"/>
      <c r="J921"/>
    </row>
    <row r="922" spans="9:10" x14ac:dyDescent="0.3">
      <c r="I922"/>
      <c r="J922"/>
    </row>
    <row r="923" spans="9:10" x14ac:dyDescent="0.3">
      <c r="I923"/>
      <c r="J923"/>
    </row>
    <row r="924" spans="9:10" x14ac:dyDescent="0.3">
      <c r="I924"/>
      <c r="J924"/>
    </row>
    <row r="925" spans="9:10" x14ac:dyDescent="0.3">
      <c r="I925"/>
      <c r="J925"/>
    </row>
    <row r="926" spans="9:10" x14ac:dyDescent="0.3">
      <c r="I926"/>
      <c r="J926"/>
    </row>
    <row r="927" spans="9:10" x14ac:dyDescent="0.3">
      <c r="I927"/>
      <c r="J927"/>
    </row>
    <row r="928" spans="9:10" x14ac:dyDescent="0.3">
      <c r="I928"/>
      <c r="J928"/>
    </row>
    <row r="929" spans="9:10" x14ac:dyDescent="0.3">
      <c r="I929"/>
      <c r="J929"/>
    </row>
    <row r="930" spans="9:10" x14ac:dyDescent="0.3">
      <c r="I930"/>
      <c r="J930"/>
    </row>
    <row r="931" spans="9:10" x14ac:dyDescent="0.3">
      <c r="I931"/>
      <c r="J931"/>
    </row>
    <row r="932" spans="9:10" x14ac:dyDescent="0.3">
      <c r="I932"/>
      <c r="J932"/>
    </row>
    <row r="933" spans="9:10" x14ac:dyDescent="0.3">
      <c r="I933"/>
      <c r="J933"/>
    </row>
    <row r="934" spans="9:10" x14ac:dyDescent="0.3">
      <c r="I934"/>
      <c r="J934"/>
    </row>
    <row r="935" spans="9:10" x14ac:dyDescent="0.3">
      <c r="I935"/>
      <c r="J935"/>
    </row>
    <row r="936" spans="9:10" x14ac:dyDescent="0.3">
      <c r="I936"/>
      <c r="J936"/>
    </row>
    <row r="937" spans="9:10" x14ac:dyDescent="0.3">
      <c r="I937"/>
      <c r="J937"/>
    </row>
    <row r="938" spans="9:10" x14ac:dyDescent="0.3">
      <c r="I938"/>
      <c r="J938"/>
    </row>
    <row r="939" spans="9:10" x14ac:dyDescent="0.3">
      <c r="I939"/>
      <c r="J939"/>
    </row>
    <row r="940" spans="9:10" x14ac:dyDescent="0.3">
      <c r="I940"/>
      <c r="J940"/>
    </row>
    <row r="941" spans="9:10" x14ac:dyDescent="0.3">
      <c r="I941"/>
      <c r="J941"/>
    </row>
    <row r="942" spans="9:10" x14ac:dyDescent="0.3">
      <c r="I942"/>
      <c r="J942"/>
    </row>
    <row r="943" spans="9:10" x14ac:dyDescent="0.3">
      <c r="I943"/>
      <c r="J943"/>
    </row>
    <row r="944" spans="9:10" x14ac:dyDescent="0.3">
      <c r="I944"/>
      <c r="J944"/>
    </row>
    <row r="945" spans="9:10" x14ac:dyDescent="0.3">
      <c r="I945"/>
      <c r="J945"/>
    </row>
    <row r="946" spans="9:10" x14ac:dyDescent="0.3">
      <c r="I946"/>
      <c r="J946"/>
    </row>
    <row r="947" spans="9:10" x14ac:dyDescent="0.3">
      <c r="I947"/>
      <c r="J947"/>
    </row>
    <row r="948" spans="9:10" x14ac:dyDescent="0.3">
      <c r="I948"/>
      <c r="J948"/>
    </row>
    <row r="949" spans="9:10" x14ac:dyDescent="0.3">
      <c r="I949"/>
      <c r="J949"/>
    </row>
    <row r="950" spans="9:10" x14ac:dyDescent="0.3">
      <c r="I950"/>
      <c r="J950"/>
    </row>
    <row r="951" spans="9:10" x14ac:dyDescent="0.3">
      <c r="I951"/>
      <c r="J951"/>
    </row>
    <row r="952" spans="9:10" x14ac:dyDescent="0.3">
      <c r="I952"/>
      <c r="J952"/>
    </row>
    <row r="953" spans="9:10" x14ac:dyDescent="0.3">
      <c r="I953"/>
      <c r="J953"/>
    </row>
    <row r="954" spans="9:10" x14ac:dyDescent="0.3">
      <c r="I954"/>
      <c r="J954"/>
    </row>
    <row r="955" spans="9:10" x14ac:dyDescent="0.3">
      <c r="I955"/>
      <c r="J955"/>
    </row>
    <row r="956" spans="9:10" x14ac:dyDescent="0.3">
      <c r="I956"/>
      <c r="J956"/>
    </row>
    <row r="957" spans="9:10" x14ac:dyDescent="0.3">
      <c r="I957"/>
      <c r="J957"/>
    </row>
    <row r="958" spans="9:10" x14ac:dyDescent="0.3">
      <c r="I958"/>
      <c r="J958"/>
    </row>
    <row r="959" spans="9:10" x14ac:dyDescent="0.3">
      <c r="I959"/>
      <c r="J959"/>
    </row>
    <row r="960" spans="9:10" x14ac:dyDescent="0.3">
      <c r="I960"/>
      <c r="J960"/>
    </row>
    <row r="961" spans="9:10" x14ac:dyDescent="0.3">
      <c r="I961"/>
      <c r="J961"/>
    </row>
    <row r="962" spans="9:10" x14ac:dyDescent="0.3">
      <c r="I962"/>
      <c r="J962"/>
    </row>
    <row r="963" spans="9:10" x14ac:dyDescent="0.3">
      <c r="I963"/>
      <c r="J963"/>
    </row>
    <row r="964" spans="9:10" x14ac:dyDescent="0.3">
      <c r="I964"/>
      <c r="J964"/>
    </row>
    <row r="965" spans="9:10" x14ac:dyDescent="0.3">
      <c r="I965"/>
      <c r="J965"/>
    </row>
    <row r="966" spans="9:10" x14ac:dyDescent="0.3">
      <c r="I966"/>
      <c r="J966"/>
    </row>
    <row r="967" spans="9:10" x14ac:dyDescent="0.3">
      <c r="I967"/>
      <c r="J967"/>
    </row>
    <row r="968" spans="9:10" x14ac:dyDescent="0.3">
      <c r="I968"/>
      <c r="J968"/>
    </row>
    <row r="969" spans="9:10" x14ac:dyDescent="0.3">
      <c r="I969"/>
      <c r="J969"/>
    </row>
    <row r="970" spans="9:10" x14ac:dyDescent="0.3">
      <c r="I970"/>
      <c r="J970"/>
    </row>
    <row r="971" spans="9:10" x14ac:dyDescent="0.3">
      <c r="I971"/>
      <c r="J971"/>
    </row>
    <row r="972" spans="9:10" x14ac:dyDescent="0.3">
      <c r="I972"/>
      <c r="J972"/>
    </row>
    <row r="973" spans="9:10" x14ac:dyDescent="0.3">
      <c r="I973"/>
      <c r="J973"/>
    </row>
    <row r="974" spans="9:10" x14ac:dyDescent="0.3">
      <c r="I974"/>
      <c r="J974"/>
    </row>
    <row r="975" spans="9:10" x14ac:dyDescent="0.3">
      <c r="I975"/>
      <c r="J975"/>
    </row>
    <row r="976" spans="9:10" x14ac:dyDescent="0.3">
      <c r="I976"/>
      <c r="J976"/>
    </row>
    <row r="977" spans="9:10" x14ac:dyDescent="0.3">
      <c r="I977"/>
      <c r="J977"/>
    </row>
    <row r="978" spans="9:10" x14ac:dyDescent="0.3">
      <c r="I978"/>
      <c r="J978"/>
    </row>
    <row r="979" spans="9:10" x14ac:dyDescent="0.3">
      <c r="I979"/>
      <c r="J979"/>
    </row>
    <row r="980" spans="9:10" x14ac:dyDescent="0.3">
      <c r="I980"/>
      <c r="J980"/>
    </row>
    <row r="981" spans="9:10" x14ac:dyDescent="0.3">
      <c r="I981"/>
      <c r="J981"/>
    </row>
    <row r="982" spans="9:10" x14ac:dyDescent="0.3">
      <c r="I982"/>
      <c r="J982"/>
    </row>
    <row r="983" spans="9:10" x14ac:dyDescent="0.3">
      <c r="I983"/>
      <c r="J983"/>
    </row>
    <row r="984" spans="9:10" x14ac:dyDescent="0.3">
      <c r="I984"/>
      <c r="J984"/>
    </row>
    <row r="985" spans="9:10" x14ac:dyDescent="0.3">
      <c r="I985"/>
      <c r="J985"/>
    </row>
    <row r="986" spans="9:10" x14ac:dyDescent="0.3">
      <c r="I986"/>
      <c r="J986"/>
    </row>
    <row r="987" spans="9:10" x14ac:dyDescent="0.3">
      <c r="I987"/>
      <c r="J987"/>
    </row>
    <row r="988" spans="9:10" x14ac:dyDescent="0.3">
      <c r="I988"/>
      <c r="J988"/>
    </row>
    <row r="989" spans="9:10" x14ac:dyDescent="0.3">
      <c r="I989"/>
      <c r="J989"/>
    </row>
    <row r="990" spans="9:10" x14ac:dyDescent="0.3">
      <c r="I990"/>
      <c r="J990"/>
    </row>
    <row r="991" spans="9:10" x14ac:dyDescent="0.3">
      <c r="I991"/>
      <c r="J991"/>
    </row>
    <row r="992" spans="9:10" x14ac:dyDescent="0.3">
      <c r="I992"/>
      <c r="J992"/>
    </row>
    <row r="993" spans="9:10" x14ac:dyDescent="0.3">
      <c r="I993"/>
      <c r="J993"/>
    </row>
    <row r="994" spans="9:10" x14ac:dyDescent="0.3">
      <c r="I994"/>
      <c r="J994"/>
    </row>
    <row r="995" spans="9:10" x14ac:dyDescent="0.3">
      <c r="I995"/>
      <c r="J995"/>
    </row>
    <row r="996" spans="9:10" x14ac:dyDescent="0.3">
      <c r="I996"/>
      <c r="J996"/>
    </row>
    <row r="997" spans="9:10" x14ac:dyDescent="0.3">
      <c r="I997"/>
      <c r="J997"/>
    </row>
    <row r="998" spans="9:10" x14ac:dyDescent="0.3">
      <c r="I998"/>
      <c r="J998"/>
    </row>
    <row r="999" spans="9:10" x14ac:dyDescent="0.3">
      <c r="I999"/>
      <c r="J999"/>
    </row>
    <row r="1000" spans="9:10" x14ac:dyDescent="0.3">
      <c r="I1000"/>
      <c r="J1000"/>
    </row>
    <row r="1001" spans="9:10" x14ac:dyDescent="0.3">
      <c r="I1001"/>
      <c r="J1001"/>
    </row>
    <row r="1002" spans="9:10" x14ac:dyDescent="0.3">
      <c r="I1002"/>
      <c r="J1002"/>
    </row>
    <row r="1003" spans="9:10" x14ac:dyDescent="0.3">
      <c r="I1003"/>
      <c r="J1003"/>
    </row>
    <row r="1004" spans="9:10" x14ac:dyDescent="0.3">
      <c r="I1004"/>
      <c r="J1004"/>
    </row>
    <row r="1005" spans="9:10" x14ac:dyDescent="0.3">
      <c r="I1005"/>
      <c r="J1005"/>
    </row>
    <row r="1006" spans="9:10" x14ac:dyDescent="0.3">
      <c r="I1006"/>
      <c r="J1006"/>
    </row>
    <row r="1007" spans="9:10" x14ac:dyDescent="0.3">
      <c r="I1007"/>
      <c r="J1007"/>
    </row>
    <row r="1008" spans="9:10" x14ac:dyDescent="0.3">
      <c r="I1008"/>
      <c r="J1008"/>
    </row>
    <row r="1009" spans="9:10" x14ac:dyDescent="0.3">
      <c r="I1009"/>
      <c r="J1009"/>
    </row>
    <row r="1010" spans="9:10" x14ac:dyDescent="0.3">
      <c r="I1010"/>
      <c r="J1010"/>
    </row>
    <row r="1011" spans="9:10" x14ac:dyDescent="0.3">
      <c r="I1011"/>
      <c r="J1011"/>
    </row>
    <row r="1012" spans="9:10" x14ac:dyDescent="0.3">
      <c r="I1012"/>
      <c r="J1012"/>
    </row>
    <row r="1013" spans="9:10" x14ac:dyDescent="0.3">
      <c r="I1013"/>
      <c r="J1013"/>
    </row>
    <row r="1014" spans="9:10" x14ac:dyDescent="0.3">
      <c r="I1014"/>
      <c r="J1014"/>
    </row>
    <row r="1015" spans="9:10" x14ac:dyDescent="0.3">
      <c r="I1015"/>
      <c r="J1015"/>
    </row>
    <row r="1016" spans="9:10" x14ac:dyDescent="0.3">
      <c r="I1016"/>
      <c r="J1016"/>
    </row>
    <row r="1017" spans="9:10" x14ac:dyDescent="0.3">
      <c r="I1017"/>
      <c r="J1017"/>
    </row>
    <row r="1018" spans="9:10" x14ac:dyDescent="0.3">
      <c r="I1018"/>
      <c r="J1018"/>
    </row>
    <row r="1019" spans="9:10" x14ac:dyDescent="0.3">
      <c r="I1019"/>
      <c r="J1019"/>
    </row>
    <row r="1020" spans="9:10" x14ac:dyDescent="0.3">
      <c r="I1020"/>
      <c r="J1020"/>
    </row>
    <row r="1021" spans="9:10" x14ac:dyDescent="0.3">
      <c r="I1021"/>
      <c r="J1021"/>
    </row>
    <row r="1022" spans="9:10" x14ac:dyDescent="0.3">
      <c r="I1022"/>
      <c r="J1022"/>
    </row>
    <row r="1023" spans="9:10" x14ac:dyDescent="0.3">
      <c r="I1023"/>
      <c r="J1023"/>
    </row>
    <row r="1024" spans="9:10" x14ac:dyDescent="0.3">
      <c r="I1024"/>
      <c r="J1024"/>
    </row>
    <row r="1025" spans="9:10" x14ac:dyDescent="0.3">
      <c r="I1025"/>
      <c r="J1025"/>
    </row>
    <row r="1026" spans="9:10" x14ac:dyDescent="0.3">
      <c r="I1026"/>
      <c r="J1026"/>
    </row>
    <row r="1027" spans="9:10" x14ac:dyDescent="0.3">
      <c r="I1027"/>
      <c r="J1027"/>
    </row>
    <row r="1028" spans="9:10" x14ac:dyDescent="0.3">
      <c r="I1028"/>
      <c r="J1028"/>
    </row>
    <row r="1029" spans="9:10" x14ac:dyDescent="0.3">
      <c r="I1029"/>
      <c r="J1029"/>
    </row>
    <row r="1030" spans="9:10" x14ac:dyDescent="0.3">
      <c r="I1030"/>
      <c r="J1030"/>
    </row>
    <row r="1031" spans="9:10" x14ac:dyDescent="0.3">
      <c r="I1031"/>
      <c r="J1031"/>
    </row>
    <row r="1032" spans="9:10" x14ac:dyDescent="0.3">
      <c r="I1032"/>
      <c r="J1032"/>
    </row>
    <row r="1033" spans="9:10" x14ac:dyDescent="0.3">
      <c r="I1033"/>
      <c r="J1033"/>
    </row>
    <row r="1034" spans="9:10" x14ac:dyDescent="0.3">
      <c r="I1034"/>
      <c r="J1034"/>
    </row>
    <row r="1035" spans="9:10" x14ac:dyDescent="0.3">
      <c r="I1035"/>
      <c r="J1035"/>
    </row>
    <row r="1036" spans="9:10" x14ac:dyDescent="0.3">
      <c r="I1036"/>
      <c r="J1036"/>
    </row>
    <row r="1037" spans="9:10" x14ac:dyDescent="0.3">
      <c r="I1037"/>
      <c r="J1037"/>
    </row>
    <row r="1038" spans="9:10" x14ac:dyDescent="0.3">
      <c r="I1038"/>
      <c r="J1038"/>
    </row>
    <row r="1039" spans="9:10" x14ac:dyDescent="0.3">
      <c r="I1039"/>
      <c r="J1039"/>
    </row>
    <row r="1040" spans="9:10" x14ac:dyDescent="0.3">
      <c r="I1040"/>
      <c r="J1040"/>
    </row>
    <row r="1041" spans="9:10" x14ac:dyDescent="0.3">
      <c r="I1041"/>
      <c r="J1041"/>
    </row>
    <row r="1042" spans="9:10" x14ac:dyDescent="0.3">
      <c r="I1042"/>
      <c r="J1042"/>
    </row>
    <row r="1043" spans="9:10" x14ac:dyDescent="0.3">
      <c r="I1043"/>
      <c r="J1043"/>
    </row>
    <row r="1044" spans="9:10" x14ac:dyDescent="0.3">
      <c r="I1044"/>
      <c r="J1044"/>
    </row>
    <row r="1045" spans="9:10" x14ac:dyDescent="0.3">
      <c r="I1045"/>
      <c r="J1045"/>
    </row>
    <row r="1046" spans="9:10" x14ac:dyDescent="0.3">
      <c r="I1046"/>
      <c r="J1046"/>
    </row>
    <row r="1047" spans="9:10" x14ac:dyDescent="0.3">
      <c r="I1047"/>
      <c r="J1047"/>
    </row>
    <row r="1048" spans="9:10" x14ac:dyDescent="0.3">
      <c r="I1048"/>
      <c r="J1048"/>
    </row>
    <row r="1049" spans="9:10" x14ac:dyDescent="0.3">
      <c r="I1049"/>
      <c r="J1049"/>
    </row>
    <row r="1050" spans="9:10" x14ac:dyDescent="0.3">
      <c r="I1050"/>
      <c r="J1050"/>
    </row>
    <row r="1051" spans="9:10" x14ac:dyDescent="0.3">
      <c r="I1051"/>
      <c r="J1051"/>
    </row>
    <row r="1052" spans="9:10" x14ac:dyDescent="0.3">
      <c r="I1052"/>
      <c r="J1052"/>
    </row>
    <row r="1053" spans="9:10" x14ac:dyDescent="0.3">
      <c r="I1053"/>
      <c r="J1053"/>
    </row>
    <row r="1054" spans="9:10" x14ac:dyDescent="0.3">
      <c r="I1054"/>
      <c r="J1054"/>
    </row>
    <row r="1055" spans="9:10" x14ac:dyDescent="0.3">
      <c r="I1055"/>
      <c r="J1055"/>
    </row>
    <row r="1056" spans="9:10" x14ac:dyDescent="0.3">
      <c r="I1056"/>
      <c r="J1056"/>
    </row>
    <row r="1057" spans="9:10" x14ac:dyDescent="0.3">
      <c r="I1057"/>
      <c r="J1057"/>
    </row>
    <row r="1058" spans="9:10" x14ac:dyDescent="0.3">
      <c r="I1058"/>
      <c r="J1058"/>
    </row>
    <row r="1059" spans="9:10" x14ac:dyDescent="0.3">
      <c r="I1059"/>
      <c r="J1059"/>
    </row>
    <row r="1060" spans="9:10" x14ac:dyDescent="0.3">
      <c r="I1060"/>
      <c r="J1060"/>
    </row>
    <row r="1061" spans="9:10" x14ac:dyDescent="0.3">
      <c r="I1061"/>
      <c r="J1061"/>
    </row>
    <row r="1062" spans="9:10" x14ac:dyDescent="0.3">
      <c r="I1062"/>
      <c r="J1062"/>
    </row>
    <row r="1063" spans="9:10" x14ac:dyDescent="0.3">
      <c r="I1063"/>
      <c r="J1063"/>
    </row>
    <row r="1064" spans="9:10" x14ac:dyDescent="0.3">
      <c r="I1064"/>
      <c r="J1064"/>
    </row>
    <row r="1065" spans="9:10" x14ac:dyDescent="0.3">
      <c r="I1065"/>
      <c r="J1065"/>
    </row>
    <row r="1066" spans="9:10" x14ac:dyDescent="0.3">
      <c r="I1066"/>
      <c r="J1066"/>
    </row>
    <row r="1067" spans="9:10" x14ac:dyDescent="0.3">
      <c r="I1067"/>
      <c r="J1067"/>
    </row>
    <row r="1068" spans="9:10" x14ac:dyDescent="0.3">
      <c r="I1068"/>
      <c r="J1068"/>
    </row>
    <row r="1069" spans="9:10" x14ac:dyDescent="0.3">
      <c r="I1069"/>
      <c r="J1069"/>
    </row>
    <row r="1070" spans="9:10" x14ac:dyDescent="0.3">
      <c r="I1070"/>
      <c r="J1070"/>
    </row>
    <row r="1071" spans="9:10" x14ac:dyDescent="0.3">
      <c r="I1071"/>
      <c r="J1071"/>
    </row>
    <row r="1072" spans="9:10" x14ac:dyDescent="0.3">
      <c r="I1072"/>
      <c r="J1072"/>
    </row>
    <row r="1073" spans="9:10" x14ac:dyDescent="0.3">
      <c r="I1073"/>
      <c r="J1073"/>
    </row>
    <row r="1074" spans="9:10" x14ac:dyDescent="0.3">
      <c r="I1074"/>
      <c r="J1074"/>
    </row>
    <row r="1075" spans="9:10" x14ac:dyDescent="0.3">
      <c r="I1075"/>
      <c r="J1075"/>
    </row>
    <row r="1076" spans="9:10" x14ac:dyDescent="0.3">
      <c r="I1076"/>
      <c r="J1076"/>
    </row>
    <row r="1077" spans="9:10" x14ac:dyDescent="0.3">
      <c r="I1077"/>
      <c r="J1077"/>
    </row>
    <row r="1078" spans="9:10" x14ac:dyDescent="0.3">
      <c r="I1078"/>
      <c r="J1078"/>
    </row>
    <row r="1079" spans="9:10" x14ac:dyDescent="0.3">
      <c r="I1079"/>
      <c r="J1079"/>
    </row>
    <row r="1080" spans="9:10" x14ac:dyDescent="0.3">
      <c r="I1080"/>
      <c r="J1080"/>
    </row>
    <row r="1081" spans="9:10" x14ac:dyDescent="0.3">
      <c r="I1081"/>
      <c r="J1081"/>
    </row>
    <row r="1082" spans="9:10" x14ac:dyDescent="0.3">
      <c r="I1082"/>
      <c r="J1082"/>
    </row>
    <row r="1083" spans="9:10" x14ac:dyDescent="0.3">
      <c r="I1083"/>
      <c r="J1083"/>
    </row>
    <row r="1084" spans="9:10" x14ac:dyDescent="0.3">
      <c r="I1084"/>
      <c r="J1084"/>
    </row>
    <row r="1085" spans="9:10" x14ac:dyDescent="0.3">
      <c r="I1085"/>
      <c r="J1085"/>
    </row>
    <row r="1086" spans="9:10" x14ac:dyDescent="0.3">
      <c r="I1086"/>
      <c r="J1086"/>
    </row>
    <row r="1087" spans="9:10" x14ac:dyDescent="0.3">
      <c r="I1087"/>
      <c r="J1087"/>
    </row>
    <row r="1088" spans="9:10" x14ac:dyDescent="0.3">
      <c r="I1088"/>
      <c r="J1088"/>
    </row>
    <row r="1089" spans="9:10" x14ac:dyDescent="0.3">
      <c r="I1089"/>
      <c r="J1089"/>
    </row>
    <row r="1090" spans="9:10" x14ac:dyDescent="0.3">
      <c r="I1090"/>
      <c r="J1090"/>
    </row>
    <row r="1091" spans="9:10" x14ac:dyDescent="0.3">
      <c r="I1091"/>
      <c r="J1091"/>
    </row>
    <row r="1092" spans="9:10" x14ac:dyDescent="0.3">
      <c r="I1092"/>
      <c r="J1092"/>
    </row>
    <row r="1093" spans="9:10" x14ac:dyDescent="0.3">
      <c r="I1093"/>
      <c r="J1093"/>
    </row>
    <row r="1094" spans="9:10" x14ac:dyDescent="0.3">
      <c r="I1094"/>
      <c r="J1094"/>
    </row>
    <row r="1095" spans="9:10" x14ac:dyDescent="0.3">
      <c r="I1095"/>
      <c r="J1095"/>
    </row>
    <row r="1096" spans="9:10" x14ac:dyDescent="0.3">
      <c r="I1096"/>
      <c r="J1096"/>
    </row>
    <row r="1097" spans="9:10" x14ac:dyDescent="0.3">
      <c r="I1097"/>
      <c r="J1097"/>
    </row>
    <row r="1098" spans="9:10" x14ac:dyDescent="0.3">
      <c r="I1098"/>
      <c r="J1098"/>
    </row>
    <row r="1099" spans="9:10" x14ac:dyDescent="0.3">
      <c r="I1099"/>
      <c r="J1099"/>
    </row>
    <row r="1100" spans="9:10" x14ac:dyDescent="0.3">
      <c r="I1100"/>
      <c r="J1100"/>
    </row>
    <row r="1101" spans="9:10" x14ac:dyDescent="0.3">
      <c r="I1101"/>
      <c r="J1101"/>
    </row>
    <row r="1102" spans="9:10" x14ac:dyDescent="0.3">
      <c r="I1102"/>
      <c r="J1102"/>
    </row>
    <row r="1103" spans="9:10" x14ac:dyDescent="0.3">
      <c r="I1103"/>
      <c r="J1103"/>
    </row>
    <row r="1104" spans="9:10" x14ac:dyDescent="0.3">
      <c r="I1104"/>
      <c r="J1104"/>
    </row>
    <row r="1105" spans="9:10" x14ac:dyDescent="0.3">
      <c r="I1105"/>
      <c r="J1105"/>
    </row>
    <row r="1106" spans="9:10" x14ac:dyDescent="0.3">
      <c r="I1106"/>
      <c r="J1106"/>
    </row>
    <row r="1107" spans="9:10" x14ac:dyDescent="0.3">
      <c r="I1107"/>
      <c r="J1107"/>
    </row>
    <row r="1108" spans="9:10" x14ac:dyDescent="0.3">
      <c r="I1108"/>
      <c r="J1108"/>
    </row>
    <row r="1109" spans="9:10" x14ac:dyDescent="0.3">
      <c r="I1109"/>
      <c r="J1109"/>
    </row>
    <row r="1110" spans="9:10" x14ac:dyDescent="0.3">
      <c r="I1110"/>
      <c r="J1110"/>
    </row>
    <row r="1111" spans="9:10" x14ac:dyDescent="0.3">
      <c r="I1111"/>
      <c r="J1111"/>
    </row>
    <row r="1112" spans="9:10" x14ac:dyDescent="0.3">
      <c r="I1112"/>
      <c r="J1112"/>
    </row>
    <row r="1113" spans="9:10" x14ac:dyDescent="0.3">
      <c r="I1113"/>
      <c r="J1113"/>
    </row>
    <row r="1114" spans="9:10" x14ac:dyDescent="0.3">
      <c r="I1114"/>
      <c r="J1114"/>
    </row>
    <row r="1115" spans="9:10" x14ac:dyDescent="0.3">
      <c r="I1115"/>
      <c r="J1115"/>
    </row>
    <row r="1116" spans="9:10" x14ac:dyDescent="0.3">
      <c r="I1116"/>
      <c r="J1116"/>
    </row>
    <row r="1117" spans="9:10" x14ac:dyDescent="0.3">
      <c r="I1117"/>
      <c r="J1117"/>
    </row>
    <row r="1118" spans="9:10" x14ac:dyDescent="0.3">
      <c r="I1118"/>
      <c r="J1118"/>
    </row>
    <row r="1119" spans="9:10" x14ac:dyDescent="0.3">
      <c r="I1119"/>
      <c r="J1119"/>
    </row>
    <row r="1120" spans="9:10" x14ac:dyDescent="0.3">
      <c r="I1120"/>
      <c r="J1120"/>
    </row>
    <row r="1121" spans="9:10" x14ac:dyDescent="0.3">
      <c r="I1121"/>
      <c r="J1121"/>
    </row>
    <row r="1122" spans="9:10" x14ac:dyDescent="0.3">
      <c r="I1122"/>
      <c r="J1122"/>
    </row>
    <row r="1123" spans="9:10" x14ac:dyDescent="0.3">
      <c r="I1123"/>
      <c r="J1123"/>
    </row>
    <row r="1124" spans="9:10" x14ac:dyDescent="0.3">
      <c r="I1124"/>
      <c r="J1124"/>
    </row>
    <row r="1125" spans="9:10" x14ac:dyDescent="0.3">
      <c r="I1125"/>
      <c r="J1125"/>
    </row>
    <row r="1126" spans="9:10" x14ac:dyDescent="0.3">
      <c r="I1126"/>
      <c r="J1126"/>
    </row>
    <row r="1127" spans="9:10" x14ac:dyDescent="0.3">
      <c r="I1127"/>
      <c r="J1127"/>
    </row>
    <row r="1128" spans="9:10" x14ac:dyDescent="0.3">
      <c r="I1128"/>
      <c r="J1128"/>
    </row>
    <row r="1129" spans="9:10" x14ac:dyDescent="0.3">
      <c r="I1129"/>
      <c r="J1129"/>
    </row>
    <row r="1130" spans="9:10" x14ac:dyDescent="0.3">
      <c r="I1130"/>
      <c r="J1130"/>
    </row>
    <row r="1131" spans="9:10" x14ac:dyDescent="0.3">
      <c r="I1131"/>
      <c r="J1131"/>
    </row>
    <row r="1132" spans="9:10" x14ac:dyDescent="0.3">
      <c r="I1132"/>
      <c r="J1132"/>
    </row>
    <row r="1133" spans="9:10" x14ac:dyDescent="0.3">
      <c r="I1133"/>
      <c r="J1133"/>
    </row>
    <row r="1134" spans="9:10" x14ac:dyDescent="0.3">
      <c r="I1134"/>
      <c r="J1134"/>
    </row>
    <row r="1135" spans="9:10" x14ac:dyDescent="0.3">
      <c r="I1135"/>
      <c r="J1135"/>
    </row>
    <row r="1136" spans="9:10" x14ac:dyDescent="0.3">
      <c r="I1136"/>
      <c r="J1136"/>
    </row>
    <row r="1137" spans="9:10" x14ac:dyDescent="0.3">
      <c r="I1137"/>
      <c r="J1137"/>
    </row>
    <row r="1138" spans="9:10" x14ac:dyDescent="0.3">
      <c r="I1138"/>
      <c r="J1138"/>
    </row>
    <row r="1139" spans="9:10" x14ac:dyDescent="0.3">
      <c r="I1139"/>
      <c r="J1139"/>
    </row>
    <row r="1140" spans="9:10" x14ac:dyDescent="0.3">
      <c r="I1140"/>
      <c r="J1140"/>
    </row>
    <row r="1141" spans="9:10" x14ac:dyDescent="0.3">
      <c r="I1141"/>
      <c r="J1141"/>
    </row>
    <row r="1142" spans="9:10" x14ac:dyDescent="0.3">
      <c r="I1142"/>
      <c r="J1142"/>
    </row>
    <row r="1143" spans="9:10" x14ac:dyDescent="0.3">
      <c r="I1143"/>
      <c r="J1143"/>
    </row>
    <row r="1144" spans="9:10" x14ac:dyDescent="0.3">
      <c r="I1144"/>
      <c r="J1144"/>
    </row>
    <row r="1145" spans="9:10" x14ac:dyDescent="0.3">
      <c r="I1145"/>
      <c r="J1145"/>
    </row>
    <row r="1146" spans="9:10" x14ac:dyDescent="0.3">
      <c r="I1146"/>
      <c r="J1146"/>
    </row>
    <row r="1147" spans="9:10" x14ac:dyDescent="0.3">
      <c r="I1147"/>
      <c r="J1147"/>
    </row>
    <row r="1148" spans="9:10" x14ac:dyDescent="0.3">
      <c r="I1148"/>
      <c r="J1148"/>
    </row>
    <row r="1149" spans="9:10" x14ac:dyDescent="0.3">
      <c r="I1149"/>
      <c r="J1149"/>
    </row>
    <row r="1150" spans="9:10" x14ac:dyDescent="0.3">
      <c r="I1150"/>
      <c r="J1150"/>
    </row>
    <row r="1151" spans="9:10" x14ac:dyDescent="0.3">
      <c r="I1151"/>
      <c r="J1151"/>
    </row>
    <row r="1152" spans="9:10" x14ac:dyDescent="0.3">
      <c r="I1152"/>
      <c r="J1152"/>
    </row>
    <row r="1153" spans="9:10" x14ac:dyDescent="0.3">
      <c r="I1153"/>
      <c r="J1153"/>
    </row>
    <row r="1154" spans="9:10" x14ac:dyDescent="0.3">
      <c r="I1154"/>
      <c r="J1154"/>
    </row>
    <row r="1155" spans="9:10" x14ac:dyDescent="0.3">
      <c r="I1155"/>
      <c r="J1155"/>
    </row>
    <row r="1156" spans="9:10" x14ac:dyDescent="0.3">
      <c r="I1156"/>
      <c r="J1156"/>
    </row>
    <row r="1157" spans="9:10" x14ac:dyDescent="0.3">
      <c r="I1157"/>
      <c r="J1157"/>
    </row>
    <row r="1158" spans="9:10" x14ac:dyDescent="0.3">
      <c r="I1158"/>
      <c r="J1158"/>
    </row>
    <row r="1159" spans="9:10" x14ac:dyDescent="0.3">
      <c r="I1159"/>
      <c r="J1159"/>
    </row>
    <row r="1160" spans="9:10" x14ac:dyDescent="0.3">
      <c r="I1160"/>
      <c r="J1160"/>
    </row>
    <row r="1161" spans="9:10" x14ac:dyDescent="0.3">
      <c r="I1161"/>
      <c r="J1161"/>
    </row>
    <row r="1162" spans="9:10" x14ac:dyDescent="0.3">
      <c r="I1162"/>
      <c r="J1162"/>
    </row>
    <row r="1163" spans="9:10" x14ac:dyDescent="0.3">
      <c r="I1163"/>
      <c r="J1163"/>
    </row>
    <row r="1164" spans="9:10" x14ac:dyDescent="0.3">
      <c r="I1164"/>
      <c r="J1164"/>
    </row>
    <row r="1165" spans="9:10" x14ac:dyDescent="0.3">
      <c r="I1165"/>
      <c r="J1165"/>
    </row>
    <row r="1166" spans="9:10" x14ac:dyDescent="0.3">
      <c r="I1166"/>
      <c r="J1166"/>
    </row>
    <row r="1167" spans="9:10" x14ac:dyDescent="0.3">
      <c r="I1167"/>
      <c r="J1167"/>
    </row>
    <row r="1168" spans="9:10" x14ac:dyDescent="0.3">
      <c r="I1168"/>
      <c r="J1168"/>
    </row>
    <row r="1169" spans="9:10" x14ac:dyDescent="0.3">
      <c r="I1169"/>
      <c r="J1169"/>
    </row>
    <row r="1170" spans="9:10" x14ac:dyDescent="0.3">
      <c r="I1170"/>
      <c r="J1170"/>
    </row>
    <row r="1171" spans="9:10" x14ac:dyDescent="0.3">
      <c r="I1171"/>
      <c r="J1171"/>
    </row>
    <row r="1172" spans="9:10" x14ac:dyDescent="0.3">
      <c r="I1172"/>
      <c r="J1172"/>
    </row>
    <row r="1173" spans="9:10" x14ac:dyDescent="0.3">
      <c r="I1173"/>
      <c r="J1173"/>
    </row>
    <row r="1174" spans="9:10" x14ac:dyDescent="0.3">
      <c r="I1174"/>
      <c r="J1174"/>
    </row>
    <row r="1175" spans="9:10" x14ac:dyDescent="0.3">
      <c r="I1175"/>
      <c r="J1175"/>
    </row>
    <row r="1176" spans="9:10" x14ac:dyDescent="0.3">
      <c r="I1176"/>
      <c r="J1176"/>
    </row>
    <row r="1177" spans="9:10" x14ac:dyDescent="0.3">
      <c r="I1177"/>
      <c r="J1177"/>
    </row>
    <row r="1178" spans="9:10" x14ac:dyDescent="0.3">
      <c r="I1178"/>
      <c r="J1178"/>
    </row>
    <row r="1179" spans="9:10" x14ac:dyDescent="0.3">
      <c r="I1179"/>
      <c r="J1179"/>
    </row>
    <row r="1180" spans="9:10" x14ac:dyDescent="0.3">
      <c r="I1180"/>
      <c r="J1180"/>
    </row>
    <row r="1181" spans="9:10" x14ac:dyDescent="0.3">
      <c r="I1181"/>
      <c r="J1181"/>
    </row>
    <row r="1182" spans="9:10" x14ac:dyDescent="0.3">
      <c r="I1182"/>
      <c r="J1182"/>
    </row>
    <row r="1183" spans="9:10" x14ac:dyDescent="0.3">
      <c r="I1183"/>
      <c r="J1183"/>
    </row>
    <row r="1184" spans="9:10" x14ac:dyDescent="0.3">
      <c r="I1184"/>
      <c r="J1184"/>
    </row>
    <row r="1185" spans="9:10" x14ac:dyDescent="0.3">
      <c r="I1185"/>
      <c r="J1185"/>
    </row>
    <row r="1186" spans="9:10" x14ac:dyDescent="0.3">
      <c r="I1186"/>
      <c r="J1186"/>
    </row>
    <row r="1187" spans="9:10" x14ac:dyDescent="0.3">
      <c r="I1187"/>
      <c r="J1187"/>
    </row>
    <row r="1188" spans="9:10" x14ac:dyDescent="0.3">
      <c r="I1188"/>
      <c r="J1188"/>
    </row>
    <row r="1189" spans="9:10" x14ac:dyDescent="0.3">
      <c r="I1189"/>
      <c r="J1189"/>
    </row>
    <row r="1190" spans="9:10" x14ac:dyDescent="0.3">
      <c r="I1190"/>
      <c r="J1190"/>
    </row>
    <row r="1191" spans="9:10" x14ac:dyDescent="0.3">
      <c r="I1191"/>
      <c r="J1191"/>
    </row>
    <row r="1192" spans="9:10" x14ac:dyDescent="0.3">
      <c r="I1192"/>
      <c r="J1192"/>
    </row>
    <row r="1193" spans="9:10" x14ac:dyDescent="0.3">
      <c r="I1193"/>
      <c r="J1193"/>
    </row>
    <row r="1194" spans="9:10" x14ac:dyDescent="0.3">
      <c r="I1194"/>
      <c r="J1194"/>
    </row>
    <row r="1195" spans="9:10" x14ac:dyDescent="0.3">
      <c r="I1195"/>
      <c r="J1195"/>
    </row>
    <row r="1196" spans="9:10" x14ac:dyDescent="0.3">
      <c r="I1196"/>
      <c r="J1196"/>
    </row>
    <row r="1197" spans="9:10" x14ac:dyDescent="0.3">
      <c r="I1197"/>
      <c r="J1197"/>
    </row>
    <row r="1198" spans="9:10" x14ac:dyDescent="0.3">
      <c r="I1198"/>
      <c r="J1198"/>
    </row>
    <row r="1199" spans="9:10" x14ac:dyDescent="0.3">
      <c r="I1199"/>
      <c r="J1199"/>
    </row>
    <row r="1200" spans="9:10" x14ac:dyDescent="0.3">
      <c r="I1200"/>
      <c r="J1200"/>
    </row>
    <row r="1201" spans="9:10" x14ac:dyDescent="0.3">
      <c r="I1201"/>
      <c r="J1201"/>
    </row>
    <row r="1202" spans="9:10" x14ac:dyDescent="0.3">
      <c r="I1202"/>
      <c r="J1202"/>
    </row>
    <row r="1203" spans="9:10" x14ac:dyDescent="0.3">
      <c r="I1203"/>
      <c r="J1203"/>
    </row>
    <row r="1204" spans="9:10" x14ac:dyDescent="0.3">
      <c r="I1204"/>
      <c r="J1204"/>
    </row>
    <row r="1205" spans="9:10" x14ac:dyDescent="0.3">
      <c r="I1205"/>
      <c r="J1205"/>
    </row>
    <row r="1206" spans="9:10" x14ac:dyDescent="0.3">
      <c r="I1206"/>
      <c r="J1206"/>
    </row>
    <row r="1207" spans="9:10" x14ac:dyDescent="0.3">
      <c r="I1207"/>
      <c r="J1207"/>
    </row>
    <row r="1208" spans="9:10" x14ac:dyDescent="0.3">
      <c r="I1208"/>
      <c r="J1208"/>
    </row>
    <row r="1209" spans="9:10" x14ac:dyDescent="0.3">
      <c r="I1209"/>
      <c r="J1209"/>
    </row>
    <row r="1210" spans="9:10" x14ac:dyDescent="0.3">
      <c r="I1210"/>
      <c r="J1210"/>
    </row>
    <row r="1211" spans="9:10" x14ac:dyDescent="0.3">
      <c r="I1211"/>
      <c r="J1211"/>
    </row>
    <row r="1212" spans="9:10" x14ac:dyDescent="0.3">
      <c r="I1212"/>
      <c r="J1212"/>
    </row>
    <row r="1213" spans="9:10" x14ac:dyDescent="0.3">
      <c r="I1213"/>
      <c r="J1213"/>
    </row>
    <row r="1214" spans="9:10" x14ac:dyDescent="0.3">
      <c r="I1214"/>
      <c r="J1214"/>
    </row>
    <row r="1215" spans="9:10" x14ac:dyDescent="0.3">
      <c r="I1215"/>
      <c r="J1215"/>
    </row>
    <row r="1216" spans="9:10" x14ac:dyDescent="0.3">
      <c r="I1216"/>
      <c r="J1216"/>
    </row>
    <row r="1217" spans="9:10" x14ac:dyDescent="0.3">
      <c r="I1217"/>
      <c r="J1217"/>
    </row>
    <row r="1218" spans="9:10" x14ac:dyDescent="0.3">
      <c r="I1218"/>
      <c r="J1218"/>
    </row>
    <row r="1219" spans="9:10" x14ac:dyDescent="0.3">
      <c r="I1219"/>
      <c r="J1219"/>
    </row>
    <row r="1220" spans="9:10" x14ac:dyDescent="0.3">
      <c r="I1220"/>
      <c r="J1220"/>
    </row>
    <row r="1221" spans="9:10" x14ac:dyDescent="0.3">
      <c r="I1221"/>
      <c r="J1221"/>
    </row>
    <row r="1222" spans="9:10" x14ac:dyDescent="0.3">
      <c r="I1222"/>
      <c r="J1222"/>
    </row>
    <row r="1223" spans="9:10" x14ac:dyDescent="0.3">
      <c r="I1223"/>
      <c r="J1223"/>
    </row>
    <row r="1224" spans="9:10" x14ac:dyDescent="0.3">
      <c r="I1224"/>
      <c r="J1224"/>
    </row>
    <row r="1225" spans="9:10" x14ac:dyDescent="0.3">
      <c r="I1225"/>
      <c r="J1225"/>
    </row>
    <row r="1226" spans="9:10" x14ac:dyDescent="0.3">
      <c r="I1226"/>
      <c r="J1226"/>
    </row>
    <row r="1227" spans="9:10" x14ac:dyDescent="0.3">
      <c r="I1227"/>
      <c r="J1227"/>
    </row>
    <row r="1228" spans="9:10" x14ac:dyDescent="0.3">
      <c r="I1228"/>
      <c r="J1228"/>
    </row>
    <row r="1229" spans="9:10" x14ac:dyDescent="0.3">
      <c r="I1229"/>
      <c r="J1229"/>
    </row>
    <row r="1230" spans="9:10" x14ac:dyDescent="0.3">
      <c r="I1230"/>
      <c r="J1230"/>
    </row>
    <row r="1231" spans="9:10" x14ac:dyDescent="0.3">
      <c r="I1231"/>
      <c r="J1231"/>
    </row>
    <row r="1232" spans="9:10" x14ac:dyDescent="0.3">
      <c r="I1232"/>
      <c r="J1232"/>
    </row>
    <row r="1233" spans="9:10" x14ac:dyDescent="0.3">
      <c r="I1233"/>
      <c r="J1233"/>
    </row>
    <row r="1234" spans="9:10" x14ac:dyDescent="0.3">
      <c r="I1234"/>
      <c r="J1234"/>
    </row>
    <row r="1235" spans="9:10" x14ac:dyDescent="0.3">
      <c r="I1235"/>
      <c r="J1235"/>
    </row>
    <row r="1236" spans="9:10" x14ac:dyDescent="0.3">
      <c r="I1236"/>
      <c r="J1236"/>
    </row>
    <row r="1237" spans="9:10" x14ac:dyDescent="0.3">
      <c r="I1237"/>
      <c r="J1237"/>
    </row>
    <row r="1238" spans="9:10" x14ac:dyDescent="0.3">
      <c r="I1238"/>
      <c r="J1238"/>
    </row>
    <row r="1239" spans="9:10" x14ac:dyDescent="0.3">
      <c r="I1239"/>
      <c r="J1239"/>
    </row>
    <row r="1240" spans="9:10" x14ac:dyDescent="0.3">
      <c r="I1240"/>
      <c r="J1240"/>
    </row>
    <row r="1241" spans="9:10" x14ac:dyDescent="0.3">
      <c r="I1241"/>
      <c r="J1241"/>
    </row>
    <row r="1242" spans="9:10" x14ac:dyDescent="0.3">
      <c r="I1242"/>
      <c r="J1242"/>
    </row>
    <row r="1243" spans="9:10" x14ac:dyDescent="0.3">
      <c r="I1243"/>
      <c r="J1243"/>
    </row>
    <row r="1244" spans="9:10" x14ac:dyDescent="0.3">
      <c r="I1244"/>
      <c r="J1244"/>
    </row>
    <row r="1245" spans="9:10" x14ac:dyDescent="0.3">
      <c r="I1245"/>
      <c r="J1245"/>
    </row>
    <row r="1246" spans="9:10" x14ac:dyDescent="0.3">
      <c r="I1246"/>
      <c r="J1246"/>
    </row>
    <row r="1247" spans="9:10" x14ac:dyDescent="0.3">
      <c r="I1247"/>
      <c r="J1247"/>
    </row>
    <row r="1248" spans="9:10" x14ac:dyDescent="0.3">
      <c r="I1248"/>
      <c r="J1248"/>
    </row>
    <row r="1249" spans="9:10" x14ac:dyDescent="0.3">
      <c r="I1249"/>
      <c r="J1249"/>
    </row>
    <row r="1250" spans="9:10" x14ac:dyDescent="0.3">
      <c r="I1250"/>
      <c r="J1250"/>
    </row>
    <row r="1251" spans="9:10" x14ac:dyDescent="0.3">
      <c r="I1251"/>
      <c r="J1251"/>
    </row>
    <row r="1252" spans="9:10" x14ac:dyDescent="0.3">
      <c r="I1252"/>
      <c r="J1252"/>
    </row>
    <row r="1253" spans="9:10" x14ac:dyDescent="0.3">
      <c r="I1253"/>
      <c r="J1253"/>
    </row>
    <row r="1254" spans="9:10" x14ac:dyDescent="0.3">
      <c r="I1254"/>
      <c r="J1254"/>
    </row>
    <row r="1255" spans="9:10" x14ac:dyDescent="0.3">
      <c r="I1255"/>
      <c r="J1255"/>
    </row>
    <row r="1256" spans="9:10" x14ac:dyDescent="0.3">
      <c r="I1256"/>
      <c r="J1256"/>
    </row>
    <row r="1257" spans="9:10" x14ac:dyDescent="0.3">
      <c r="I1257"/>
      <c r="J1257"/>
    </row>
    <row r="1258" spans="9:10" x14ac:dyDescent="0.3">
      <c r="I1258"/>
      <c r="J1258"/>
    </row>
    <row r="1259" spans="9:10" x14ac:dyDescent="0.3">
      <c r="I1259"/>
      <c r="J1259"/>
    </row>
    <row r="1260" spans="9:10" x14ac:dyDescent="0.3">
      <c r="I1260"/>
      <c r="J1260"/>
    </row>
    <row r="1261" spans="9:10" x14ac:dyDescent="0.3">
      <c r="I1261"/>
      <c r="J1261"/>
    </row>
    <row r="1262" spans="9:10" x14ac:dyDescent="0.3">
      <c r="I1262"/>
      <c r="J1262"/>
    </row>
    <row r="1263" spans="9:10" x14ac:dyDescent="0.3">
      <c r="I1263"/>
      <c r="J1263"/>
    </row>
    <row r="1264" spans="9:10" x14ac:dyDescent="0.3">
      <c r="I1264"/>
      <c r="J1264"/>
    </row>
    <row r="1265" spans="9:10" x14ac:dyDescent="0.3">
      <c r="I1265"/>
      <c r="J1265"/>
    </row>
    <row r="1266" spans="9:10" x14ac:dyDescent="0.3">
      <c r="I1266"/>
      <c r="J1266"/>
    </row>
    <row r="1267" spans="9:10" x14ac:dyDescent="0.3">
      <c r="I1267"/>
      <c r="J1267"/>
    </row>
    <row r="1268" spans="9:10" x14ac:dyDescent="0.3">
      <c r="I1268"/>
      <c r="J1268"/>
    </row>
    <row r="1269" spans="9:10" x14ac:dyDescent="0.3">
      <c r="I1269"/>
      <c r="J1269"/>
    </row>
    <row r="1270" spans="9:10" x14ac:dyDescent="0.3">
      <c r="I1270"/>
      <c r="J1270"/>
    </row>
    <row r="1271" spans="9:10" x14ac:dyDescent="0.3">
      <c r="I1271"/>
      <c r="J1271"/>
    </row>
    <row r="1272" spans="9:10" x14ac:dyDescent="0.3">
      <c r="I1272"/>
      <c r="J1272"/>
    </row>
    <row r="1273" spans="9:10" x14ac:dyDescent="0.3">
      <c r="I1273"/>
      <c r="J1273"/>
    </row>
    <row r="1274" spans="9:10" x14ac:dyDescent="0.3">
      <c r="I1274"/>
      <c r="J1274"/>
    </row>
    <row r="1275" spans="9:10" x14ac:dyDescent="0.3">
      <c r="I1275"/>
      <c r="J1275"/>
    </row>
    <row r="1276" spans="9:10" x14ac:dyDescent="0.3">
      <c r="I1276"/>
      <c r="J1276"/>
    </row>
    <row r="1277" spans="9:10" x14ac:dyDescent="0.3">
      <c r="I1277"/>
      <c r="J1277"/>
    </row>
    <row r="1278" spans="9:10" x14ac:dyDescent="0.3">
      <c r="I1278"/>
      <c r="J1278"/>
    </row>
    <row r="1279" spans="9:10" x14ac:dyDescent="0.3">
      <c r="I1279"/>
      <c r="J1279"/>
    </row>
    <row r="1280" spans="9:10" x14ac:dyDescent="0.3">
      <c r="I1280"/>
      <c r="J1280"/>
    </row>
    <row r="1281" spans="9:10" x14ac:dyDescent="0.3">
      <c r="I1281"/>
      <c r="J1281"/>
    </row>
    <row r="1282" spans="9:10" x14ac:dyDescent="0.3">
      <c r="I1282"/>
      <c r="J1282"/>
    </row>
    <row r="1283" spans="9:10" x14ac:dyDescent="0.3">
      <c r="I1283"/>
      <c r="J1283"/>
    </row>
    <row r="1284" spans="9:10" x14ac:dyDescent="0.3">
      <c r="I1284"/>
      <c r="J1284"/>
    </row>
    <row r="1285" spans="9:10" x14ac:dyDescent="0.3">
      <c r="I1285"/>
      <c r="J1285"/>
    </row>
    <row r="1286" spans="9:10" x14ac:dyDescent="0.3">
      <c r="I1286"/>
      <c r="J1286"/>
    </row>
    <row r="1287" spans="9:10" x14ac:dyDescent="0.3">
      <c r="I1287"/>
      <c r="J1287"/>
    </row>
    <row r="1288" spans="9:10" x14ac:dyDescent="0.3">
      <c r="I1288"/>
      <c r="J1288"/>
    </row>
    <row r="1289" spans="9:10" x14ac:dyDescent="0.3">
      <c r="I1289"/>
      <c r="J1289"/>
    </row>
    <row r="1290" spans="9:10" x14ac:dyDescent="0.3">
      <c r="I1290"/>
      <c r="J1290"/>
    </row>
    <row r="1291" spans="9:10" x14ac:dyDescent="0.3">
      <c r="I1291"/>
      <c r="J1291"/>
    </row>
    <row r="1292" spans="9:10" x14ac:dyDescent="0.3">
      <c r="I1292"/>
      <c r="J1292"/>
    </row>
    <row r="1293" spans="9:10" x14ac:dyDescent="0.3">
      <c r="I1293"/>
      <c r="J1293"/>
    </row>
    <row r="1294" spans="9:10" x14ac:dyDescent="0.3">
      <c r="I1294"/>
      <c r="J1294"/>
    </row>
    <row r="1295" spans="9:10" x14ac:dyDescent="0.3">
      <c r="I1295"/>
      <c r="J1295"/>
    </row>
    <row r="1296" spans="9:10" x14ac:dyDescent="0.3">
      <c r="I1296"/>
      <c r="J1296"/>
    </row>
    <row r="1297" spans="9:10" x14ac:dyDescent="0.3">
      <c r="I1297"/>
      <c r="J1297"/>
    </row>
    <row r="1298" spans="9:10" x14ac:dyDescent="0.3">
      <c r="I1298"/>
      <c r="J1298"/>
    </row>
    <row r="1299" spans="9:10" x14ac:dyDescent="0.3">
      <c r="I1299"/>
      <c r="J1299"/>
    </row>
    <row r="1300" spans="9:10" x14ac:dyDescent="0.3">
      <c r="I1300"/>
      <c r="J1300"/>
    </row>
    <row r="1301" spans="9:10" x14ac:dyDescent="0.3">
      <c r="I1301"/>
      <c r="J1301"/>
    </row>
    <row r="1302" spans="9:10" x14ac:dyDescent="0.3">
      <c r="I1302"/>
      <c r="J1302"/>
    </row>
    <row r="1303" spans="9:10" x14ac:dyDescent="0.3">
      <c r="I1303"/>
      <c r="J1303"/>
    </row>
    <row r="1304" spans="9:10" x14ac:dyDescent="0.3">
      <c r="I1304"/>
      <c r="J1304"/>
    </row>
    <row r="1305" spans="9:10" x14ac:dyDescent="0.3">
      <c r="I1305"/>
      <c r="J1305"/>
    </row>
    <row r="1306" spans="9:10" x14ac:dyDescent="0.3">
      <c r="I1306"/>
      <c r="J1306"/>
    </row>
    <row r="1307" spans="9:10" x14ac:dyDescent="0.3">
      <c r="I1307"/>
      <c r="J1307"/>
    </row>
    <row r="1308" spans="9:10" x14ac:dyDescent="0.3">
      <c r="I1308"/>
      <c r="J1308"/>
    </row>
    <row r="1309" spans="9:10" x14ac:dyDescent="0.3">
      <c r="I1309"/>
      <c r="J1309"/>
    </row>
    <row r="1310" spans="9:10" x14ac:dyDescent="0.3">
      <c r="I1310"/>
      <c r="J1310"/>
    </row>
    <row r="1311" spans="9:10" x14ac:dyDescent="0.3">
      <c r="I1311"/>
      <c r="J1311"/>
    </row>
    <row r="1312" spans="9:10" x14ac:dyDescent="0.3">
      <c r="I1312"/>
      <c r="J1312"/>
    </row>
    <row r="1313" spans="9:10" x14ac:dyDescent="0.3">
      <c r="I1313"/>
      <c r="J1313"/>
    </row>
    <row r="1314" spans="9:10" x14ac:dyDescent="0.3">
      <c r="I1314"/>
      <c r="J1314"/>
    </row>
    <row r="1315" spans="9:10" x14ac:dyDescent="0.3">
      <c r="I1315"/>
      <c r="J1315"/>
    </row>
    <row r="1316" spans="9:10" x14ac:dyDescent="0.3">
      <c r="I1316"/>
      <c r="J1316"/>
    </row>
    <row r="1317" spans="9:10" x14ac:dyDescent="0.3">
      <c r="I1317"/>
      <c r="J1317"/>
    </row>
    <row r="1318" spans="9:10" x14ac:dyDescent="0.3">
      <c r="I1318"/>
      <c r="J1318"/>
    </row>
    <row r="1319" spans="9:10" x14ac:dyDescent="0.3">
      <c r="I1319"/>
      <c r="J1319"/>
    </row>
    <row r="1320" spans="9:10" x14ac:dyDescent="0.3">
      <c r="I1320"/>
      <c r="J1320"/>
    </row>
    <row r="1321" spans="9:10" x14ac:dyDescent="0.3">
      <c r="I1321"/>
      <c r="J1321"/>
    </row>
    <row r="1322" spans="9:10" x14ac:dyDescent="0.3">
      <c r="I1322"/>
      <c r="J1322"/>
    </row>
    <row r="1323" spans="9:10" x14ac:dyDescent="0.3">
      <c r="I1323"/>
      <c r="J1323"/>
    </row>
    <row r="1324" spans="9:10" x14ac:dyDescent="0.3">
      <c r="I1324"/>
      <c r="J1324"/>
    </row>
    <row r="1325" spans="9:10" x14ac:dyDescent="0.3">
      <c r="I1325"/>
      <c r="J1325"/>
    </row>
    <row r="1326" spans="9:10" x14ac:dyDescent="0.3">
      <c r="I1326"/>
      <c r="J1326"/>
    </row>
    <row r="1327" spans="9:10" x14ac:dyDescent="0.3">
      <c r="I1327"/>
      <c r="J1327"/>
    </row>
    <row r="1328" spans="9:10" x14ac:dyDescent="0.3">
      <c r="I1328"/>
      <c r="J1328"/>
    </row>
    <row r="1329" spans="9:10" x14ac:dyDescent="0.3">
      <c r="I1329"/>
      <c r="J1329"/>
    </row>
    <row r="1330" spans="9:10" x14ac:dyDescent="0.3">
      <c r="I1330"/>
      <c r="J1330"/>
    </row>
    <row r="1331" spans="9:10" x14ac:dyDescent="0.3">
      <c r="I1331"/>
      <c r="J1331"/>
    </row>
    <row r="1332" spans="9:10" x14ac:dyDescent="0.3">
      <c r="I1332"/>
      <c r="J1332"/>
    </row>
    <row r="1333" spans="9:10" x14ac:dyDescent="0.3">
      <c r="I1333"/>
      <c r="J1333"/>
    </row>
    <row r="1334" spans="9:10" x14ac:dyDescent="0.3">
      <c r="I1334"/>
      <c r="J1334"/>
    </row>
    <row r="1335" spans="9:10" x14ac:dyDescent="0.3">
      <c r="I1335"/>
      <c r="J1335"/>
    </row>
    <row r="1336" spans="9:10" x14ac:dyDescent="0.3">
      <c r="I1336"/>
      <c r="J1336"/>
    </row>
    <row r="1337" spans="9:10" x14ac:dyDescent="0.3">
      <c r="I1337"/>
      <c r="J1337"/>
    </row>
    <row r="1338" spans="9:10" x14ac:dyDescent="0.3">
      <c r="I1338"/>
      <c r="J1338"/>
    </row>
    <row r="1339" spans="9:10" x14ac:dyDescent="0.3">
      <c r="I1339"/>
      <c r="J1339"/>
    </row>
    <row r="1340" spans="9:10" x14ac:dyDescent="0.3">
      <c r="I1340"/>
      <c r="J1340"/>
    </row>
    <row r="1341" spans="9:10" x14ac:dyDescent="0.3">
      <c r="I1341"/>
      <c r="J1341"/>
    </row>
    <row r="1342" spans="9:10" x14ac:dyDescent="0.3">
      <c r="I1342"/>
      <c r="J1342"/>
    </row>
    <row r="1343" spans="9:10" x14ac:dyDescent="0.3">
      <c r="I1343"/>
      <c r="J1343"/>
    </row>
    <row r="1344" spans="9:10" x14ac:dyDescent="0.3">
      <c r="I1344"/>
      <c r="J1344"/>
    </row>
    <row r="1345" spans="9:10" x14ac:dyDescent="0.3">
      <c r="I1345"/>
      <c r="J1345"/>
    </row>
    <row r="1346" spans="9:10" x14ac:dyDescent="0.3">
      <c r="I1346"/>
      <c r="J1346"/>
    </row>
    <row r="1347" spans="9:10" x14ac:dyDescent="0.3">
      <c r="I1347"/>
      <c r="J1347"/>
    </row>
    <row r="1348" spans="9:10" x14ac:dyDescent="0.3">
      <c r="I1348"/>
      <c r="J1348"/>
    </row>
    <row r="1349" spans="9:10" x14ac:dyDescent="0.3">
      <c r="I1349"/>
      <c r="J1349"/>
    </row>
    <row r="1350" spans="9:10" x14ac:dyDescent="0.3">
      <c r="I1350"/>
      <c r="J1350"/>
    </row>
    <row r="1351" spans="9:10" x14ac:dyDescent="0.3">
      <c r="I1351"/>
      <c r="J1351"/>
    </row>
    <row r="1352" spans="9:10" x14ac:dyDescent="0.3">
      <c r="I1352"/>
      <c r="J1352"/>
    </row>
    <row r="1353" spans="9:10" x14ac:dyDescent="0.3">
      <c r="I1353"/>
      <c r="J1353"/>
    </row>
    <row r="1354" spans="9:10" x14ac:dyDescent="0.3">
      <c r="I1354"/>
      <c r="J1354"/>
    </row>
    <row r="1355" spans="9:10" x14ac:dyDescent="0.3">
      <c r="I1355"/>
      <c r="J1355"/>
    </row>
    <row r="1356" spans="9:10" x14ac:dyDescent="0.3">
      <c r="I1356"/>
      <c r="J1356"/>
    </row>
    <row r="1357" spans="9:10" x14ac:dyDescent="0.3">
      <c r="I1357"/>
      <c r="J1357"/>
    </row>
    <row r="1358" spans="9:10" x14ac:dyDescent="0.3">
      <c r="I1358"/>
      <c r="J1358"/>
    </row>
    <row r="1359" spans="9:10" x14ac:dyDescent="0.3">
      <c r="I1359"/>
      <c r="J1359"/>
    </row>
    <row r="1360" spans="9:10" x14ac:dyDescent="0.3">
      <c r="I1360"/>
      <c r="J1360"/>
    </row>
    <row r="1361" spans="9:10" x14ac:dyDescent="0.3">
      <c r="I1361"/>
      <c r="J1361"/>
    </row>
    <row r="1362" spans="9:10" x14ac:dyDescent="0.3">
      <c r="I1362"/>
      <c r="J1362"/>
    </row>
    <row r="1363" spans="9:10" x14ac:dyDescent="0.3">
      <c r="I1363"/>
      <c r="J1363"/>
    </row>
    <row r="1364" spans="9:10" x14ac:dyDescent="0.3">
      <c r="I1364"/>
      <c r="J1364"/>
    </row>
    <row r="1365" spans="9:10" x14ac:dyDescent="0.3">
      <c r="I1365"/>
      <c r="J1365"/>
    </row>
    <row r="1366" spans="9:10" x14ac:dyDescent="0.3">
      <c r="I1366"/>
      <c r="J1366"/>
    </row>
    <row r="1367" spans="9:10" x14ac:dyDescent="0.3">
      <c r="I1367"/>
      <c r="J1367"/>
    </row>
    <row r="1368" spans="9:10" x14ac:dyDescent="0.3">
      <c r="I1368"/>
      <c r="J1368"/>
    </row>
    <row r="1369" spans="9:10" x14ac:dyDescent="0.3">
      <c r="I1369"/>
      <c r="J1369"/>
    </row>
    <row r="1370" spans="9:10" x14ac:dyDescent="0.3">
      <c r="I1370"/>
      <c r="J1370"/>
    </row>
    <row r="1371" spans="9:10" x14ac:dyDescent="0.3">
      <c r="I1371"/>
      <c r="J1371"/>
    </row>
    <row r="1372" spans="9:10" x14ac:dyDescent="0.3">
      <c r="I1372"/>
      <c r="J1372"/>
    </row>
    <row r="1373" spans="9:10" x14ac:dyDescent="0.3">
      <c r="I1373"/>
      <c r="J1373"/>
    </row>
    <row r="1374" spans="9:10" x14ac:dyDescent="0.3">
      <c r="I1374"/>
      <c r="J1374"/>
    </row>
    <row r="1375" spans="9:10" x14ac:dyDescent="0.3">
      <c r="I1375"/>
      <c r="J1375"/>
    </row>
    <row r="1376" spans="9:10" x14ac:dyDescent="0.3">
      <c r="I1376"/>
      <c r="J1376"/>
    </row>
    <row r="1377" spans="9:10" x14ac:dyDescent="0.3">
      <c r="I1377"/>
      <c r="J1377"/>
    </row>
    <row r="1378" spans="9:10" x14ac:dyDescent="0.3">
      <c r="I1378"/>
      <c r="J1378"/>
    </row>
    <row r="1379" spans="9:10" x14ac:dyDescent="0.3">
      <c r="I1379"/>
      <c r="J1379"/>
    </row>
    <row r="1380" spans="9:10" x14ac:dyDescent="0.3">
      <c r="I1380"/>
      <c r="J1380"/>
    </row>
    <row r="1381" spans="9:10" x14ac:dyDescent="0.3">
      <c r="I1381"/>
      <c r="J1381"/>
    </row>
    <row r="1382" spans="9:10" x14ac:dyDescent="0.3">
      <c r="I1382"/>
      <c r="J1382"/>
    </row>
    <row r="1383" spans="9:10" x14ac:dyDescent="0.3">
      <c r="I1383"/>
      <c r="J1383"/>
    </row>
    <row r="1384" spans="9:10" x14ac:dyDescent="0.3">
      <c r="I1384"/>
      <c r="J1384"/>
    </row>
    <row r="1385" spans="9:10" x14ac:dyDescent="0.3">
      <c r="I1385"/>
      <c r="J1385"/>
    </row>
    <row r="1386" spans="9:10" x14ac:dyDescent="0.3">
      <c r="I1386"/>
      <c r="J1386"/>
    </row>
    <row r="1387" spans="9:10" x14ac:dyDescent="0.3">
      <c r="I1387"/>
      <c r="J1387"/>
    </row>
    <row r="1388" spans="9:10" x14ac:dyDescent="0.3">
      <c r="I1388"/>
      <c r="J1388"/>
    </row>
    <row r="1389" spans="9:10" x14ac:dyDescent="0.3">
      <c r="I1389"/>
      <c r="J1389"/>
    </row>
    <row r="1390" spans="9:10" x14ac:dyDescent="0.3">
      <c r="I1390"/>
      <c r="J1390"/>
    </row>
    <row r="1391" spans="9:10" x14ac:dyDescent="0.3">
      <c r="I1391"/>
      <c r="J1391"/>
    </row>
    <row r="1392" spans="9:10" x14ac:dyDescent="0.3">
      <c r="I1392"/>
      <c r="J1392"/>
    </row>
    <row r="1393" spans="9:10" x14ac:dyDescent="0.3">
      <c r="I1393"/>
      <c r="J1393"/>
    </row>
    <row r="1394" spans="9:10" x14ac:dyDescent="0.3">
      <c r="I1394"/>
      <c r="J1394"/>
    </row>
    <row r="1395" spans="9:10" x14ac:dyDescent="0.3">
      <c r="I1395"/>
      <c r="J1395"/>
    </row>
    <row r="1396" spans="9:10" x14ac:dyDescent="0.3">
      <c r="I1396"/>
      <c r="J1396"/>
    </row>
    <row r="1397" spans="9:10" x14ac:dyDescent="0.3">
      <c r="I1397"/>
      <c r="J1397"/>
    </row>
    <row r="1398" spans="9:10" x14ac:dyDescent="0.3">
      <c r="I1398"/>
      <c r="J1398"/>
    </row>
    <row r="1399" spans="9:10" x14ac:dyDescent="0.3">
      <c r="I1399"/>
      <c r="J1399"/>
    </row>
    <row r="1400" spans="9:10" x14ac:dyDescent="0.3">
      <c r="I1400"/>
      <c r="J1400"/>
    </row>
    <row r="1401" spans="9:10" x14ac:dyDescent="0.3">
      <c r="I1401"/>
      <c r="J1401"/>
    </row>
    <row r="1402" spans="9:10" x14ac:dyDescent="0.3">
      <c r="I1402"/>
      <c r="J1402"/>
    </row>
    <row r="1403" spans="9:10" x14ac:dyDescent="0.3">
      <c r="I1403"/>
      <c r="J1403"/>
    </row>
    <row r="1404" spans="9:10" x14ac:dyDescent="0.3">
      <c r="I1404"/>
      <c r="J1404"/>
    </row>
    <row r="1405" spans="9:10" x14ac:dyDescent="0.3">
      <c r="I1405"/>
      <c r="J1405"/>
    </row>
    <row r="1406" spans="9:10" x14ac:dyDescent="0.3">
      <c r="I1406"/>
      <c r="J1406"/>
    </row>
    <row r="1407" spans="9:10" x14ac:dyDescent="0.3">
      <c r="I1407"/>
      <c r="J1407"/>
    </row>
    <row r="1408" spans="9:10" x14ac:dyDescent="0.3">
      <c r="I1408"/>
      <c r="J1408"/>
    </row>
    <row r="1409" spans="9:10" x14ac:dyDescent="0.3">
      <c r="I1409"/>
      <c r="J1409"/>
    </row>
    <row r="1410" spans="9:10" x14ac:dyDescent="0.3">
      <c r="I1410"/>
      <c r="J1410"/>
    </row>
    <row r="1411" spans="9:10" x14ac:dyDescent="0.3">
      <c r="I1411"/>
      <c r="J1411"/>
    </row>
    <row r="1412" spans="9:10" x14ac:dyDescent="0.3">
      <c r="I1412"/>
      <c r="J1412"/>
    </row>
    <row r="1413" spans="9:10" x14ac:dyDescent="0.3">
      <c r="I1413"/>
      <c r="J1413"/>
    </row>
    <row r="1414" spans="9:10" x14ac:dyDescent="0.3">
      <c r="I1414"/>
      <c r="J1414"/>
    </row>
    <row r="1415" spans="9:10" x14ac:dyDescent="0.3">
      <c r="I1415"/>
      <c r="J1415"/>
    </row>
    <row r="1416" spans="9:10" x14ac:dyDescent="0.3">
      <c r="I1416"/>
      <c r="J1416"/>
    </row>
    <row r="1417" spans="9:10" x14ac:dyDescent="0.3">
      <c r="I1417"/>
      <c r="J1417"/>
    </row>
    <row r="1418" spans="9:10" x14ac:dyDescent="0.3">
      <c r="I1418"/>
      <c r="J1418"/>
    </row>
    <row r="1419" spans="9:10" x14ac:dyDescent="0.3">
      <c r="I1419"/>
      <c r="J1419"/>
    </row>
    <row r="1420" spans="9:10" x14ac:dyDescent="0.3">
      <c r="I1420"/>
      <c r="J1420"/>
    </row>
    <row r="1421" spans="9:10" x14ac:dyDescent="0.3">
      <c r="I1421"/>
      <c r="J1421"/>
    </row>
    <row r="1422" spans="9:10" x14ac:dyDescent="0.3">
      <c r="I1422"/>
      <c r="J1422"/>
    </row>
    <row r="1423" spans="9:10" x14ac:dyDescent="0.3">
      <c r="I1423"/>
      <c r="J1423"/>
    </row>
    <row r="1424" spans="9:10" x14ac:dyDescent="0.3">
      <c r="I1424"/>
      <c r="J1424"/>
    </row>
    <row r="1425" spans="9:10" x14ac:dyDescent="0.3">
      <c r="I1425"/>
      <c r="J1425"/>
    </row>
    <row r="1426" spans="9:10" x14ac:dyDescent="0.3">
      <c r="I1426"/>
      <c r="J1426"/>
    </row>
    <row r="1427" spans="9:10" x14ac:dyDescent="0.3">
      <c r="I1427"/>
      <c r="J1427"/>
    </row>
    <row r="1428" spans="9:10" x14ac:dyDescent="0.3">
      <c r="I1428"/>
      <c r="J1428"/>
    </row>
    <row r="1429" spans="9:10" x14ac:dyDescent="0.3">
      <c r="I1429"/>
      <c r="J1429"/>
    </row>
    <row r="1430" spans="9:10" x14ac:dyDescent="0.3">
      <c r="I1430"/>
      <c r="J1430"/>
    </row>
    <row r="1431" spans="9:10" x14ac:dyDescent="0.3">
      <c r="I1431"/>
      <c r="J1431"/>
    </row>
    <row r="1432" spans="9:10" x14ac:dyDescent="0.3">
      <c r="I1432"/>
      <c r="J1432"/>
    </row>
    <row r="1433" spans="9:10" x14ac:dyDescent="0.3">
      <c r="I1433"/>
      <c r="J1433"/>
    </row>
    <row r="1434" spans="9:10" x14ac:dyDescent="0.3">
      <c r="I1434"/>
      <c r="J1434"/>
    </row>
    <row r="1435" spans="9:10" x14ac:dyDescent="0.3">
      <c r="I1435"/>
      <c r="J1435"/>
    </row>
    <row r="1436" spans="9:10" x14ac:dyDescent="0.3">
      <c r="I1436"/>
      <c r="J1436"/>
    </row>
    <row r="1437" spans="9:10" x14ac:dyDescent="0.3">
      <c r="I1437"/>
      <c r="J1437"/>
    </row>
    <row r="1438" spans="9:10" x14ac:dyDescent="0.3">
      <c r="I1438"/>
      <c r="J1438"/>
    </row>
    <row r="1439" spans="9:10" x14ac:dyDescent="0.3">
      <c r="I1439"/>
      <c r="J1439"/>
    </row>
    <row r="1440" spans="9:10" x14ac:dyDescent="0.3">
      <c r="I1440"/>
      <c r="J1440"/>
    </row>
    <row r="1441" spans="9:10" x14ac:dyDescent="0.3">
      <c r="I1441"/>
      <c r="J1441"/>
    </row>
    <row r="1442" spans="9:10" x14ac:dyDescent="0.3">
      <c r="I1442"/>
      <c r="J1442"/>
    </row>
    <row r="1443" spans="9:10" x14ac:dyDescent="0.3">
      <c r="I1443"/>
      <c r="J1443"/>
    </row>
    <row r="1444" spans="9:10" x14ac:dyDescent="0.3">
      <c r="I1444"/>
      <c r="J1444"/>
    </row>
    <row r="1445" spans="9:10" x14ac:dyDescent="0.3">
      <c r="I1445"/>
      <c r="J1445"/>
    </row>
    <row r="1446" spans="9:10" x14ac:dyDescent="0.3">
      <c r="I1446"/>
      <c r="J1446"/>
    </row>
    <row r="1447" spans="9:10" x14ac:dyDescent="0.3">
      <c r="I1447"/>
      <c r="J1447"/>
    </row>
    <row r="1448" spans="9:10" x14ac:dyDescent="0.3">
      <c r="I1448"/>
      <c r="J1448"/>
    </row>
    <row r="1449" spans="9:10" x14ac:dyDescent="0.3">
      <c r="I1449"/>
      <c r="J1449"/>
    </row>
    <row r="1450" spans="9:10" x14ac:dyDescent="0.3">
      <c r="I1450"/>
      <c r="J1450"/>
    </row>
    <row r="1451" spans="9:10" x14ac:dyDescent="0.3">
      <c r="I1451"/>
      <c r="J1451"/>
    </row>
    <row r="1452" spans="9:10" x14ac:dyDescent="0.3">
      <c r="I1452"/>
      <c r="J1452"/>
    </row>
    <row r="1453" spans="9:10" x14ac:dyDescent="0.3">
      <c r="I1453"/>
      <c r="J1453"/>
    </row>
    <row r="1454" spans="9:10" x14ac:dyDescent="0.3">
      <c r="I1454"/>
      <c r="J1454"/>
    </row>
    <row r="1455" spans="9:10" x14ac:dyDescent="0.3">
      <c r="I1455"/>
      <c r="J1455"/>
    </row>
    <row r="1456" spans="9:10" x14ac:dyDescent="0.3">
      <c r="I1456"/>
      <c r="J1456"/>
    </row>
    <row r="1457" spans="9:10" x14ac:dyDescent="0.3">
      <c r="I1457"/>
      <c r="J1457"/>
    </row>
    <row r="1458" spans="9:10" x14ac:dyDescent="0.3">
      <c r="I1458"/>
      <c r="J1458"/>
    </row>
    <row r="1459" spans="9:10" x14ac:dyDescent="0.3">
      <c r="I1459"/>
      <c r="J1459"/>
    </row>
    <row r="1460" spans="9:10" x14ac:dyDescent="0.3">
      <c r="I1460"/>
      <c r="J1460"/>
    </row>
    <row r="1461" spans="9:10" x14ac:dyDescent="0.3">
      <c r="I1461"/>
      <c r="J1461"/>
    </row>
    <row r="1462" spans="9:10" x14ac:dyDescent="0.3">
      <c r="I1462"/>
      <c r="J1462"/>
    </row>
    <row r="1463" spans="9:10" x14ac:dyDescent="0.3">
      <c r="I1463"/>
      <c r="J1463"/>
    </row>
    <row r="1464" spans="9:10" x14ac:dyDescent="0.3">
      <c r="I1464"/>
      <c r="J1464"/>
    </row>
    <row r="1465" spans="9:10" x14ac:dyDescent="0.3">
      <c r="I1465"/>
      <c r="J1465"/>
    </row>
    <row r="1466" spans="9:10" x14ac:dyDescent="0.3">
      <c r="I1466"/>
      <c r="J1466"/>
    </row>
    <row r="1467" spans="9:10" x14ac:dyDescent="0.3">
      <c r="I1467"/>
      <c r="J1467"/>
    </row>
    <row r="1468" spans="9:10" x14ac:dyDescent="0.3">
      <c r="I1468"/>
      <c r="J1468"/>
    </row>
    <row r="1469" spans="9:10" x14ac:dyDescent="0.3">
      <c r="I1469"/>
      <c r="J1469"/>
    </row>
    <row r="1470" spans="9:10" x14ac:dyDescent="0.3">
      <c r="I1470"/>
      <c r="J1470"/>
    </row>
    <row r="1471" spans="9:10" x14ac:dyDescent="0.3">
      <c r="I1471"/>
      <c r="J1471"/>
    </row>
    <row r="1472" spans="9:10" x14ac:dyDescent="0.3">
      <c r="I1472"/>
      <c r="J1472"/>
    </row>
    <row r="1473" spans="9:10" x14ac:dyDescent="0.3">
      <c r="I1473"/>
      <c r="J1473"/>
    </row>
    <row r="1474" spans="9:10" x14ac:dyDescent="0.3">
      <c r="I1474"/>
      <c r="J1474"/>
    </row>
    <row r="1475" spans="9:10" x14ac:dyDescent="0.3">
      <c r="I1475"/>
      <c r="J1475"/>
    </row>
    <row r="1476" spans="9:10" x14ac:dyDescent="0.3">
      <c r="I1476"/>
      <c r="J1476"/>
    </row>
    <row r="1477" spans="9:10" x14ac:dyDescent="0.3">
      <c r="I1477"/>
      <c r="J1477"/>
    </row>
    <row r="1478" spans="9:10" x14ac:dyDescent="0.3">
      <c r="I1478"/>
      <c r="J1478"/>
    </row>
    <row r="1479" spans="9:10" x14ac:dyDescent="0.3">
      <c r="I1479"/>
      <c r="J1479"/>
    </row>
    <row r="1480" spans="9:10" x14ac:dyDescent="0.3">
      <c r="I1480"/>
      <c r="J1480"/>
    </row>
    <row r="1481" spans="9:10" x14ac:dyDescent="0.3">
      <c r="I1481"/>
      <c r="J1481"/>
    </row>
    <row r="1482" spans="9:10" x14ac:dyDescent="0.3">
      <c r="I1482"/>
      <c r="J1482"/>
    </row>
    <row r="1483" spans="9:10" x14ac:dyDescent="0.3">
      <c r="I1483"/>
      <c r="J1483"/>
    </row>
    <row r="1484" spans="9:10" x14ac:dyDescent="0.3">
      <c r="I1484"/>
      <c r="J1484"/>
    </row>
    <row r="1485" spans="9:10" x14ac:dyDescent="0.3">
      <c r="I1485"/>
      <c r="J1485"/>
    </row>
    <row r="1486" spans="9:10" x14ac:dyDescent="0.3">
      <c r="I1486"/>
      <c r="J1486"/>
    </row>
    <row r="1487" spans="9:10" x14ac:dyDescent="0.3">
      <c r="I1487"/>
      <c r="J1487"/>
    </row>
    <row r="1488" spans="9:10" x14ac:dyDescent="0.3">
      <c r="I1488"/>
      <c r="J1488"/>
    </row>
    <row r="1489" spans="9:10" x14ac:dyDescent="0.3">
      <c r="I1489"/>
      <c r="J1489"/>
    </row>
    <row r="1490" spans="9:10" x14ac:dyDescent="0.3">
      <c r="I1490"/>
      <c r="J1490"/>
    </row>
    <row r="1491" spans="9:10" x14ac:dyDescent="0.3">
      <c r="I1491"/>
      <c r="J1491"/>
    </row>
    <row r="1492" spans="9:10" x14ac:dyDescent="0.3">
      <c r="I1492"/>
      <c r="J1492"/>
    </row>
    <row r="1493" spans="9:10" x14ac:dyDescent="0.3">
      <c r="I1493"/>
      <c r="J1493"/>
    </row>
    <row r="1494" spans="9:10" x14ac:dyDescent="0.3">
      <c r="I1494"/>
      <c r="J1494"/>
    </row>
    <row r="1495" spans="9:10" x14ac:dyDescent="0.3">
      <c r="I1495"/>
      <c r="J1495"/>
    </row>
    <row r="1496" spans="9:10" x14ac:dyDescent="0.3">
      <c r="I1496"/>
      <c r="J1496"/>
    </row>
    <row r="1497" spans="9:10" x14ac:dyDescent="0.3">
      <c r="I1497"/>
      <c r="J1497"/>
    </row>
    <row r="1498" spans="9:10" x14ac:dyDescent="0.3">
      <c r="I1498"/>
      <c r="J1498"/>
    </row>
    <row r="1499" spans="9:10" x14ac:dyDescent="0.3">
      <c r="I1499"/>
      <c r="J1499"/>
    </row>
    <row r="1500" spans="9:10" x14ac:dyDescent="0.3">
      <c r="I1500"/>
      <c r="J1500"/>
    </row>
    <row r="1501" spans="9:10" x14ac:dyDescent="0.3">
      <c r="I1501"/>
      <c r="J1501"/>
    </row>
    <row r="1502" spans="9:10" x14ac:dyDescent="0.3">
      <c r="I1502"/>
      <c r="J1502"/>
    </row>
    <row r="1503" spans="9:10" x14ac:dyDescent="0.3">
      <c r="I1503"/>
      <c r="J1503"/>
    </row>
    <row r="1504" spans="9:10" x14ac:dyDescent="0.3">
      <c r="I1504"/>
      <c r="J1504"/>
    </row>
    <row r="1505" spans="9:10" x14ac:dyDescent="0.3">
      <c r="I1505"/>
      <c r="J1505"/>
    </row>
    <row r="1506" spans="9:10" x14ac:dyDescent="0.3">
      <c r="I1506"/>
      <c r="J1506"/>
    </row>
    <row r="1507" spans="9:10" x14ac:dyDescent="0.3">
      <c r="I1507"/>
      <c r="J1507"/>
    </row>
    <row r="1508" spans="9:10" x14ac:dyDescent="0.3">
      <c r="I1508"/>
      <c r="J1508"/>
    </row>
    <row r="1509" spans="9:10" x14ac:dyDescent="0.3">
      <c r="I1509"/>
      <c r="J1509"/>
    </row>
    <row r="1510" spans="9:10" x14ac:dyDescent="0.3">
      <c r="I1510"/>
      <c r="J1510"/>
    </row>
    <row r="1511" spans="9:10" x14ac:dyDescent="0.3">
      <c r="I1511"/>
      <c r="J1511"/>
    </row>
    <row r="1512" spans="9:10" x14ac:dyDescent="0.3">
      <c r="I1512"/>
      <c r="J1512"/>
    </row>
    <row r="1513" spans="9:10" x14ac:dyDescent="0.3">
      <c r="I1513"/>
      <c r="J1513"/>
    </row>
    <row r="1514" spans="9:10" x14ac:dyDescent="0.3">
      <c r="I1514"/>
      <c r="J1514"/>
    </row>
    <row r="1515" spans="9:10" x14ac:dyDescent="0.3">
      <c r="I1515"/>
      <c r="J1515"/>
    </row>
    <row r="1516" spans="9:10" x14ac:dyDescent="0.3">
      <c r="I1516"/>
      <c r="J1516"/>
    </row>
    <row r="1517" spans="9:10" x14ac:dyDescent="0.3">
      <c r="I1517"/>
      <c r="J1517"/>
    </row>
    <row r="1518" spans="9:10" x14ac:dyDescent="0.3">
      <c r="I1518"/>
      <c r="J1518"/>
    </row>
    <row r="1519" spans="9:10" x14ac:dyDescent="0.3">
      <c r="I1519"/>
      <c r="J1519"/>
    </row>
    <row r="1520" spans="9:10" x14ac:dyDescent="0.3">
      <c r="I1520"/>
      <c r="J1520"/>
    </row>
    <row r="1521" spans="9:10" x14ac:dyDescent="0.3">
      <c r="I1521"/>
      <c r="J1521"/>
    </row>
    <row r="1522" spans="9:10" x14ac:dyDescent="0.3">
      <c r="I1522"/>
      <c r="J1522"/>
    </row>
    <row r="1523" spans="9:10" x14ac:dyDescent="0.3">
      <c r="I1523"/>
      <c r="J1523"/>
    </row>
    <row r="1524" spans="9:10" x14ac:dyDescent="0.3">
      <c r="I1524"/>
      <c r="J1524"/>
    </row>
    <row r="1525" spans="9:10" x14ac:dyDescent="0.3">
      <c r="I1525"/>
      <c r="J1525"/>
    </row>
    <row r="1526" spans="9:10" x14ac:dyDescent="0.3">
      <c r="I1526"/>
      <c r="J1526"/>
    </row>
    <row r="1527" spans="9:10" x14ac:dyDescent="0.3">
      <c r="I1527"/>
      <c r="J1527"/>
    </row>
    <row r="1528" spans="9:10" x14ac:dyDescent="0.3">
      <c r="I1528"/>
      <c r="J1528"/>
    </row>
    <row r="1529" spans="9:10" x14ac:dyDescent="0.3">
      <c r="I1529"/>
      <c r="J1529"/>
    </row>
    <row r="1530" spans="9:10" x14ac:dyDescent="0.3">
      <c r="I1530"/>
      <c r="J1530"/>
    </row>
    <row r="1531" spans="9:10" x14ac:dyDescent="0.3">
      <c r="I1531"/>
      <c r="J1531"/>
    </row>
    <row r="1532" spans="9:10" x14ac:dyDescent="0.3">
      <c r="I1532"/>
      <c r="J1532"/>
    </row>
    <row r="1533" spans="9:10" x14ac:dyDescent="0.3">
      <c r="I1533"/>
      <c r="J1533"/>
    </row>
    <row r="1534" spans="9:10" x14ac:dyDescent="0.3">
      <c r="I1534"/>
      <c r="J1534"/>
    </row>
    <row r="1535" spans="9:10" x14ac:dyDescent="0.3">
      <c r="I1535"/>
      <c r="J1535"/>
    </row>
    <row r="1536" spans="9:10" x14ac:dyDescent="0.3">
      <c r="I1536"/>
      <c r="J1536"/>
    </row>
    <row r="1537" spans="9:10" x14ac:dyDescent="0.3">
      <c r="I1537"/>
      <c r="J1537"/>
    </row>
    <row r="1538" spans="9:10" x14ac:dyDescent="0.3">
      <c r="I1538"/>
      <c r="J1538"/>
    </row>
    <row r="1539" spans="9:10" x14ac:dyDescent="0.3">
      <c r="I1539"/>
      <c r="J1539"/>
    </row>
    <row r="1540" spans="9:10" x14ac:dyDescent="0.3">
      <c r="I1540"/>
      <c r="J1540"/>
    </row>
    <row r="1541" spans="9:10" x14ac:dyDescent="0.3">
      <c r="I1541"/>
      <c r="J1541"/>
    </row>
    <row r="1542" spans="9:10" x14ac:dyDescent="0.3">
      <c r="I1542"/>
      <c r="J1542"/>
    </row>
    <row r="1543" spans="9:10" x14ac:dyDescent="0.3">
      <c r="I1543"/>
      <c r="J1543"/>
    </row>
    <row r="1544" spans="9:10" x14ac:dyDescent="0.3">
      <c r="I1544"/>
      <c r="J1544"/>
    </row>
    <row r="1545" spans="9:10" x14ac:dyDescent="0.3">
      <c r="I1545"/>
      <c r="J1545"/>
    </row>
    <row r="1546" spans="9:10" x14ac:dyDescent="0.3">
      <c r="I1546"/>
      <c r="J1546"/>
    </row>
    <row r="1547" spans="9:10" x14ac:dyDescent="0.3">
      <c r="I1547"/>
      <c r="J1547"/>
    </row>
    <row r="1548" spans="9:10" x14ac:dyDescent="0.3">
      <c r="I1548"/>
      <c r="J1548"/>
    </row>
    <row r="1549" spans="9:10" x14ac:dyDescent="0.3">
      <c r="I1549"/>
      <c r="J1549"/>
    </row>
    <row r="1550" spans="9:10" x14ac:dyDescent="0.3">
      <c r="I1550"/>
      <c r="J1550"/>
    </row>
    <row r="1551" spans="9:10" x14ac:dyDescent="0.3">
      <c r="I1551"/>
      <c r="J1551"/>
    </row>
    <row r="1552" spans="9:10" x14ac:dyDescent="0.3">
      <c r="I1552"/>
      <c r="J1552"/>
    </row>
    <row r="1553" spans="9:10" x14ac:dyDescent="0.3">
      <c r="I1553"/>
      <c r="J1553"/>
    </row>
    <row r="1554" spans="9:10" x14ac:dyDescent="0.3">
      <c r="I1554"/>
      <c r="J1554"/>
    </row>
    <row r="1555" spans="9:10" x14ac:dyDescent="0.3">
      <c r="I1555"/>
      <c r="J1555"/>
    </row>
    <row r="1556" spans="9:10" x14ac:dyDescent="0.3">
      <c r="I1556"/>
      <c r="J1556"/>
    </row>
    <row r="1557" spans="9:10" x14ac:dyDescent="0.3">
      <c r="I1557"/>
      <c r="J1557"/>
    </row>
    <row r="1558" spans="9:10" x14ac:dyDescent="0.3">
      <c r="I1558"/>
      <c r="J1558"/>
    </row>
    <row r="1559" spans="9:10" x14ac:dyDescent="0.3">
      <c r="I1559"/>
      <c r="J1559"/>
    </row>
    <row r="1560" spans="9:10" x14ac:dyDescent="0.3">
      <c r="I1560"/>
      <c r="J1560"/>
    </row>
    <row r="1561" spans="9:10" x14ac:dyDescent="0.3">
      <c r="I1561"/>
      <c r="J1561"/>
    </row>
    <row r="1562" spans="9:10" x14ac:dyDescent="0.3">
      <c r="I1562"/>
      <c r="J1562"/>
    </row>
    <row r="1563" spans="9:10" x14ac:dyDescent="0.3">
      <c r="I1563"/>
      <c r="J1563"/>
    </row>
    <row r="1564" spans="9:10" x14ac:dyDescent="0.3">
      <c r="I1564"/>
      <c r="J1564"/>
    </row>
    <row r="1565" spans="9:10" x14ac:dyDescent="0.3">
      <c r="I1565"/>
      <c r="J1565"/>
    </row>
    <row r="1566" spans="9:10" x14ac:dyDescent="0.3">
      <c r="I1566"/>
      <c r="J1566"/>
    </row>
    <row r="1567" spans="9:10" x14ac:dyDescent="0.3">
      <c r="I1567"/>
      <c r="J1567"/>
    </row>
    <row r="1568" spans="9:10" x14ac:dyDescent="0.3">
      <c r="I1568"/>
      <c r="J1568"/>
    </row>
    <row r="1569" spans="9:10" x14ac:dyDescent="0.3">
      <c r="I1569"/>
      <c r="J1569"/>
    </row>
    <row r="1570" spans="9:10" x14ac:dyDescent="0.3">
      <c r="I1570"/>
      <c r="J1570"/>
    </row>
    <row r="1571" spans="9:10" x14ac:dyDescent="0.3">
      <c r="I1571"/>
      <c r="J1571"/>
    </row>
    <row r="1572" spans="9:10" x14ac:dyDescent="0.3">
      <c r="I1572"/>
      <c r="J1572"/>
    </row>
    <row r="1573" spans="9:10" x14ac:dyDescent="0.3">
      <c r="I1573"/>
      <c r="J1573"/>
    </row>
    <row r="1574" spans="9:10" x14ac:dyDescent="0.3">
      <c r="I1574"/>
      <c r="J1574"/>
    </row>
    <row r="1575" spans="9:10" x14ac:dyDescent="0.3">
      <c r="I1575"/>
      <c r="J1575"/>
    </row>
    <row r="1576" spans="9:10" x14ac:dyDescent="0.3">
      <c r="I1576"/>
      <c r="J1576"/>
    </row>
    <row r="1577" spans="9:10" x14ac:dyDescent="0.3">
      <c r="I1577"/>
      <c r="J1577"/>
    </row>
    <row r="1578" spans="9:10" x14ac:dyDescent="0.3">
      <c r="I1578"/>
      <c r="J1578"/>
    </row>
    <row r="1579" spans="9:10" x14ac:dyDescent="0.3">
      <c r="I1579"/>
      <c r="J1579"/>
    </row>
    <row r="1580" spans="9:10" x14ac:dyDescent="0.3">
      <c r="I1580"/>
      <c r="J1580"/>
    </row>
    <row r="1581" spans="9:10" x14ac:dyDescent="0.3">
      <c r="I1581"/>
      <c r="J1581"/>
    </row>
    <row r="1582" spans="9:10" x14ac:dyDescent="0.3">
      <c r="I1582"/>
      <c r="J1582"/>
    </row>
    <row r="1583" spans="9:10" x14ac:dyDescent="0.3">
      <c r="I1583"/>
      <c r="J1583"/>
    </row>
    <row r="1584" spans="9:10" x14ac:dyDescent="0.3">
      <c r="I1584"/>
      <c r="J1584"/>
    </row>
    <row r="1585" spans="9:10" x14ac:dyDescent="0.3">
      <c r="I1585"/>
      <c r="J1585"/>
    </row>
    <row r="1586" spans="9:10" x14ac:dyDescent="0.3">
      <c r="I1586"/>
      <c r="J1586"/>
    </row>
    <row r="1587" spans="9:10" x14ac:dyDescent="0.3">
      <c r="I1587"/>
      <c r="J1587"/>
    </row>
    <row r="1588" spans="9:10" x14ac:dyDescent="0.3">
      <c r="I1588"/>
      <c r="J1588"/>
    </row>
    <row r="1589" spans="9:10" x14ac:dyDescent="0.3">
      <c r="I1589"/>
      <c r="J1589"/>
    </row>
    <row r="1590" spans="9:10" x14ac:dyDescent="0.3">
      <c r="I1590"/>
      <c r="J1590"/>
    </row>
    <row r="1591" spans="9:10" x14ac:dyDescent="0.3">
      <c r="I1591"/>
      <c r="J1591"/>
    </row>
    <row r="1592" spans="9:10" x14ac:dyDescent="0.3">
      <c r="I1592"/>
      <c r="J1592"/>
    </row>
    <row r="1593" spans="9:10" x14ac:dyDescent="0.3">
      <c r="I1593"/>
      <c r="J1593"/>
    </row>
    <row r="1594" spans="9:10" x14ac:dyDescent="0.3">
      <c r="I1594"/>
      <c r="J1594"/>
    </row>
    <row r="1595" spans="9:10" x14ac:dyDescent="0.3">
      <c r="I1595"/>
      <c r="J1595"/>
    </row>
    <row r="1596" spans="9:10" x14ac:dyDescent="0.3">
      <c r="I1596"/>
      <c r="J1596"/>
    </row>
    <row r="1597" spans="9:10" x14ac:dyDescent="0.3">
      <c r="I1597"/>
      <c r="J1597"/>
    </row>
    <row r="1598" spans="9:10" x14ac:dyDescent="0.3">
      <c r="I1598"/>
      <c r="J1598"/>
    </row>
    <row r="1599" spans="9:10" x14ac:dyDescent="0.3">
      <c r="I1599"/>
      <c r="J1599"/>
    </row>
    <row r="1600" spans="9:10" x14ac:dyDescent="0.3">
      <c r="I1600"/>
      <c r="J1600"/>
    </row>
    <row r="1601" spans="9:10" x14ac:dyDescent="0.3">
      <c r="I1601"/>
      <c r="J1601"/>
    </row>
    <row r="1602" spans="9:10" x14ac:dyDescent="0.3">
      <c r="I1602"/>
      <c r="J1602"/>
    </row>
    <row r="1603" spans="9:10" x14ac:dyDescent="0.3">
      <c r="I1603"/>
      <c r="J1603"/>
    </row>
    <row r="1604" spans="9:10" x14ac:dyDescent="0.3">
      <c r="I1604"/>
      <c r="J1604"/>
    </row>
    <row r="1605" spans="9:10" x14ac:dyDescent="0.3">
      <c r="I1605"/>
      <c r="J1605"/>
    </row>
    <row r="1606" spans="9:10" x14ac:dyDescent="0.3">
      <c r="I1606"/>
      <c r="J1606"/>
    </row>
    <row r="1607" spans="9:10" x14ac:dyDescent="0.3">
      <c r="I1607"/>
      <c r="J1607"/>
    </row>
    <row r="1608" spans="9:10" x14ac:dyDescent="0.3">
      <c r="I1608"/>
      <c r="J1608"/>
    </row>
    <row r="1609" spans="9:10" x14ac:dyDescent="0.3">
      <c r="I1609"/>
      <c r="J1609"/>
    </row>
    <row r="1610" spans="9:10" x14ac:dyDescent="0.3">
      <c r="I1610"/>
      <c r="J1610"/>
    </row>
    <row r="1611" spans="9:10" x14ac:dyDescent="0.3">
      <c r="I1611"/>
      <c r="J1611"/>
    </row>
    <row r="1612" spans="9:10" x14ac:dyDescent="0.3">
      <c r="I1612"/>
      <c r="J1612"/>
    </row>
    <row r="1613" spans="9:10" x14ac:dyDescent="0.3">
      <c r="I1613"/>
      <c r="J1613"/>
    </row>
    <row r="1614" spans="9:10" x14ac:dyDescent="0.3">
      <c r="I1614"/>
      <c r="J1614"/>
    </row>
    <row r="1615" spans="9:10" x14ac:dyDescent="0.3">
      <c r="I1615"/>
      <c r="J1615"/>
    </row>
    <row r="1616" spans="9:10" x14ac:dyDescent="0.3">
      <c r="I1616"/>
      <c r="J1616"/>
    </row>
    <row r="1617" spans="9:10" x14ac:dyDescent="0.3">
      <c r="I1617"/>
      <c r="J1617"/>
    </row>
    <row r="1618" spans="9:10" x14ac:dyDescent="0.3">
      <c r="I1618"/>
      <c r="J1618"/>
    </row>
    <row r="1619" spans="9:10" x14ac:dyDescent="0.3">
      <c r="I1619"/>
      <c r="J1619"/>
    </row>
    <row r="1620" spans="9:10" x14ac:dyDescent="0.3">
      <c r="I1620"/>
      <c r="J1620"/>
    </row>
    <row r="1621" spans="9:10" x14ac:dyDescent="0.3">
      <c r="I1621"/>
      <c r="J1621"/>
    </row>
    <row r="1622" spans="9:10" x14ac:dyDescent="0.3">
      <c r="I1622"/>
      <c r="J1622"/>
    </row>
    <row r="1623" spans="9:10" x14ac:dyDescent="0.3">
      <c r="I1623"/>
      <c r="J1623"/>
    </row>
    <row r="1624" spans="9:10" x14ac:dyDescent="0.3">
      <c r="I1624"/>
      <c r="J1624"/>
    </row>
    <row r="1625" spans="9:10" x14ac:dyDescent="0.3">
      <c r="I1625"/>
      <c r="J1625"/>
    </row>
    <row r="1626" spans="9:10" x14ac:dyDescent="0.3">
      <c r="I1626"/>
      <c r="J1626"/>
    </row>
    <row r="1627" spans="9:10" x14ac:dyDescent="0.3">
      <c r="I1627"/>
      <c r="J1627"/>
    </row>
    <row r="1628" spans="9:10" x14ac:dyDescent="0.3">
      <c r="I1628"/>
      <c r="J1628"/>
    </row>
    <row r="1629" spans="9:10" x14ac:dyDescent="0.3">
      <c r="I1629"/>
      <c r="J1629"/>
    </row>
    <row r="1630" spans="9:10" x14ac:dyDescent="0.3">
      <c r="I1630"/>
      <c r="J1630"/>
    </row>
    <row r="1631" spans="9:10" x14ac:dyDescent="0.3">
      <c r="I1631"/>
      <c r="J1631"/>
    </row>
    <row r="1632" spans="9:10" x14ac:dyDescent="0.3">
      <c r="I1632"/>
      <c r="J1632"/>
    </row>
    <row r="1633" spans="9:10" x14ac:dyDescent="0.3">
      <c r="I1633"/>
      <c r="J1633"/>
    </row>
    <row r="1634" spans="9:10" x14ac:dyDescent="0.3">
      <c r="I1634"/>
      <c r="J1634"/>
    </row>
    <row r="1635" spans="9:10" x14ac:dyDescent="0.3">
      <c r="I1635"/>
      <c r="J1635"/>
    </row>
    <row r="1636" spans="9:10" x14ac:dyDescent="0.3">
      <c r="I1636"/>
      <c r="J1636"/>
    </row>
    <row r="1637" spans="9:10" x14ac:dyDescent="0.3">
      <c r="I1637"/>
      <c r="J1637"/>
    </row>
    <row r="1638" spans="9:10" x14ac:dyDescent="0.3">
      <c r="I1638"/>
      <c r="J1638"/>
    </row>
    <row r="1639" spans="9:10" x14ac:dyDescent="0.3">
      <c r="I1639"/>
      <c r="J1639"/>
    </row>
    <row r="1640" spans="9:10" x14ac:dyDescent="0.3">
      <c r="I1640"/>
      <c r="J1640"/>
    </row>
    <row r="1641" spans="9:10" x14ac:dyDescent="0.3">
      <c r="I1641"/>
      <c r="J1641"/>
    </row>
    <row r="1642" spans="9:10" x14ac:dyDescent="0.3">
      <c r="I1642"/>
      <c r="J1642"/>
    </row>
    <row r="1643" spans="9:10" x14ac:dyDescent="0.3">
      <c r="I1643"/>
      <c r="J1643"/>
    </row>
    <row r="1644" spans="9:10" x14ac:dyDescent="0.3">
      <c r="I1644"/>
      <c r="J1644"/>
    </row>
    <row r="1645" spans="9:10" x14ac:dyDescent="0.3">
      <c r="I1645"/>
      <c r="J1645"/>
    </row>
    <row r="1646" spans="9:10" x14ac:dyDescent="0.3">
      <c r="I1646"/>
      <c r="J1646"/>
    </row>
    <row r="1647" spans="9:10" x14ac:dyDescent="0.3">
      <c r="I1647"/>
      <c r="J1647"/>
    </row>
    <row r="1648" spans="9:10" x14ac:dyDescent="0.3">
      <c r="I1648"/>
      <c r="J1648"/>
    </row>
    <row r="1649" spans="9:10" x14ac:dyDescent="0.3">
      <c r="I1649"/>
      <c r="J1649"/>
    </row>
    <row r="1650" spans="9:10" x14ac:dyDescent="0.3">
      <c r="I1650"/>
      <c r="J1650"/>
    </row>
    <row r="1651" spans="9:10" x14ac:dyDescent="0.3">
      <c r="I1651"/>
      <c r="J1651"/>
    </row>
    <row r="1652" spans="9:10" x14ac:dyDescent="0.3">
      <c r="I1652"/>
      <c r="J1652"/>
    </row>
    <row r="1653" spans="9:10" x14ac:dyDescent="0.3">
      <c r="I1653"/>
      <c r="J1653"/>
    </row>
    <row r="1654" spans="9:10" x14ac:dyDescent="0.3">
      <c r="I1654"/>
      <c r="J1654"/>
    </row>
    <row r="1655" spans="9:10" x14ac:dyDescent="0.3">
      <c r="I1655"/>
      <c r="J1655"/>
    </row>
    <row r="1656" spans="9:10" x14ac:dyDescent="0.3">
      <c r="I1656"/>
      <c r="J1656"/>
    </row>
    <row r="1657" spans="9:10" x14ac:dyDescent="0.3">
      <c r="I1657"/>
      <c r="J1657"/>
    </row>
    <row r="1658" spans="9:10" x14ac:dyDescent="0.3">
      <c r="I1658"/>
      <c r="J1658"/>
    </row>
    <row r="1659" spans="9:10" x14ac:dyDescent="0.3">
      <c r="I1659"/>
      <c r="J1659"/>
    </row>
    <row r="1660" spans="9:10" x14ac:dyDescent="0.3">
      <c r="I1660"/>
      <c r="J1660"/>
    </row>
    <row r="1661" spans="9:10" x14ac:dyDescent="0.3">
      <c r="I1661"/>
      <c r="J1661"/>
    </row>
    <row r="1662" spans="9:10" x14ac:dyDescent="0.3">
      <c r="I1662"/>
      <c r="J1662"/>
    </row>
    <row r="1663" spans="9:10" x14ac:dyDescent="0.3">
      <c r="I1663"/>
      <c r="J1663"/>
    </row>
    <row r="1664" spans="9:10" x14ac:dyDescent="0.3">
      <c r="I1664"/>
      <c r="J1664"/>
    </row>
    <row r="1665" spans="9:10" x14ac:dyDescent="0.3">
      <c r="I1665"/>
      <c r="J1665"/>
    </row>
    <row r="1666" spans="9:10" x14ac:dyDescent="0.3">
      <c r="I1666"/>
      <c r="J1666"/>
    </row>
    <row r="1667" spans="9:10" x14ac:dyDescent="0.3">
      <c r="I1667"/>
      <c r="J1667"/>
    </row>
    <row r="1668" spans="9:10" x14ac:dyDescent="0.3">
      <c r="I1668"/>
      <c r="J1668"/>
    </row>
    <row r="1669" spans="9:10" x14ac:dyDescent="0.3">
      <c r="I1669"/>
      <c r="J1669"/>
    </row>
    <row r="1670" spans="9:10" x14ac:dyDescent="0.3">
      <c r="I1670"/>
      <c r="J1670"/>
    </row>
    <row r="1671" spans="9:10" x14ac:dyDescent="0.3">
      <c r="I1671"/>
      <c r="J1671"/>
    </row>
    <row r="1672" spans="9:10" x14ac:dyDescent="0.3">
      <c r="I1672"/>
      <c r="J1672"/>
    </row>
    <row r="1673" spans="9:10" x14ac:dyDescent="0.3">
      <c r="I1673"/>
      <c r="J1673"/>
    </row>
    <row r="1674" spans="9:10" x14ac:dyDescent="0.3">
      <c r="I1674"/>
      <c r="J1674"/>
    </row>
    <row r="1675" spans="9:10" x14ac:dyDescent="0.3">
      <c r="I1675"/>
      <c r="J1675"/>
    </row>
    <row r="1676" spans="9:10" x14ac:dyDescent="0.3">
      <c r="I1676"/>
      <c r="J1676"/>
    </row>
    <row r="1677" spans="9:10" x14ac:dyDescent="0.3">
      <c r="I1677"/>
      <c r="J1677"/>
    </row>
    <row r="1678" spans="9:10" x14ac:dyDescent="0.3">
      <c r="I1678"/>
      <c r="J1678"/>
    </row>
    <row r="1679" spans="9:10" x14ac:dyDescent="0.3">
      <c r="I1679"/>
      <c r="J1679"/>
    </row>
    <row r="1680" spans="9:10" x14ac:dyDescent="0.3">
      <c r="I1680"/>
      <c r="J1680"/>
    </row>
    <row r="1681" spans="9:10" x14ac:dyDescent="0.3">
      <c r="I1681"/>
      <c r="J1681"/>
    </row>
    <row r="1682" spans="9:10" x14ac:dyDescent="0.3">
      <c r="I1682"/>
      <c r="J1682"/>
    </row>
    <row r="1683" spans="9:10" x14ac:dyDescent="0.3">
      <c r="I1683"/>
      <c r="J1683"/>
    </row>
    <row r="1684" spans="9:10" x14ac:dyDescent="0.3">
      <c r="I1684"/>
      <c r="J1684"/>
    </row>
    <row r="1685" spans="9:10" x14ac:dyDescent="0.3">
      <c r="I1685"/>
      <c r="J1685"/>
    </row>
    <row r="1686" spans="9:10" x14ac:dyDescent="0.3">
      <c r="I1686"/>
      <c r="J1686"/>
    </row>
    <row r="1687" spans="9:10" x14ac:dyDescent="0.3">
      <c r="I1687"/>
      <c r="J1687"/>
    </row>
    <row r="1688" spans="9:10" x14ac:dyDescent="0.3">
      <c r="I1688"/>
      <c r="J1688"/>
    </row>
    <row r="1689" spans="9:10" x14ac:dyDescent="0.3">
      <c r="I1689"/>
      <c r="J1689"/>
    </row>
    <row r="1690" spans="9:10" x14ac:dyDescent="0.3">
      <c r="I1690"/>
      <c r="J1690"/>
    </row>
    <row r="1691" spans="9:10" x14ac:dyDescent="0.3">
      <c r="I1691"/>
      <c r="J1691"/>
    </row>
    <row r="1692" spans="9:10" x14ac:dyDescent="0.3">
      <c r="I1692"/>
      <c r="J1692"/>
    </row>
    <row r="1693" spans="9:10" x14ac:dyDescent="0.3">
      <c r="I1693"/>
      <c r="J1693"/>
    </row>
    <row r="1694" spans="9:10" x14ac:dyDescent="0.3">
      <c r="I1694"/>
      <c r="J1694"/>
    </row>
    <row r="1695" spans="9:10" x14ac:dyDescent="0.3">
      <c r="I1695"/>
      <c r="J1695"/>
    </row>
    <row r="1696" spans="9:10" x14ac:dyDescent="0.3">
      <c r="I1696"/>
      <c r="J1696"/>
    </row>
    <row r="1697" spans="9:10" x14ac:dyDescent="0.3">
      <c r="I1697"/>
      <c r="J1697"/>
    </row>
    <row r="1698" spans="9:10" x14ac:dyDescent="0.3">
      <c r="I1698"/>
      <c r="J1698"/>
    </row>
    <row r="1699" spans="9:10" x14ac:dyDescent="0.3">
      <c r="I1699"/>
      <c r="J1699"/>
    </row>
    <row r="1700" spans="9:10" x14ac:dyDescent="0.3">
      <c r="I1700"/>
      <c r="J1700"/>
    </row>
    <row r="1701" spans="9:10" x14ac:dyDescent="0.3">
      <c r="I1701"/>
      <c r="J1701"/>
    </row>
    <row r="1702" spans="9:10" x14ac:dyDescent="0.3">
      <c r="I1702"/>
      <c r="J1702"/>
    </row>
    <row r="1703" spans="9:10" x14ac:dyDescent="0.3">
      <c r="I1703"/>
      <c r="J1703"/>
    </row>
    <row r="1704" spans="9:10" x14ac:dyDescent="0.3">
      <c r="I1704"/>
      <c r="J1704"/>
    </row>
    <row r="1705" spans="9:10" x14ac:dyDescent="0.3">
      <c r="I1705"/>
      <c r="J1705"/>
    </row>
    <row r="1706" spans="9:10" x14ac:dyDescent="0.3">
      <c r="I1706"/>
      <c r="J1706"/>
    </row>
    <row r="1707" spans="9:10" x14ac:dyDescent="0.3">
      <c r="I1707"/>
      <c r="J1707"/>
    </row>
    <row r="1708" spans="9:10" x14ac:dyDescent="0.3">
      <c r="I1708"/>
      <c r="J1708"/>
    </row>
    <row r="1709" spans="9:10" x14ac:dyDescent="0.3">
      <c r="I1709"/>
      <c r="J1709"/>
    </row>
    <row r="1710" spans="9:10" x14ac:dyDescent="0.3">
      <c r="I1710"/>
      <c r="J1710"/>
    </row>
    <row r="1711" spans="9:10" x14ac:dyDescent="0.3">
      <c r="I1711"/>
      <c r="J1711"/>
    </row>
    <row r="1712" spans="9:10" x14ac:dyDescent="0.3">
      <c r="I1712"/>
      <c r="J1712"/>
    </row>
    <row r="1713" spans="9:10" x14ac:dyDescent="0.3">
      <c r="I1713"/>
      <c r="J1713"/>
    </row>
    <row r="1714" spans="9:10" x14ac:dyDescent="0.3">
      <c r="I1714"/>
      <c r="J1714"/>
    </row>
    <row r="1715" spans="9:10" x14ac:dyDescent="0.3">
      <c r="I1715"/>
      <c r="J1715"/>
    </row>
    <row r="1716" spans="9:10" x14ac:dyDescent="0.3">
      <c r="I1716"/>
      <c r="J1716"/>
    </row>
    <row r="1717" spans="9:10" x14ac:dyDescent="0.3">
      <c r="I1717"/>
      <c r="J1717"/>
    </row>
    <row r="1718" spans="9:10" x14ac:dyDescent="0.3">
      <c r="I1718"/>
      <c r="J1718"/>
    </row>
    <row r="1719" spans="9:10" x14ac:dyDescent="0.3">
      <c r="I1719"/>
      <c r="J1719"/>
    </row>
    <row r="1720" spans="9:10" x14ac:dyDescent="0.3">
      <c r="I1720"/>
      <c r="J1720"/>
    </row>
    <row r="1721" spans="9:10" x14ac:dyDescent="0.3">
      <c r="I1721"/>
      <c r="J1721"/>
    </row>
    <row r="1722" spans="9:10" x14ac:dyDescent="0.3">
      <c r="I1722"/>
      <c r="J1722"/>
    </row>
    <row r="1723" spans="9:10" x14ac:dyDescent="0.3">
      <c r="I1723"/>
      <c r="J1723"/>
    </row>
    <row r="1724" spans="9:10" x14ac:dyDescent="0.3">
      <c r="I1724"/>
      <c r="J1724"/>
    </row>
    <row r="1725" spans="9:10" x14ac:dyDescent="0.3">
      <c r="I1725"/>
      <c r="J1725"/>
    </row>
    <row r="1726" spans="9:10" x14ac:dyDescent="0.3">
      <c r="I1726"/>
      <c r="J1726"/>
    </row>
    <row r="1727" spans="9:10" x14ac:dyDescent="0.3">
      <c r="I1727"/>
      <c r="J1727"/>
    </row>
    <row r="1728" spans="9:10" x14ac:dyDescent="0.3">
      <c r="I1728"/>
      <c r="J1728"/>
    </row>
    <row r="1729" spans="9:10" x14ac:dyDescent="0.3">
      <c r="I1729"/>
      <c r="J1729"/>
    </row>
    <row r="1730" spans="9:10" x14ac:dyDescent="0.3">
      <c r="I1730"/>
      <c r="J1730"/>
    </row>
    <row r="1731" spans="9:10" x14ac:dyDescent="0.3">
      <c r="I1731"/>
      <c r="J1731"/>
    </row>
    <row r="1732" spans="9:10" x14ac:dyDescent="0.3">
      <c r="I1732"/>
      <c r="J1732"/>
    </row>
    <row r="1733" spans="9:10" x14ac:dyDescent="0.3">
      <c r="I1733"/>
      <c r="J1733"/>
    </row>
    <row r="1734" spans="9:10" x14ac:dyDescent="0.3">
      <c r="I1734"/>
      <c r="J1734"/>
    </row>
    <row r="1735" spans="9:10" x14ac:dyDescent="0.3">
      <c r="I1735"/>
      <c r="J1735"/>
    </row>
    <row r="1736" spans="9:10" x14ac:dyDescent="0.3">
      <c r="I1736"/>
      <c r="J1736"/>
    </row>
    <row r="1737" spans="9:10" x14ac:dyDescent="0.3">
      <c r="I1737"/>
      <c r="J1737"/>
    </row>
    <row r="1738" spans="9:10" x14ac:dyDescent="0.3">
      <c r="I1738"/>
      <c r="J1738"/>
    </row>
    <row r="1739" spans="9:10" x14ac:dyDescent="0.3">
      <c r="I1739"/>
      <c r="J1739"/>
    </row>
    <row r="1740" spans="9:10" x14ac:dyDescent="0.3">
      <c r="I1740"/>
      <c r="J1740"/>
    </row>
    <row r="1741" spans="9:10" x14ac:dyDescent="0.3">
      <c r="I1741"/>
      <c r="J1741"/>
    </row>
    <row r="1742" spans="9:10" x14ac:dyDescent="0.3">
      <c r="I1742"/>
      <c r="J1742"/>
    </row>
    <row r="1743" spans="9:10" x14ac:dyDescent="0.3">
      <c r="I1743"/>
      <c r="J1743"/>
    </row>
    <row r="1744" spans="9:10" x14ac:dyDescent="0.3">
      <c r="I1744"/>
      <c r="J1744"/>
    </row>
    <row r="1745" spans="9:10" x14ac:dyDescent="0.3">
      <c r="I1745"/>
      <c r="J1745"/>
    </row>
    <row r="1746" spans="9:10" x14ac:dyDescent="0.3">
      <c r="I1746"/>
      <c r="J1746"/>
    </row>
    <row r="1747" spans="9:10" x14ac:dyDescent="0.3">
      <c r="I1747"/>
      <c r="J1747"/>
    </row>
    <row r="1748" spans="9:10" x14ac:dyDescent="0.3">
      <c r="I1748"/>
      <c r="J1748"/>
    </row>
    <row r="1749" spans="9:10" x14ac:dyDescent="0.3">
      <c r="I1749"/>
      <c r="J1749"/>
    </row>
    <row r="1750" spans="9:10" x14ac:dyDescent="0.3">
      <c r="I1750"/>
      <c r="J1750"/>
    </row>
    <row r="1751" spans="9:10" x14ac:dyDescent="0.3">
      <c r="I1751"/>
      <c r="J1751"/>
    </row>
    <row r="1752" spans="9:10" x14ac:dyDescent="0.3">
      <c r="I1752"/>
      <c r="J1752"/>
    </row>
    <row r="1753" spans="9:10" x14ac:dyDescent="0.3">
      <c r="I1753"/>
      <c r="J1753"/>
    </row>
    <row r="1754" spans="9:10" x14ac:dyDescent="0.3">
      <c r="I1754"/>
      <c r="J1754"/>
    </row>
    <row r="1755" spans="9:10" x14ac:dyDescent="0.3">
      <c r="I1755"/>
      <c r="J1755"/>
    </row>
    <row r="1756" spans="9:10" x14ac:dyDescent="0.3">
      <c r="I1756"/>
      <c r="J1756"/>
    </row>
    <row r="1757" spans="9:10" x14ac:dyDescent="0.3">
      <c r="I1757"/>
      <c r="J1757"/>
    </row>
    <row r="1758" spans="9:10" x14ac:dyDescent="0.3">
      <c r="I1758"/>
      <c r="J1758"/>
    </row>
    <row r="1759" spans="9:10" x14ac:dyDescent="0.3">
      <c r="I1759"/>
      <c r="J1759"/>
    </row>
    <row r="1760" spans="9:10" x14ac:dyDescent="0.3">
      <c r="I1760"/>
      <c r="J1760"/>
    </row>
    <row r="1761" spans="9:10" x14ac:dyDescent="0.3">
      <c r="I1761"/>
      <c r="J1761"/>
    </row>
    <row r="1762" spans="9:10" x14ac:dyDescent="0.3">
      <c r="I1762"/>
      <c r="J1762"/>
    </row>
    <row r="1763" spans="9:10" x14ac:dyDescent="0.3">
      <c r="I1763"/>
      <c r="J1763"/>
    </row>
    <row r="1764" spans="9:10" x14ac:dyDescent="0.3">
      <c r="I1764"/>
      <c r="J1764"/>
    </row>
    <row r="1765" spans="9:10" x14ac:dyDescent="0.3">
      <c r="I1765"/>
      <c r="J1765"/>
    </row>
    <row r="1766" spans="9:10" x14ac:dyDescent="0.3">
      <c r="I1766"/>
      <c r="J1766"/>
    </row>
    <row r="1767" spans="9:10" x14ac:dyDescent="0.3">
      <c r="I1767"/>
      <c r="J1767"/>
    </row>
    <row r="1768" spans="9:10" x14ac:dyDescent="0.3">
      <c r="I1768"/>
      <c r="J1768"/>
    </row>
    <row r="1769" spans="9:10" x14ac:dyDescent="0.3">
      <c r="I1769"/>
      <c r="J1769"/>
    </row>
    <row r="1770" spans="9:10" x14ac:dyDescent="0.3">
      <c r="I1770"/>
      <c r="J1770"/>
    </row>
    <row r="1771" spans="9:10" x14ac:dyDescent="0.3">
      <c r="I1771"/>
      <c r="J1771"/>
    </row>
    <row r="1772" spans="9:10" x14ac:dyDescent="0.3">
      <c r="I1772"/>
      <c r="J1772"/>
    </row>
    <row r="1773" spans="9:10" x14ac:dyDescent="0.3">
      <c r="I1773"/>
      <c r="J1773"/>
    </row>
    <row r="1774" spans="9:10" x14ac:dyDescent="0.3">
      <c r="I1774"/>
      <c r="J1774"/>
    </row>
    <row r="1775" spans="9:10" x14ac:dyDescent="0.3">
      <c r="I1775"/>
      <c r="J1775"/>
    </row>
    <row r="1776" spans="9:10" x14ac:dyDescent="0.3">
      <c r="I1776"/>
      <c r="J1776"/>
    </row>
    <row r="1777" spans="9:10" x14ac:dyDescent="0.3">
      <c r="I1777"/>
      <c r="J1777"/>
    </row>
    <row r="1778" spans="9:10" x14ac:dyDescent="0.3">
      <c r="I1778"/>
      <c r="J1778"/>
    </row>
    <row r="1779" spans="9:10" x14ac:dyDescent="0.3">
      <c r="I1779"/>
      <c r="J1779"/>
    </row>
    <row r="1780" spans="9:10" x14ac:dyDescent="0.3">
      <c r="I1780"/>
      <c r="J1780"/>
    </row>
    <row r="1781" spans="9:10" x14ac:dyDescent="0.3">
      <c r="I1781"/>
      <c r="J1781"/>
    </row>
    <row r="1782" spans="9:10" x14ac:dyDescent="0.3">
      <c r="I1782"/>
      <c r="J1782"/>
    </row>
    <row r="1783" spans="9:10" x14ac:dyDescent="0.3">
      <c r="I1783"/>
      <c r="J1783"/>
    </row>
    <row r="1784" spans="9:10" x14ac:dyDescent="0.3">
      <c r="I1784"/>
      <c r="J1784"/>
    </row>
    <row r="1785" spans="9:10" x14ac:dyDescent="0.3">
      <c r="I1785"/>
      <c r="J1785"/>
    </row>
    <row r="1786" spans="9:10" x14ac:dyDescent="0.3">
      <c r="I1786"/>
      <c r="J1786"/>
    </row>
    <row r="1787" spans="9:10" x14ac:dyDescent="0.3">
      <c r="I1787"/>
      <c r="J1787"/>
    </row>
    <row r="1788" spans="9:10" x14ac:dyDescent="0.3">
      <c r="I1788"/>
      <c r="J1788"/>
    </row>
    <row r="1789" spans="9:10" x14ac:dyDescent="0.3">
      <c r="I1789"/>
      <c r="J1789"/>
    </row>
    <row r="1790" spans="9:10" x14ac:dyDescent="0.3">
      <c r="I1790"/>
      <c r="J1790"/>
    </row>
    <row r="1791" spans="9:10" x14ac:dyDescent="0.3">
      <c r="I1791"/>
      <c r="J1791"/>
    </row>
    <row r="1792" spans="9:10" x14ac:dyDescent="0.3">
      <c r="I1792"/>
      <c r="J1792"/>
    </row>
    <row r="1793" spans="9:10" x14ac:dyDescent="0.3">
      <c r="I1793"/>
      <c r="J1793"/>
    </row>
    <row r="1794" spans="9:10" x14ac:dyDescent="0.3">
      <c r="I1794"/>
      <c r="J1794"/>
    </row>
    <row r="1795" spans="9:10" x14ac:dyDescent="0.3">
      <c r="I1795"/>
      <c r="J1795"/>
    </row>
    <row r="1796" spans="9:10" x14ac:dyDescent="0.3">
      <c r="I1796"/>
      <c r="J1796"/>
    </row>
    <row r="1797" spans="9:10" x14ac:dyDescent="0.3">
      <c r="I1797"/>
      <c r="J1797"/>
    </row>
    <row r="1798" spans="9:10" x14ac:dyDescent="0.3">
      <c r="I1798"/>
      <c r="J1798"/>
    </row>
    <row r="1799" spans="9:10" x14ac:dyDescent="0.3">
      <c r="I1799"/>
      <c r="J1799"/>
    </row>
    <row r="1800" spans="9:10" x14ac:dyDescent="0.3">
      <c r="I1800"/>
      <c r="J1800"/>
    </row>
    <row r="1801" spans="9:10" x14ac:dyDescent="0.3">
      <c r="I1801"/>
      <c r="J1801"/>
    </row>
    <row r="1802" spans="9:10" x14ac:dyDescent="0.3">
      <c r="I1802"/>
      <c r="J1802"/>
    </row>
    <row r="1803" spans="9:10" x14ac:dyDescent="0.3">
      <c r="I1803"/>
      <c r="J1803"/>
    </row>
    <row r="1804" spans="9:10" x14ac:dyDescent="0.3">
      <c r="I1804"/>
      <c r="J1804"/>
    </row>
    <row r="1805" spans="9:10" x14ac:dyDescent="0.3">
      <c r="I1805"/>
      <c r="J1805"/>
    </row>
    <row r="1806" spans="9:10" x14ac:dyDescent="0.3">
      <c r="I1806"/>
      <c r="J1806"/>
    </row>
    <row r="1807" spans="9:10" x14ac:dyDescent="0.3">
      <c r="I1807"/>
      <c r="J1807"/>
    </row>
    <row r="1808" spans="9:10" x14ac:dyDescent="0.3">
      <c r="I1808"/>
      <c r="J1808"/>
    </row>
    <row r="1809" spans="9:10" x14ac:dyDescent="0.3">
      <c r="I1809"/>
      <c r="J1809"/>
    </row>
    <row r="1810" spans="9:10" x14ac:dyDescent="0.3">
      <c r="I1810"/>
      <c r="J1810"/>
    </row>
    <row r="1811" spans="9:10" x14ac:dyDescent="0.3">
      <c r="I1811"/>
      <c r="J1811"/>
    </row>
    <row r="1812" spans="9:10" x14ac:dyDescent="0.3">
      <c r="I1812"/>
      <c r="J1812"/>
    </row>
    <row r="1813" spans="9:10" x14ac:dyDescent="0.3">
      <c r="I1813"/>
      <c r="J1813"/>
    </row>
    <row r="1814" spans="9:10" x14ac:dyDescent="0.3">
      <c r="I1814"/>
      <c r="J1814"/>
    </row>
    <row r="1815" spans="9:10" x14ac:dyDescent="0.3">
      <c r="I1815"/>
      <c r="J1815"/>
    </row>
    <row r="1816" spans="9:10" x14ac:dyDescent="0.3">
      <c r="I1816"/>
      <c r="J1816"/>
    </row>
    <row r="1817" spans="9:10" x14ac:dyDescent="0.3">
      <c r="I1817"/>
      <c r="J1817"/>
    </row>
    <row r="1818" spans="9:10" x14ac:dyDescent="0.3">
      <c r="I1818"/>
      <c r="J1818"/>
    </row>
    <row r="1819" spans="9:10" x14ac:dyDescent="0.3">
      <c r="I1819"/>
      <c r="J1819"/>
    </row>
    <row r="1820" spans="9:10" x14ac:dyDescent="0.3">
      <c r="I1820"/>
      <c r="J1820"/>
    </row>
    <row r="1821" spans="9:10" x14ac:dyDescent="0.3">
      <c r="I1821"/>
      <c r="J1821"/>
    </row>
    <row r="1822" spans="9:10" x14ac:dyDescent="0.3">
      <c r="I1822"/>
      <c r="J1822"/>
    </row>
    <row r="1823" spans="9:10" x14ac:dyDescent="0.3">
      <c r="I1823"/>
      <c r="J1823"/>
    </row>
    <row r="1824" spans="9:10" x14ac:dyDescent="0.3">
      <c r="I1824"/>
      <c r="J1824"/>
    </row>
    <row r="1825" spans="9:10" x14ac:dyDescent="0.3">
      <c r="I1825"/>
      <c r="J1825"/>
    </row>
    <row r="1826" spans="9:10" x14ac:dyDescent="0.3">
      <c r="I1826"/>
      <c r="J1826"/>
    </row>
    <row r="1827" spans="9:10" x14ac:dyDescent="0.3">
      <c r="I1827"/>
      <c r="J1827"/>
    </row>
    <row r="1828" spans="9:10" x14ac:dyDescent="0.3">
      <c r="I1828"/>
      <c r="J1828"/>
    </row>
    <row r="1829" spans="9:10" x14ac:dyDescent="0.3">
      <c r="I1829"/>
      <c r="J1829"/>
    </row>
    <row r="1830" spans="9:10" x14ac:dyDescent="0.3">
      <c r="I1830"/>
      <c r="J1830"/>
    </row>
    <row r="1831" spans="9:10" x14ac:dyDescent="0.3">
      <c r="I1831"/>
      <c r="J1831"/>
    </row>
    <row r="1832" spans="9:10" x14ac:dyDescent="0.3">
      <c r="I1832"/>
      <c r="J1832"/>
    </row>
    <row r="1833" spans="9:10" x14ac:dyDescent="0.3">
      <c r="I1833"/>
      <c r="J1833"/>
    </row>
    <row r="1834" spans="9:10" x14ac:dyDescent="0.3">
      <c r="I1834"/>
      <c r="J1834"/>
    </row>
    <row r="1835" spans="9:10" x14ac:dyDescent="0.3">
      <c r="I1835"/>
      <c r="J1835"/>
    </row>
    <row r="1836" spans="9:10" x14ac:dyDescent="0.3">
      <c r="I1836"/>
      <c r="J1836"/>
    </row>
    <row r="1837" spans="9:10" x14ac:dyDescent="0.3">
      <c r="I1837"/>
      <c r="J1837"/>
    </row>
    <row r="1838" spans="9:10" x14ac:dyDescent="0.3">
      <c r="I1838"/>
      <c r="J1838"/>
    </row>
    <row r="1839" spans="9:10" x14ac:dyDescent="0.3">
      <c r="I1839"/>
      <c r="J1839"/>
    </row>
    <row r="1840" spans="9:10" x14ac:dyDescent="0.3">
      <c r="I1840"/>
      <c r="J1840"/>
    </row>
    <row r="1841" spans="9:10" x14ac:dyDescent="0.3">
      <c r="I1841"/>
      <c r="J1841"/>
    </row>
    <row r="1842" spans="9:10" x14ac:dyDescent="0.3">
      <c r="I1842"/>
      <c r="J1842"/>
    </row>
    <row r="1843" spans="9:10" x14ac:dyDescent="0.3">
      <c r="I1843"/>
      <c r="J1843"/>
    </row>
    <row r="1844" spans="9:10" x14ac:dyDescent="0.3">
      <c r="I1844"/>
      <c r="J1844"/>
    </row>
    <row r="1845" spans="9:10" x14ac:dyDescent="0.3">
      <c r="I1845"/>
      <c r="J1845"/>
    </row>
    <row r="1846" spans="9:10" x14ac:dyDescent="0.3">
      <c r="I1846"/>
      <c r="J1846"/>
    </row>
    <row r="1847" spans="9:10" x14ac:dyDescent="0.3">
      <c r="I1847"/>
      <c r="J1847"/>
    </row>
    <row r="1848" spans="9:10" x14ac:dyDescent="0.3">
      <c r="I1848"/>
      <c r="J1848"/>
    </row>
    <row r="1849" spans="9:10" x14ac:dyDescent="0.3">
      <c r="I1849"/>
      <c r="J1849"/>
    </row>
    <row r="1850" spans="9:10" x14ac:dyDescent="0.3">
      <c r="I1850"/>
      <c r="J1850"/>
    </row>
    <row r="1851" spans="9:10" x14ac:dyDescent="0.3">
      <c r="I1851"/>
      <c r="J1851"/>
    </row>
    <row r="1852" spans="9:10" x14ac:dyDescent="0.3">
      <c r="I1852"/>
      <c r="J1852"/>
    </row>
    <row r="1853" spans="9:10" x14ac:dyDescent="0.3">
      <c r="I1853"/>
      <c r="J1853"/>
    </row>
    <row r="1854" spans="9:10" x14ac:dyDescent="0.3">
      <c r="I1854"/>
      <c r="J1854"/>
    </row>
    <row r="1855" spans="9:10" x14ac:dyDescent="0.3">
      <c r="I1855"/>
      <c r="J1855"/>
    </row>
    <row r="1856" spans="9:10" x14ac:dyDescent="0.3">
      <c r="I1856"/>
      <c r="J1856"/>
    </row>
    <row r="1857" spans="9:10" x14ac:dyDescent="0.3">
      <c r="I1857"/>
      <c r="J1857"/>
    </row>
    <row r="1858" spans="9:10" x14ac:dyDescent="0.3">
      <c r="I1858"/>
      <c r="J1858"/>
    </row>
    <row r="1859" spans="9:10" x14ac:dyDescent="0.3">
      <c r="I1859"/>
      <c r="J1859"/>
    </row>
    <row r="1860" spans="9:10" x14ac:dyDescent="0.3">
      <c r="I1860"/>
      <c r="J1860"/>
    </row>
    <row r="1861" spans="9:10" x14ac:dyDescent="0.3">
      <c r="I1861"/>
      <c r="J1861"/>
    </row>
    <row r="1862" spans="9:10" x14ac:dyDescent="0.3">
      <c r="I1862"/>
      <c r="J1862"/>
    </row>
    <row r="1863" spans="9:10" x14ac:dyDescent="0.3">
      <c r="I1863"/>
      <c r="J1863"/>
    </row>
    <row r="1864" spans="9:10" x14ac:dyDescent="0.3">
      <c r="I1864"/>
      <c r="J1864"/>
    </row>
    <row r="1865" spans="9:10" x14ac:dyDescent="0.3">
      <c r="I1865"/>
      <c r="J1865"/>
    </row>
    <row r="1866" spans="9:10" x14ac:dyDescent="0.3">
      <c r="I1866"/>
      <c r="J1866"/>
    </row>
    <row r="1867" spans="9:10" x14ac:dyDescent="0.3">
      <c r="I1867"/>
      <c r="J1867"/>
    </row>
    <row r="1868" spans="9:10" x14ac:dyDescent="0.3">
      <c r="I1868"/>
      <c r="J1868"/>
    </row>
    <row r="1869" spans="9:10" x14ac:dyDescent="0.3">
      <c r="I1869"/>
      <c r="J1869"/>
    </row>
    <row r="1870" spans="9:10" x14ac:dyDescent="0.3">
      <c r="I1870"/>
      <c r="J1870"/>
    </row>
    <row r="1871" spans="9:10" x14ac:dyDescent="0.3">
      <c r="I1871"/>
      <c r="J1871"/>
    </row>
    <row r="1872" spans="9:10" x14ac:dyDescent="0.3">
      <c r="I1872"/>
      <c r="J1872"/>
    </row>
    <row r="1873" spans="9:10" x14ac:dyDescent="0.3">
      <c r="I1873"/>
      <c r="J1873"/>
    </row>
    <row r="1874" spans="9:10" x14ac:dyDescent="0.3">
      <c r="I1874"/>
      <c r="J1874"/>
    </row>
    <row r="1875" spans="9:10" x14ac:dyDescent="0.3">
      <c r="I1875"/>
      <c r="J1875"/>
    </row>
    <row r="1876" spans="9:10" x14ac:dyDescent="0.3">
      <c r="I1876"/>
      <c r="J1876"/>
    </row>
    <row r="1877" spans="9:10" x14ac:dyDescent="0.3">
      <c r="I1877"/>
      <c r="J1877"/>
    </row>
    <row r="1878" spans="9:10" x14ac:dyDescent="0.3">
      <c r="I1878"/>
      <c r="J1878"/>
    </row>
    <row r="1879" spans="9:10" x14ac:dyDescent="0.3">
      <c r="I1879"/>
      <c r="J1879"/>
    </row>
    <row r="1880" spans="9:10" x14ac:dyDescent="0.3">
      <c r="I1880"/>
      <c r="J1880"/>
    </row>
    <row r="1881" spans="9:10" x14ac:dyDescent="0.3">
      <c r="I1881"/>
      <c r="J1881"/>
    </row>
    <row r="1882" spans="9:10" x14ac:dyDescent="0.3">
      <c r="I1882"/>
      <c r="J1882"/>
    </row>
    <row r="1883" spans="9:10" x14ac:dyDescent="0.3">
      <c r="I1883"/>
      <c r="J1883"/>
    </row>
    <row r="1884" spans="9:10" x14ac:dyDescent="0.3">
      <c r="I1884"/>
      <c r="J1884"/>
    </row>
    <row r="1885" spans="9:10" x14ac:dyDescent="0.3">
      <c r="I1885"/>
      <c r="J1885"/>
    </row>
    <row r="1886" spans="9:10" x14ac:dyDescent="0.3">
      <c r="I1886"/>
      <c r="J1886"/>
    </row>
    <row r="1887" spans="9:10" x14ac:dyDescent="0.3">
      <c r="I1887"/>
      <c r="J1887"/>
    </row>
    <row r="1888" spans="9:10" x14ac:dyDescent="0.3">
      <c r="I1888"/>
      <c r="J1888"/>
    </row>
    <row r="1889" spans="9:10" x14ac:dyDescent="0.3">
      <c r="I1889"/>
      <c r="J1889"/>
    </row>
    <row r="1890" spans="9:10" x14ac:dyDescent="0.3">
      <c r="I1890"/>
      <c r="J1890"/>
    </row>
    <row r="1891" spans="9:10" x14ac:dyDescent="0.3">
      <c r="I1891"/>
      <c r="J1891"/>
    </row>
    <row r="1892" spans="9:10" x14ac:dyDescent="0.3">
      <c r="I1892"/>
      <c r="J1892"/>
    </row>
    <row r="1893" spans="9:10" x14ac:dyDescent="0.3">
      <c r="I1893"/>
      <c r="J1893"/>
    </row>
    <row r="1894" spans="9:10" x14ac:dyDescent="0.3">
      <c r="I1894"/>
      <c r="J1894"/>
    </row>
    <row r="1895" spans="9:10" x14ac:dyDescent="0.3">
      <c r="I1895"/>
      <c r="J1895"/>
    </row>
    <row r="1896" spans="9:10" x14ac:dyDescent="0.3">
      <c r="I1896"/>
      <c r="J1896"/>
    </row>
    <row r="1897" spans="9:10" x14ac:dyDescent="0.3">
      <c r="I1897"/>
      <c r="J1897"/>
    </row>
    <row r="1898" spans="9:10" x14ac:dyDescent="0.3">
      <c r="I1898"/>
      <c r="J1898"/>
    </row>
    <row r="1899" spans="9:10" x14ac:dyDescent="0.3">
      <c r="I1899"/>
      <c r="J1899"/>
    </row>
    <row r="1900" spans="9:10" x14ac:dyDescent="0.3">
      <c r="I1900"/>
      <c r="J1900"/>
    </row>
    <row r="1901" spans="9:10" x14ac:dyDescent="0.3">
      <c r="I1901"/>
      <c r="J1901"/>
    </row>
    <row r="1902" spans="9:10" x14ac:dyDescent="0.3">
      <c r="I1902"/>
      <c r="J1902"/>
    </row>
    <row r="1903" spans="9:10" x14ac:dyDescent="0.3">
      <c r="I1903"/>
      <c r="J1903"/>
    </row>
    <row r="1904" spans="9:10" x14ac:dyDescent="0.3">
      <c r="I1904"/>
      <c r="J1904"/>
    </row>
    <row r="1905" spans="9:10" x14ac:dyDescent="0.3">
      <c r="I1905"/>
      <c r="J1905"/>
    </row>
    <row r="1906" spans="9:10" x14ac:dyDescent="0.3">
      <c r="I1906"/>
      <c r="J1906"/>
    </row>
    <row r="1907" spans="9:10" x14ac:dyDescent="0.3">
      <c r="I1907"/>
      <c r="J1907"/>
    </row>
    <row r="1908" spans="9:10" x14ac:dyDescent="0.3">
      <c r="I1908"/>
      <c r="J1908"/>
    </row>
    <row r="1909" spans="9:10" x14ac:dyDescent="0.3">
      <c r="I1909"/>
      <c r="J1909"/>
    </row>
    <row r="1910" spans="9:10" x14ac:dyDescent="0.3">
      <c r="I1910"/>
      <c r="J1910"/>
    </row>
    <row r="1911" spans="9:10" x14ac:dyDescent="0.3">
      <c r="I1911"/>
      <c r="J1911"/>
    </row>
    <row r="1912" spans="9:10" x14ac:dyDescent="0.3">
      <c r="I1912"/>
      <c r="J1912"/>
    </row>
    <row r="1913" spans="9:10" x14ac:dyDescent="0.3">
      <c r="I1913"/>
      <c r="J1913"/>
    </row>
    <row r="1914" spans="9:10" x14ac:dyDescent="0.3">
      <c r="I1914"/>
      <c r="J1914"/>
    </row>
    <row r="1915" spans="9:10" x14ac:dyDescent="0.3">
      <c r="I1915"/>
      <c r="J1915"/>
    </row>
    <row r="1916" spans="9:10" x14ac:dyDescent="0.3">
      <c r="I1916"/>
      <c r="J1916"/>
    </row>
    <row r="1917" spans="9:10" x14ac:dyDescent="0.3">
      <c r="I1917"/>
      <c r="J1917"/>
    </row>
    <row r="1918" spans="9:10" x14ac:dyDescent="0.3">
      <c r="I1918"/>
      <c r="J1918"/>
    </row>
    <row r="1919" spans="9:10" x14ac:dyDescent="0.3">
      <c r="I1919"/>
      <c r="J1919"/>
    </row>
    <row r="1920" spans="9:10" x14ac:dyDescent="0.3">
      <c r="I1920"/>
      <c r="J1920"/>
    </row>
    <row r="1921" spans="9:10" x14ac:dyDescent="0.3">
      <c r="I1921"/>
      <c r="J1921"/>
    </row>
    <row r="1922" spans="9:10" x14ac:dyDescent="0.3">
      <c r="I1922"/>
      <c r="J1922"/>
    </row>
    <row r="1923" spans="9:10" x14ac:dyDescent="0.3">
      <c r="I1923"/>
      <c r="J1923"/>
    </row>
    <row r="1924" spans="9:10" x14ac:dyDescent="0.3">
      <c r="I1924"/>
      <c r="J1924"/>
    </row>
    <row r="1925" spans="9:10" x14ac:dyDescent="0.3">
      <c r="I1925"/>
      <c r="J1925"/>
    </row>
    <row r="1926" spans="9:10" x14ac:dyDescent="0.3">
      <c r="I1926"/>
      <c r="J1926"/>
    </row>
    <row r="1927" spans="9:10" x14ac:dyDescent="0.3">
      <c r="I1927"/>
      <c r="J1927"/>
    </row>
    <row r="1928" spans="9:10" x14ac:dyDescent="0.3">
      <c r="I1928"/>
      <c r="J1928"/>
    </row>
    <row r="1929" spans="9:10" x14ac:dyDescent="0.3">
      <c r="I1929"/>
      <c r="J1929"/>
    </row>
    <row r="1930" spans="9:10" x14ac:dyDescent="0.3">
      <c r="I1930"/>
      <c r="J1930"/>
    </row>
    <row r="1931" spans="9:10" x14ac:dyDescent="0.3">
      <c r="I1931"/>
      <c r="J1931"/>
    </row>
    <row r="1932" spans="9:10" x14ac:dyDescent="0.3">
      <c r="I1932"/>
      <c r="J1932"/>
    </row>
    <row r="1933" spans="9:10" x14ac:dyDescent="0.3">
      <c r="I1933"/>
      <c r="J1933"/>
    </row>
    <row r="1934" spans="9:10" x14ac:dyDescent="0.3">
      <c r="I1934"/>
      <c r="J1934"/>
    </row>
    <row r="1935" spans="9:10" x14ac:dyDescent="0.3">
      <c r="I1935"/>
      <c r="J1935"/>
    </row>
    <row r="1936" spans="9:10" x14ac:dyDescent="0.3">
      <c r="I1936"/>
      <c r="J1936"/>
    </row>
    <row r="1937" spans="9:10" x14ac:dyDescent="0.3">
      <c r="I1937"/>
      <c r="J1937"/>
    </row>
    <row r="1938" spans="9:10" x14ac:dyDescent="0.3">
      <c r="I1938"/>
      <c r="J1938"/>
    </row>
    <row r="1939" spans="9:10" x14ac:dyDescent="0.3">
      <c r="I1939"/>
      <c r="J1939"/>
    </row>
    <row r="1940" spans="9:10" x14ac:dyDescent="0.3">
      <c r="I1940"/>
      <c r="J1940"/>
    </row>
    <row r="1941" spans="9:10" x14ac:dyDescent="0.3">
      <c r="I1941"/>
      <c r="J1941"/>
    </row>
    <row r="1942" spans="9:10" x14ac:dyDescent="0.3">
      <c r="I1942"/>
      <c r="J1942"/>
    </row>
    <row r="1943" spans="9:10" x14ac:dyDescent="0.3">
      <c r="I1943"/>
      <c r="J1943"/>
    </row>
    <row r="1944" spans="9:10" x14ac:dyDescent="0.3">
      <c r="I1944"/>
      <c r="J1944"/>
    </row>
    <row r="1945" spans="9:10" x14ac:dyDescent="0.3">
      <c r="I1945"/>
      <c r="J1945"/>
    </row>
    <row r="1946" spans="9:10" x14ac:dyDescent="0.3">
      <c r="I1946"/>
      <c r="J1946"/>
    </row>
    <row r="1947" spans="9:10" x14ac:dyDescent="0.3">
      <c r="I1947"/>
      <c r="J1947"/>
    </row>
    <row r="1948" spans="9:10" x14ac:dyDescent="0.3">
      <c r="I1948"/>
      <c r="J1948"/>
    </row>
    <row r="1949" spans="9:10" x14ac:dyDescent="0.3">
      <c r="I1949"/>
      <c r="J1949"/>
    </row>
    <row r="1950" spans="9:10" x14ac:dyDescent="0.3">
      <c r="I1950"/>
      <c r="J1950"/>
    </row>
    <row r="1951" spans="9:10" x14ac:dyDescent="0.3">
      <c r="I1951"/>
      <c r="J1951"/>
    </row>
    <row r="1952" spans="9:10" x14ac:dyDescent="0.3">
      <c r="I1952"/>
      <c r="J1952"/>
    </row>
    <row r="1953" spans="9:10" x14ac:dyDescent="0.3">
      <c r="I1953"/>
      <c r="J1953"/>
    </row>
    <row r="1954" spans="9:10" x14ac:dyDescent="0.3">
      <c r="I1954"/>
      <c r="J1954"/>
    </row>
    <row r="1955" spans="9:10" x14ac:dyDescent="0.3">
      <c r="I1955"/>
      <c r="J1955"/>
    </row>
    <row r="1956" spans="9:10" x14ac:dyDescent="0.3">
      <c r="I1956"/>
      <c r="J1956"/>
    </row>
    <row r="1957" spans="9:10" x14ac:dyDescent="0.3">
      <c r="I1957"/>
      <c r="J1957"/>
    </row>
    <row r="1958" spans="9:10" x14ac:dyDescent="0.3">
      <c r="I1958"/>
      <c r="J1958"/>
    </row>
    <row r="1959" spans="9:10" x14ac:dyDescent="0.3">
      <c r="I1959"/>
      <c r="J1959"/>
    </row>
    <row r="1960" spans="9:10" x14ac:dyDescent="0.3">
      <c r="I1960"/>
      <c r="J1960"/>
    </row>
    <row r="1961" spans="9:10" x14ac:dyDescent="0.3">
      <c r="I1961"/>
      <c r="J1961"/>
    </row>
    <row r="1962" spans="9:10" x14ac:dyDescent="0.3">
      <c r="I1962"/>
      <c r="J1962"/>
    </row>
    <row r="1963" spans="9:10" x14ac:dyDescent="0.3">
      <c r="I1963"/>
      <c r="J1963"/>
    </row>
    <row r="1964" spans="9:10" x14ac:dyDescent="0.3">
      <c r="I1964"/>
      <c r="J1964"/>
    </row>
    <row r="1965" spans="9:10" x14ac:dyDescent="0.3">
      <c r="I1965"/>
      <c r="J1965"/>
    </row>
    <row r="1966" spans="9:10" x14ac:dyDescent="0.3">
      <c r="I1966"/>
      <c r="J1966"/>
    </row>
    <row r="1967" spans="9:10" x14ac:dyDescent="0.3">
      <c r="I1967"/>
      <c r="J1967"/>
    </row>
    <row r="1968" spans="9:10" x14ac:dyDescent="0.3">
      <c r="I1968"/>
      <c r="J1968"/>
    </row>
    <row r="1969" spans="9:10" x14ac:dyDescent="0.3">
      <c r="I1969"/>
      <c r="J1969"/>
    </row>
    <row r="1970" spans="9:10" x14ac:dyDescent="0.3">
      <c r="I1970"/>
      <c r="J1970"/>
    </row>
    <row r="1971" spans="9:10" x14ac:dyDescent="0.3">
      <c r="I1971"/>
      <c r="J1971"/>
    </row>
    <row r="1972" spans="9:10" x14ac:dyDescent="0.3">
      <c r="I1972"/>
      <c r="J1972"/>
    </row>
    <row r="1973" spans="9:10" x14ac:dyDescent="0.3">
      <c r="I1973"/>
      <c r="J1973"/>
    </row>
    <row r="1974" spans="9:10" x14ac:dyDescent="0.3">
      <c r="I1974"/>
      <c r="J1974"/>
    </row>
    <row r="1975" spans="9:10" x14ac:dyDescent="0.3">
      <c r="I1975"/>
      <c r="J1975"/>
    </row>
    <row r="1976" spans="9:10" x14ac:dyDescent="0.3">
      <c r="I1976"/>
      <c r="J1976"/>
    </row>
    <row r="1977" spans="9:10" x14ac:dyDescent="0.3">
      <c r="I1977"/>
      <c r="J1977"/>
    </row>
    <row r="1978" spans="9:10" x14ac:dyDescent="0.3">
      <c r="I1978"/>
      <c r="J1978"/>
    </row>
    <row r="1979" spans="9:10" x14ac:dyDescent="0.3">
      <c r="I1979"/>
      <c r="J1979"/>
    </row>
    <row r="1980" spans="9:10" x14ac:dyDescent="0.3">
      <c r="I1980"/>
      <c r="J1980"/>
    </row>
    <row r="1981" spans="9:10" x14ac:dyDescent="0.3">
      <c r="I1981"/>
      <c r="J1981"/>
    </row>
    <row r="1982" spans="9:10" x14ac:dyDescent="0.3">
      <c r="I1982"/>
      <c r="J1982"/>
    </row>
    <row r="1983" spans="9:10" x14ac:dyDescent="0.3">
      <c r="I1983"/>
      <c r="J1983"/>
    </row>
    <row r="1984" spans="9:10" x14ac:dyDescent="0.3">
      <c r="I1984"/>
      <c r="J1984"/>
    </row>
    <row r="1985" spans="9:10" x14ac:dyDescent="0.3">
      <c r="I1985"/>
      <c r="J1985"/>
    </row>
    <row r="1986" spans="9:10" x14ac:dyDescent="0.3">
      <c r="I1986"/>
      <c r="J1986"/>
    </row>
    <row r="1987" spans="9:10" x14ac:dyDescent="0.3">
      <c r="I1987"/>
      <c r="J1987"/>
    </row>
    <row r="1988" spans="9:10" x14ac:dyDescent="0.3">
      <c r="I1988"/>
      <c r="J1988"/>
    </row>
    <row r="1989" spans="9:10" x14ac:dyDescent="0.3">
      <c r="I1989"/>
      <c r="J1989"/>
    </row>
    <row r="1990" spans="9:10" x14ac:dyDescent="0.3">
      <c r="I1990"/>
      <c r="J1990"/>
    </row>
    <row r="1991" spans="9:10" x14ac:dyDescent="0.3">
      <c r="I1991"/>
      <c r="J1991"/>
    </row>
    <row r="1992" spans="9:10" x14ac:dyDescent="0.3">
      <c r="I1992"/>
      <c r="J1992"/>
    </row>
    <row r="1993" spans="9:10" x14ac:dyDescent="0.3">
      <c r="I1993"/>
      <c r="J1993"/>
    </row>
    <row r="1994" spans="9:10" x14ac:dyDescent="0.3">
      <c r="I1994"/>
      <c r="J1994"/>
    </row>
    <row r="1995" spans="9:10" x14ac:dyDescent="0.3">
      <c r="I1995"/>
      <c r="J1995"/>
    </row>
    <row r="1996" spans="9:10" x14ac:dyDescent="0.3">
      <c r="I1996"/>
      <c r="J1996"/>
    </row>
    <row r="1997" spans="9:10" x14ac:dyDescent="0.3">
      <c r="I1997"/>
      <c r="J1997"/>
    </row>
    <row r="1998" spans="9:10" x14ac:dyDescent="0.3">
      <c r="I1998"/>
      <c r="J1998"/>
    </row>
    <row r="1999" spans="9:10" x14ac:dyDescent="0.3">
      <c r="I1999"/>
      <c r="J1999"/>
    </row>
    <row r="2000" spans="9:10" x14ac:dyDescent="0.3">
      <c r="I2000"/>
      <c r="J2000"/>
    </row>
    <row r="2001" spans="9:10" x14ac:dyDescent="0.3">
      <c r="I2001"/>
      <c r="J2001"/>
    </row>
    <row r="2002" spans="9:10" x14ac:dyDescent="0.3">
      <c r="I2002"/>
      <c r="J2002"/>
    </row>
    <row r="2003" spans="9:10" x14ac:dyDescent="0.3">
      <c r="I2003"/>
      <c r="J2003"/>
    </row>
    <row r="2004" spans="9:10" x14ac:dyDescent="0.3">
      <c r="I2004"/>
      <c r="J2004"/>
    </row>
    <row r="2005" spans="9:10" x14ac:dyDescent="0.3">
      <c r="I2005"/>
      <c r="J2005"/>
    </row>
    <row r="2006" spans="9:10" x14ac:dyDescent="0.3">
      <c r="I2006"/>
      <c r="J2006"/>
    </row>
    <row r="2007" spans="9:10" x14ac:dyDescent="0.3">
      <c r="I2007"/>
      <c r="J2007"/>
    </row>
    <row r="2008" spans="9:10" x14ac:dyDescent="0.3">
      <c r="I2008"/>
      <c r="J2008"/>
    </row>
    <row r="2009" spans="9:10" x14ac:dyDescent="0.3">
      <c r="I2009"/>
      <c r="J2009"/>
    </row>
    <row r="2010" spans="9:10" x14ac:dyDescent="0.3">
      <c r="I2010"/>
      <c r="J2010"/>
    </row>
    <row r="2011" spans="9:10" x14ac:dyDescent="0.3">
      <c r="I2011"/>
      <c r="J2011"/>
    </row>
    <row r="2012" spans="9:10" x14ac:dyDescent="0.3">
      <c r="I2012"/>
      <c r="J2012"/>
    </row>
    <row r="2013" spans="9:10" x14ac:dyDescent="0.3">
      <c r="I2013"/>
      <c r="J2013"/>
    </row>
    <row r="2014" spans="9:10" x14ac:dyDescent="0.3">
      <c r="I2014"/>
      <c r="J2014"/>
    </row>
    <row r="2015" spans="9:10" x14ac:dyDescent="0.3">
      <c r="I2015"/>
      <c r="J2015"/>
    </row>
    <row r="2016" spans="9:10" x14ac:dyDescent="0.3">
      <c r="I2016"/>
      <c r="J2016"/>
    </row>
    <row r="2017" spans="9:10" x14ac:dyDescent="0.3">
      <c r="I2017"/>
      <c r="J2017"/>
    </row>
    <row r="2018" spans="9:10" x14ac:dyDescent="0.3">
      <c r="I2018"/>
      <c r="J2018"/>
    </row>
    <row r="2019" spans="9:10" x14ac:dyDescent="0.3">
      <c r="I2019"/>
      <c r="J2019"/>
    </row>
    <row r="2020" spans="9:10" x14ac:dyDescent="0.3">
      <c r="I2020"/>
      <c r="J2020"/>
    </row>
    <row r="2021" spans="9:10" x14ac:dyDescent="0.3">
      <c r="I2021"/>
      <c r="J2021"/>
    </row>
    <row r="2022" spans="9:10" x14ac:dyDescent="0.3">
      <c r="I2022"/>
      <c r="J2022"/>
    </row>
    <row r="2023" spans="9:10" x14ac:dyDescent="0.3">
      <c r="I2023"/>
      <c r="J2023"/>
    </row>
    <row r="2024" spans="9:10" x14ac:dyDescent="0.3">
      <c r="I2024"/>
      <c r="J2024"/>
    </row>
    <row r="2025" spans="9:10" x14ac:dyDescent="0.3">
      <c r="I2025"/>
      <c r="J2025"/>
    </row>
    <row r="2026" spans="9:10" x14ac:dyDescent="0.3">
      <c r="I2026"/>
      <c r="J2026"/>
    </row>
    <row r="2027" spans="9:10" x14ac:dyDescent="0.3">
      <c r="I2027"/>
      <c r="J2027"/>
    </row>
    <row r="2028" spans="9:10" x14ac:dyDescent="0.3">
      <c r="I2028"/>
      <c r="J2028"/>
    </row>
    <row r="2029" spans="9:10" x14ac:dyDescent="0.3">
      <c r="I2029"/>
      <c r="J2029"/>
    </row>
    <row r="2030" spans="9:10" x14ac:dyDescent="0.3">
      <c r="I2030"/>
      <c r="J2030"/>
    </row>
    <row r="2031" spans="9:10" x14ac:dyDescent="0.3">
      <c r="I2031"/>
      <c r="J2031"/>
    </row>
    <row r="2032" spans="9:10" x14ac:dyDescent="0.3">
      <c r="I2032"/>
      <c r="J2032"/>
    </row>
    <row r="2033" spans="9:10" x14ac:dyDescent="0.3">
      <c r="I2033"/>
      <c r="J2033"/>
    </row>
    <row r="2034" spans="9:10" x14ac:dyDescent="0.3">
      <c r="I2034"/>
      <c r="J2034"/>
    </row>
    <row r="2035" spans="9:10" x14ac:dyDescent="0.3">
      <c r="I2035"/>
      <c r="J2035"/>
    </row>
    <row r="2036" spans="9:10" x14ac:dyDescent="0.3">
      <c r="I2036"/>
      <c r="J2036"/>
    </row>
    <row r="2037" spans="9:10" x14ac:dyDescent="0.3">
      <c r="I2037"/>
      <c r="J2037"/>
    </row>
    <row r="2038" spans="9:10" x14ac:dyDescent="0.3">
      <c r="I2038"/>
      <c r="J2038"/>
    </row>
    <row r="2039" spans="9:10" x14ac:dyDescent="0.3">
      <c r="I2039"/>
      <c r="J2039"/>
    </row>
    <row r="2040" spans="9:10" x14ac:dyDescent="0.3">
      <c r="I2040"/>
      <c r="J2040"/>
    </row>
    <row r="2041" spans="9:10" x14ac:dyDescent="0.3">
      <c r="I2041"/>
      <c r="J2041"/>
    </row>
    <row r="2042" spans="9:10" x14ac:dyDescent="0.3">
      <c r="I2042"/>
      <c r="J2042"/>
    </row>
    <row r="2043" spans="9:10" x14ac:dyDescent="0.3">
      <c r="I2043"/>
      <c r="J2043"/>
    </row>
    <row r="2044" spans="9:10" x14ac:dyDescent="0.3">
      <c r="I2044"/>
      <c r="J2044"/>
    </row>
    <row r="2045" spans="9:10" x14ac:dyDescent="0.3">
      <c r="I2045"/>
      <c r="J2045"/>
    </row>
    <row r="2046" spans="9:10" x14ac:dyDescent="0.3">
      <c r="I2046"/>
      <c r="J2046"/>
    </row>
    <row r="2047" spans="9:10" x14ac:dyDescent="0.3">
      <c r="I2047"/>
      <c r="J2047"/>
    </row>
    <row r="2048" spans="9:10" x14ac:dyDescent="0.3">
      <c r="I2048"/>
      <c r="J2048"/>
    </row>
    <row r="2049" spans="9:10" x14ac:dyDescent="0.3">
      <c r="I2049"/>
      <c r="J2049"/>
    </row>
    <row r="2050" spans="9:10" x14ac:dyDescent="0.3">
      <c r="I2050"/>
      <c r="J2050"/>
    </row>
    <row r="2051" spans="9:10" x14ac:dyDescent="0.3">
      <c r="I2051"/>
      <c r="J2051"/>
    </row>
    <row r="2052" spans="9:10" x14ac:dyDescent="0.3">
      <c r="I2052"/>
      <c r="J2052"/>
    </row>
    <row r="2053" spans="9:10" x14ac:dyDescent="0.3">
      <c r="I2053"/>
      <c r="J2053"/>
    </row>
    <row r="2054" spans="9:10" x14ac:dyDescent="0.3">
      <c r="I2054"/>
      <c r="J2054"/>
    </row>
    <row r="2055" spans="9:10" x14ac:dyDescent="0.3">
      <c r="I2055"/>
      <c r="J2055"/>
    </row>
    <row r="2056" spans="9:10" x14ac:dyDescent="0.3">
      <c r="I2056"/>
      <c r="J2056"/>
    </row>
    <row r="2057" spans="9:10" x14ac:dyDescent="0.3">
      <c r="I2057"/>
      <c r="J2057"/>
    </row>
    <row r="2058" spans="9:10" x14ac:dyDescent="0.3">
      <c r="I2058"/>
      <c r="J2058"/>
    </row>
    <row r="2059" spans="9:10" x14ac:dyDescent="0.3">
      <c r="I2059"/>
      <c r="J2059"/>
    </row>
    <row r="2060" spans="9:10" x14ac:dyDescent="0.3">
      <c r="I2060"/>
      <c r="J2060"/>
    </row>
    <row r="2061" spans="9:10" x14ac:dyDescent="0.3">
      <c r="I2061"/>
      <c r="J2061"/>
    </row>
    <row r="2062" spans="9:10" x14ac:dyDescent="0.3">
      <c r="I2062"/>
      <c r="J2062"/>
    </row>
    <row r="2063" spans="9:10" x14ac:dyDescent="0.3">
      <c r="I2063"/>
      <c r="J2063"/>
    </row>
    <row r="2064" spans="9:10" x14ac:dyDescent="0.3">
      <c r="I2064"/>
      <c r="J2064"/>
    </row>
    <row r="2065" spans="9:10" x14ac:dyDescent="0.3">
      <c r="I2065"/>
      <c r="J2065"/>
    </row>
    <row r="2066" spans="9:10" x14ac:dyDescent="0.3">
      <c r="I2066"/>
      <c r="J2066"/>
    </row>
    <row r="2067" spans="9:10" x14ac:dyDescent="0.3">
      <c r="I2067"/>
      <c r="J2067"/>
    </row>
    <row r="2068" spans="9:10" x14ac:dyDescent="0.3">
      <c r="I2068"/>
      <c r="J2068"/>
    </row>
    <row r="2069" spans="9:10" x14ac:dyDescent="0.3">
      <c r="I2069"/>
      <c r="J2069"/>
    </row>
    <row r="2070" spans="9:10" x14ac:dyDescent="0.3">
      <c r="I2070"/>
      <c r="J2070"/>
    </row>
    <row r="2071" spans="9:10" x14ac:dyDescent="0.3">
      <c r="I2071"/>
      <c r="J2071"/>
    </row>
    <row r="2072" spans="9:10" x14ac:dyDescent="0.3">
      <c r="I2072"/>
      <c r="J2072"/>
    </row>
    <row r="2073" spans="9:10" x14ac:dyDescent="0.3">
      <c r="I2073"/>
      <c r="J2073"/>
    </row>
    <row r="2074" spans="9:10" x14ac:dyDescent="0.3">
      <c r="I2074"/>
      <c r="J2074"/>
    </row>
    <row r="2075" spans="9:10" x14ac:dyDescent="0.3">
      <c r="I2075"/>
      <c r="J2075"/>
    </row>
    <row r="2076" spans="9:10" x14ac:dyDescent="0.3">
      <c r="I2076"/>
      <c r="J2076"/>
    </row>
    <row r="2077" spans="9:10" x14ac:dyDescent="0.3">
      <c r="I2077"/>
      <c r="J2077"/>
    </row>
    <row r="2078" spans="9:10" x14ac:dyDescent="0.3">
      <c r="I2078"/>
      <c r="J2078"/>
    </row>
    <row r="2079" spans="9:10" x14ac:dyDescent="0.3">
      <c r="I2079"/>
      <c r="J2079"/>
    </row>
    <row r="2080" spans="9:10" x14ac:dyDescent="0.3">
      <c r="I2080"/>
      <c r="J2080"/>
    </row>
    <row r="2081" spans="9:10" x14ac:dyDescent="0.3">
      <c r="I2081"/>
      <c r="J2081"/>
    </row>
    <row r="2082" spans="9:10" x14ac:dyDescent="0.3">
      <c r="I2082"/>
      <c r="J2082"/>
    </row>
    <row r="2083" spans="9:10" x14ac:dyDescent="0.3">
      <c r="I2083"/>
      <c r="J2083"/>
    </row>
    <row r="2084" spans="9:10" x14ac:dyDescent="0.3">
      <c r="I2084"/>
      <c r="J2084"/>
    </row>
    <row r="2085" spans="9:10" x14ac:dyDescent="0.3">
      <c r="I2085"/>
      <c r="J2085"/>
    </row>
    <row r="2086" spans="9:10" x14ac:dyDescent="0.3">
      <c r="I2086"/>
      <c r="J2086"/>
    </row>
    <row r="2087" spans="9:10" x14ac:dyDescent="0.3">
      <c r="I2087"/>
      <c r="J2087"/>
    </row>
    <row r="2088" spans="9:10" x14ac:dyDescent="0.3">
      <c r="I2088"/>
      <c r="J2088"/>
    </row>
    <row r="2089" spans="9:10" x14ac:dyDescent="0.3">
      <c r="I2089"/>
      <c r="J2089"/>
    </row>
    <row r="2090" spans="9:10" x14ac:dyDescent="0.3">
      <c r="I2090"/>
      <c r="J2090"/>
    </row>
    <row r="2091" spans="9:10" x14ac:dyDescent="0.3">
      <c r="I2091"/>
      <c r="J2091"/>
    </row>
    <row r="2092" spans="9:10" x14ac:dyDescent="0.3">
      <c r="I2092"/>
      <c r="J2092"/>
    </row>
    <row r="2093" spans="9:10" x14ac:dyDescent="0.3">
      <c r="I2093"/>
      <c r="J2093"/>
    </row>
    <row r="2094" spans="9:10" x14ac:dyDescent="0.3">
      <c r="I2094"/>
      <c r="J2094"/>
    </row>
    <row r="2095" spans="9:10" x14ac:dyDescent="0.3">
      <c r="I2095"/>
      <c r="J2095"/>
    </row>
    <row r="2096" spans="9:10" x14ac:dyDescent="0.3">
      <c r="I2096"/>
      <c r="J2096"/>
    </row>
    <row r="2097" spans="9:10" x14ac:dyDescent="0.3">
      <c r="I2097"/>
      <c r="J2097"/>
    </row>
    <row r="2098" spans="9:10" x14ac:dyDescent="0.3">
      <c r="I2098"/>
      <c r="J2098"/>
    </row>
    <row r="2099" spans="9:10" x14ac:dyDescent="0.3">
      <c r="I2099"/>
      <c r="J2099"/>
    </row>
    <row r="2100" spans="9:10" x14ac:dyDescent="0.3">
      <c r="I2100"/>
      <c r="J2100"/>
    </row>
    <row r="2101" spans="9:10" x14ac:dyDescent="0.3">
      <c r="I2101"/>
      <c r="J2101"/>
    </row>
    <row r="2102" spans="9:10" x14ac:dyDescent="0.3">
      <c r="I2102"/>
      <c r="J2102"/>
    </row>
    <row r="2103" spans="9:10" x14ac:dyDescent="0.3">
      <c r="I2103"/>
      <c r="J2103"/>
    </row>
    <row r="2104" spans="9:10" x14ac:dyDescent="0.3">
      <c r="I2104"/>
      <c r="J2104"/>
    </row>
    <row r="2105" spans="9:10" x14ac:dyDescent="0.3">
      <c r="I2105"/>
      <c r="J2105"/>
    </row>
    <row r="2106" spans="9:10" x14ac:dyDescent="0.3">
      <c r="I2106"/>
      <c r="J2106"/>
    </row>
    <row r="2107" spans="9:10" x14ac:dyDescent="0.3">
      <c r="I2107"/>
      <c r="J2107"/>
    </row>
    <row r="2108" spans="9:10" x14ac:dyDescent="0.3">
      <c r="I2108"/>
      <c r="J2108"/>
    </row>
    <row r="2109" spans="9:10" x14ac:dyDescent="0.3">
      <c r="I2109"/>
      <c r="J2109"/>
    </row>
    <row r="2110" spans="9:10" x14ac:dyDescent="0.3">
      <c r="I2110"/>
      <c r="J2110"/>
    </row>
    <row r="2111" spans="9:10" x14ac:dyDescent="0.3">
      <c r="I2111"/>
      <c r="J2111"/>
    </row>
    <row r="2112" spans="9:10" x14ac:dyDescent="0.3">
      <c r="I2112"/>
      <c r="J2112"/>
    </row>
    <row r="2113" spans="9:10" x14ac:dyDescent="0.3">
      <c r="I2113"/>
      <c r="J2113"/>
    </row>
    <row r="2114" spans="9:10" x14ac:dyDescent="0.3">
      <c r="I2114"/>
      <c r="J2114"/>
    </row>
    <row r="2115" spans="9:10" x14ac:dyDescent="0.3">
      <c r="I2115"/>
      <c r="J2115"/>
    </row>
    <row r="2116" spans="9:10" x14ac:dyDescent="0.3">
      <c r="I2116"/>
      <c r="J2116"/>
    </row>
    <row r="2117" spans="9:10" x14ac:dyDescent="0.3">
      <c r="I2117"/>
      <c r="J2117"/>
    </row>
    <row r="2118" spans="9:10" x14ac:dyDescent="0.3">
      <c r="I2118"/>
      <c r="J2118"/>
    </row>
    <row r="2119" spans="9:10" x14ac:dyDescent="0.3">
      <c r="I2119"/>
      <c r="J2119"/>
    </row>
    <row r="2120" spans="9:10" x14ac:dyDescent="0.3">
      <c r="I2120"/>
      <c r="J2120"/>
    </row>
    <row r="2121" spans="9:10" x14ac:dyDescent="0.3">
      <c r="I2121"/>
      <c r="J2121"/>
    </row>
    <row r="2122" spans="9:10" x14ac:dyDescent="0.3">
      <c r="I2122"/>
      <c r="J2122"/>
    </row>
    <row r="2123" spans="9:10" x14ac:dyDescent="0.3">
      <c r="I2123"/>
      <c r="J2123"/>
    </row>
    <row r="2124" spans="9:10" x14ac:dyDescent="0.3">
      <c r="I2124"/>
      <c r="J2124"/>
    </row>
    <row r="2125" spans="9:10" x14ac:dyDescent="0.3">
      <c r="I2125"/>
      <c r="J2125"/>
    </row>
    <row r="2126" spans="9:10" x14ac:dyDescent="0.3">
      <c r="I2126"/>
      <c r="J2126"/>
    </row>
    <row r="2127" spans="9:10" x14ac:dyDescent="0.3">
      <c r="I2127"/>
      <c r="J2127"/>
    </row>
    <row r="2128" spans="9:10" x14ac:dyDescent="0.3">
      <c r="I2128"/>
      <c r="J2128"/>
    </row>
    <row r="2129" spans="9:10" x14ac:dyDescent="0.3">
      <c r="I2129"/>
      <c r="J2129"/>
    </row>
    <row r="2130" spans="9:10" x14ac:dyDescent="0.3">
      <c r="I2130"/>
      <c r="J2130"/>
    </row>
    <row r="2131" spans="9:10" x14ac:dyDescent="0.3">
      <c r="I2131"/>
      <c r="J2131"/>
    </row>
    <row r="2132" spans="9:10" x14ac:dyDescent="0.3">
      <c r="I2132"/>
      <c r="J2132"/>
    </row>
    <row r="2133" spans="9:10" x14ac:dyDescent="0.3">
      <c r="I2133"/>
      <c r="J2133"/>
    </row>
    <row r="2134" spans="9:10" x14ac:dyDescent="0.3">
      <c r="I2134"/>
      <c r="J2134"/>
    </row>
    <row r="2135" spans="9:10" x14ac:dyDescent="0.3">
      <c r="I2135"/>
      <c r="J2135"/>
    </row>
    <row r="2136" spans="9:10" x14ac:dyDescent="0.3">
      <c r="I2136"/>
      <c r="J2136"/>
    </row>
    <row r="2137" spans="9:10" x14ac:dyDescent="0.3">
      <c r="I2137"/>
      <c r="J2137"/>
    </row>
    <row r="2138" spans="9:10" x14ac:dyDescent="0.3">
      <c r="I2138"/>
      <c r="J2138"/>
    </row>
    <row r="2139" spans="9:10" x14ac:dyDescent="0.3">
      <c r="I2139"/>
      <c r="J2139"/>
    </row>
    <row r="2140" spans="9:10" x14ac:dyDescent="0.3">
      <c r="I2140"/>
      <c r="J2140"/>
    </row>
    <row r="2141" spans="9:10" x14ac:dyDescent="0.3">
      <c r="I2141"/>
      <c r="J2141"/>
    </row>
    <row r="2142" spans="9:10" x14ac:dyDescent="0.3">
      <c r="I2142"/>
      <c r="J2142"/>
    </row>
    <row r="2143" spans="9:10" x14ac:dyDescent="0.3">
      <c r="I2143"/>
      <c r="J2143"/>
    </row>
    <row r="2144" spans="9:10" x14ac:dyDescent="0.3">
      <c r="I2144"/>
      <c r="J2144"/>
    </row>
    <row r="2145" spans="9:10" x14ac:dyDescent="0.3">
      <c r="I2145"/>
      <c r="J2145"/>
    </row>
    <row r="2146" spans="9:10" x14ac:dyDescent="0.3">
      <c r="I2146"/>
      <c r="J2146"/>
    </row>
    <row r="2147" spans="9:10" x14ac:dyDescent="0.3">
      <c r="I2147"/>
      <c r="J2147"/>
    </row>
    <row r="2148" spans="9:10" x14ac:dyDescent="0.3">
      <c r="I2148"/>
      <c r="J2148"/>
    </row>
    <row r="2149" spans="9:10" x14ac:dyDescent="0.3">
      <c r="I2149"/>
      <c r="J2149"/>
    </row>
    <row r="2150" spans="9:10" x14ac:dyDescent="0.3">
      <c r="I2150"/>
      <c r="J2150"/>
    </row>
    <row r="2151" spans="9:10" x14ac:dyDescent="0.3">
      <c r="I2151"/>
      <c r="J2151"/>
    </row>
    <row r="2152" spans="9:10" x14ac:dyDescent="0.3">
      <c r="I2152"/>
      <c r="J2152"/>
    </row>
    <row r="2153" spans="9:10" x14ac:dyDescent="0.3">
      <c r="I2153"/>
      <c r="J2153"/>
    </row>
    <row r="2154" spans="9:10" x14ac:dyDescent="0.3">
      <c r="I2154"/>
      <c r="J2154"/>
    </row>
    <row r="2155" spans="9:10" x14ac:dyDescent="0.3">
      <c r="I2155"/>
      <c r="J2155"/>
    </row>
    <row r="2156" spans="9:10" x14ac:dyDescent="0.3">
      <c r="I2156"/>
      <c r="J2156"/>
    </row>
    <row r="2157" spans="9:10" x14ac:dyDescent="0.3">
      <c r="I2157"/>
      <c r="J2157"/>
    </row>
    <row r="2158" spans="9:10" x14ac:dyDescent="0.3">
      <c r="I2158"/>
      <c r="J2158"/>
    </row>
    <row r="2159" spans="9:10" x14ac:dyDescent="0.3">
      <c r="I2159"/>
      <c r="J2159"/>
    </row>
    <row r="2160" spans="9:10" x14ac:dyDescent="0.3">
      <c r="I2160"/>
      <c r="J2160"/>
    </row>
    <row r="2161" spans="9:10" x14ac:dyDescent="0.3">
      <c r="I2161"/>
      <c r="J2161"/>
    </row>
    <row r="2162" spans="9:10" x14ac:dyDescent="0.3">
      <c r="I2162"/>
      <c r="J2162"/>
    </row>
    <row r="2163" spans="9:10" x14ac:dyDescent="0.3">
      <c r="I2163"/>
      <c r="J2163"/>
    </row>
    <row r="2164" spans="9:10" x14ac:dyDescent="0.3">
      <c r="I2164"/>
      <c r="J2164"/>
    </row>
    <row r="2165" spans="9:10" x14ac:dyDescent="0.3">
      <c r="I2165"/>
      <c r="J2165"/>
    </row>
    <row r="2166" spans="9:10" x14ac:dyDescent="0.3">
      <c r="I2166"/>
      <c r="J2166"/>
    </row>
    <row r="2167" spans="9:10" x14ac:dyDescent="0.3">
      <c r="I2167"/>
      <c r="J2167"/>
    </row>
    <row r="2168" spans="9:10" x14ac:dyDescent="0.3">
      <c r="I2168"/>
      <c r="J2168"/>
    </row>
    <row r="2169" spans="9:10" x14ac:dyDescent="0.3">
      <c r="I2169"/>
      <c r="J2169"/>
    </row>
    <row r="2170" spans="9:10" x14ac:dyDescent="0.3">
      <c r="I2170"/>
      <c r="J2170"/>
    </row>
    <row r="2171" spans="9:10" x14ac:dyDescent="0.3">
      <c r="I2171"/>
      <c r="J2171"/>
    </row>
    <row r="2172" spans="9:10" x14ac:dyDescent="0.3">
      <c r="I2172"/>
      <c r="J2172"/>
    </row>
    <row r="2173" spans="9:10" x14ac:dyDescent="0.3">
      <c r="I2173"/>
      <c r="J2173"/>
    </row>
    <row r="2174" spans="9:10" x14ac:dyDescent="0.3">
      <c r="I2174"/>
      <c r="J2174"/>
    </row>
    <row r="2175" spans="9:10" x14ac:dyDescent="0.3">
      <c r="I2175"/>
      <c r="J2175"/>
    </row>
    <row r="2176" spans="9:10" x14ac:dyDescent="0.3">
      <c r="I2176"/>
      <c r="J2176"/>
    </row>
    <row r="2177" spans="9:10" x14ac:dyDescent="0.3">
      <c r="I2177"/>
      <c r="J2177"/>
    </row>
    <row r="2178" spans="9:10" x14ac:dyDescent="0.3">
      <c r="I2178"/>
      <c r="J2178"/>
    </row>
    <row r="2179" spans="9:10" x14ac:dyDescent="0.3">
      <c r="I2179"/>
      <c r="J2179"/>
    </row>
    <row r="2180" spans="9:10" x14ac:dyDescent="0.3">
      <c r="I2180"/>
      <c r="J2180"/>
    </row>
    <row r="2181" spans="9:10" x14ac:dyDescent="0.3">
      <c r="I2181"/>
      <c r="J2181"/>
    </row>
    <row r="2182" spans="9:10" x14ac:dyDescent="0.3">
      <c r="I2182"/>
      <c r="J2182"/>
    </row>
    <row r="2183" spans="9:10" x14ac:dyDescent="0.3">
      <c r="I2183"/>
      <c r="J2183"/>
    </row>
    <row r="2184" spans="9:10" x14ac:dyDescent="0.3">
      <c r="I2184"/>
      <c r="J2184"/>
    </row>
    <row r="2185" spans="9:10" x14ac:dyDescent="0.3">
      <c r="I2185"/>
      <c r="J2185"/>
    </row>
    <row r="2186" spans="9:10" x14ac:dyDescent="0.3">
      <c r="I2186"/>
      <c r="J2186"/>
    </row>
    <row r="2187" spans="9:10" x14ac:dyDescent="0.3">
      <c r="I2187"/>
      <c r="J2187"/>
    </row>
    <row r="2188" spans="9:10" x14ac:dyDescent="0.3">
      <c r="I2188"/>
      <c r="J2188"/>
    </row>
    <row r="2189" spans="9:10" x14ac:dyDescent="0.3">
      <c r="I2189"/>
      <c r="J2189"/>
    </row>
    <row r="2190" spans="9:10" x14ac:dyDescent="0.3">
      <c r="I2190"/>
      <c r="J2190"/>
    </row>
    <row r="2191" spans="9:10" x14ac:dyDescent="0.3">
      <c r="I2191"/>
      <c r="J2191"/>
    </row>
    <row r="2192" spans="9:10" x14ac:dyDescent="0.3">
      <c r="I2192"/>
      <c r="J2192"/>
    </row>
    <row r="2193" spans="9:10" x14ac:dyDescent="0.3">
      <c r="I2193"/>
      <c r="J2193"/>
    </row>
    <row r="2194" spans="9:10" x14ac:dyDescent="0.3">
      <c r="I2194"/>
      <c r="J2194"/>
    </row>
    <row r="2195" spans="9:10" x14ac:dyDescent="0.3">
      <c r="I2195"/>
      <c r="J2195"/>
    </row>
    <row r="2196" spans="9:10" x14ac:dyDescent="0.3">
      <c r="I2196"/>
      <c r="J2196"/>
    </row>
    <row r="2197" spans="9:10" x14ac:dyDescent="0.3">
      <c r="I2197"/>
      <c r="J2197"/>
    </row>
    <row r="2198" spans="9:10" x14ac:dyDescent="0.3">
      <c r="I2198"/>
      <c r="J2198"/>
    </row>
    <row r="2199" spans="9:10" x14ac:dyDescent="0.3">
      <c r="I2199"/>
      <c r="J2199"/>
    </row>
    <row r="2200" spans="9:10" x14ac:dyDescent="0.3">
      <c r="I2200"/>
      <c r="J2200"/>
    </row>
    <row r="2201" spans="9:10" x14ac:dyDescent="0.3">
      <c r="I2201"/>
      <c r="J2201"/>
    </row>
    <row r="2202" spans="9:10" x14ac:dyDescent="0.3">
      <c r="I2202"/>
      <c r="J2202"/>
    </row>
    <row r="2203" spans="9:10" x14ac:dyDescent="0.3">
      <c r="I2203"/>
      <c r="J2203"/>
    </row>
    <row r="2204" spans="9:10" x14ac:dyDescent="0.3">
      <c r="I2204"/>
      <c r="J2204"/>
    </row>
    <row r="2205" spans="9:10" x14ac:dyDescent="0.3">
      <c r="I2205"/>
      <c r="J2205"/>
    </row>
    <row r="2206" spans="9:10" x14ac:dyDescent="0.3">
      <c r="I2206"/>
      <c r="J2206"/>
    </row>
    <row r="2207" spans="9:10" x14ac:dyDescent="0.3">
      <c r="I2207"/>
      <c r="J2207"/>
    </row>
    <row r="2208" spans="9:10" x14ac:dyDescent="0.3">
      <c r="I2208"/>
      <c r="J2208"/>
    </row>
    <row r="2209" spans="9:10" x14ac:dyDescent="0.3">
      <c r="I2209"/>
      <c r="J2209"/>
    </row>
    <row r="2210" spans="9:10" x14ac:dyDescent="0.3">
      <c r="I2210"/>
      <c r="J2210"/>
    </row>
    <row r="2211" spans="9:10" x14ac:dyDescent="0.3">
      <c r="I2211"/>
      <c r="J2211"/>
    </row>
    <row r="2212" spans="9:10" x14ac:dyDescent="0.3">
      <c r="I2212"/>
      <c r="J2212"/>
    </row>
    <row r="2213" spans="9:10" x14ac:dyDescent="0.3">
      <c r="I2213"/>
      <c r="J2213"/>
    </row>
    <row r="2214" spans="9:10" x14ac:dyDescent="0.3">
      <c r="I2214"/>
      <c r="J2214"/>
    </row>
    <row r="2215" spans="9:10" x14ac:dyDescent="0.3">
      <c r="I2215"/>
      <c r="J2215"/>
    </row>
    <row r="2216" spans="9:10" x14ac:dyDescent="0.3">
      <c r="I2216"/>
      <c r="J2216"/>
    </row>
    <row r="2217" spans="9:10" x14ac:dyDescent="0.3">
      <c r="I2217"/>
      <c r="J2217"/>
    </row>
    <row r="2218" spans="9:10" x14ac:dyDescent="0.3">
      <c r="I2218"/>
      <c r="J2218"/>
    </row>
    <row r="2219" spans="9:10" x14ac:dyDescent="0.3">
      <c r="I2219"/>
      <c r="J2219"/>
    </row>
    <row r="2220" spans="9:10" x14ac:dyDescent="0.3">
      <c r="I2220"/>
      <c r="J2220"/>
    </row>
    <row r="2221" spans="9:10" x14ac:dyDescent="0.3">
      <c r="I2221"/>
      <c r="J2221"/>
    </row>
    <row r="2222" spans="9:10" x14ac:dyDescent="0.3">
      <c r="I2222"/>
      <c r="J2222"/>
    </row>
    <row r="2223" spans="9:10" x14ac:dyDescent="0.3">
      <c r="I2223"/>
      <c r="J2223"/>
    </row>
    <row r="2224" spans="9:10" x14ac:dyDescent="0.3">
      <c r="I2224"/>
      <c r="J2224"/>
    </row>
    <row r="2225" spans="9:10" x14ac:dyDescent="0.3">
      <c r="I2225"/>
      <c r="J2225"/>
    </row>
    <row r="2226" spans="9:10" x14ac:dyDescent="0.3">
      <c r="I2226"/>
      <c r="J2226"/>
    </row>
    <row r="2227" spans="9:10" x14ac:dyDescent="0.3">
      <c r="I2227"/>
      <c r="J2227"/>
    </row>
    <row r="2228" spans="9:10" x14ac:dyDescent="0.3">
      <c r="I2228"/>
      <c r="J2228"/>
    </row>
    <row r="2229" spans="9:10" x14ac:dyDescent="0.3">
      <c r="I2229"/>
      <c r="J2229"/>
    </row>
    <row r="2230" spans="9:10" x14ac:dyDescent="0.3">
      <c r="I2230"/>
      <c r="J2230"/>
    </row>
    <row r="2231" spans="9:10" x14ac:dyDescent="0.3">
      <c r="I2231"/>
      <c r="J2231"/>
    </row>
    <row r="2232" spans="9:10" x14ac:dyDescent="0.3">
      <c r="I2232"/>
      <c r="J2232"/>
    </row>
    <row r="2233" spans="9:10" x14ac:dyDescent="0.3">
      <c r="I2233"/>
      <c r="J2233"/>
    </row>
    <row r="2234" spans="9:10" x14ac:dyDescent="0.3">
      <c r="I2234"/>
      <c r="J2234"/>
    </row>
    <row r="2235" spans="9:10" x14ac:dyDescent="0.3">
      <c r="I2235"/>
      <c r="J2235"/>
    </row>
    <row r="2236" spans="9:10" x14ac:dyDescent="0.3">
      <c r="I2236"/>
      <c r="J2236"/>
    </row>
    <row r="2237" spans="9:10" x14ac:dyDescent="0.3">
      <c r="I2237"/>
      <c r="J2237"/>
    </row>
    <row r="2238" spans="9:10" x14ac:dyDescent="0.3">
      <c r="I2238"/>
      <c r="J2238"/>
    </row>
    <row r="2239" spans="9:10" x14ac:dyDescent="0.3">
      <c r="I2239"/>
      <c r="J2239"/>
    </row>
    <row r="2240" spans="9:10" x14ac:dyDescent="0.3">
      <c r="I2240"/>
      <c r="J2240"/>
    </row>
    <row r="2241" spans="9:10" x14ac:dyDescent="0.3">
      <c r="I2241"/>
      <c r="J2241"/>
    </row>
    <row r="2242" spans="9:10" x14ac:dyDescent="0.3">
      <c r="I2242"/>
      <c r="J2242"/>
    </row>
    <row r="2243" spans="9:10" x14ac:dyDescent="0.3">
      <c r="I2243"/>
      <c r="J2243"/>
    </row>
    <row r="2244" spans="9:10" x14ac:dyDescent="0.3">
      <c r="I2244"/>
      <c r="J2244"/>
    </row>
    <row r="2245" spans="9:10" x14ac:dyDescent="0.3">
      <c r="I2245"/>
      <c r="J2245"/>
    </row>
    <row r="2246" spans="9:10" x14ac:dyDescent="0.3">
      <c r="I2246"/>
      <c r="J2246"/>
    </row>
    <row r="2247" spans="9:10" x14ac:dyDescent="0.3">
      <c r="I2247"/>
      <c r="J2247"/>
    </row>
    <row r="2248" spans="9:10" x14ac:dyDescent="0.3">
      <c r="I2248"/>
      <c r="J2248"/>
    </row>
    <row r="2249" spans="9:10" x14ac:dyDescent="0.3">
      <c r="I2249"/>
      <c r="J2249"/>
    </row>
    <row r="2250" spans="9:10" x14ac:dyDescent="0.3">
      <c r="I2250"/>
      <c r="J2250"/>
    </row>
    <row r="2251" spans="9:10" x14ac:dyDescent="0.3">
      <c r="I2251"/>
      <c r="J2251"/>
    </row>
    <row r="2252" spans="9:10" x14ac:dyDescent="0.3">
      <c r="I2252"/>
      <c r="J2252"/>
    </row>
    <row r="2253" spans="9:10" x14ac:dyDescent="0.3">
      <c r="I2253"/>
      <c r="J2253"/>
    </row>
    <row r="2254" spans="9:10" x14ac:dyDescent="0.3">
      <c r="I2254"/>
      <c r="J2254"/>
    </row>
    <row r="2255" spans="9:10" x14ac:dyDescent="0.3">
      <c r="I2255"/>
      <c r="J2255"/>
    </row>
    <row r="2256" spans="9:10" x14ac:dyDescent="0.3">
      <c r="I2256"/>
      <c r="J2256"/>
    </row>
    <row r="2257" spans="9:10" x14ac:dyDescent="0.3">
      <c r="I2257"/>
      <c r="J2257"/>
    </row>
    <row r="2258" spans="9:10" x14ac:dyDescent="0.3">
      <c r="I2258"/>
      <c r="J2258"/>
    </row>
    <row r="2259" spans="9:10" x14ac:dyDescent="0.3">
      <c r="I2259"/>
      <c r="J2259"/>
    </row>
    <row r="2260" spans="9:10" x14ac:dyDescent="0.3">
      <c r="I2260"/>
      <c r="J2260"/>
    </row>
    <row r="2261" spans="9:10" x14ac:dyDescent="0.3">
      <c r="I2261"/>
      <c r="J2261"/>
    </row>
    <row r="2262" spans="9:10" x14ac:dyDescent="0.3">
      <c r="I2262"/>
      <c r="J2262"/>
    </row>
    <row r="2263" spans="9:10" x14ac:dyDescent="0.3">
      <c r="I2263"/>
      <c r="J2263"/>
    </row>
    <row r="2264" spans="9:10" x14ac:dyDescent="0.3">
      <c r="I2264"/>
      <c r="J2264"/>
    </row>
    <row r="2265" spans="9:10" x14ac:dyDescent="0.3">
      <c r="I2265"/>
      <c r="J2265"/>
    </row>
    <row r="2266" spans="9:10" x14ac:dyDescent="0.3">
      <c r="I2266"/>
      <c r="J2266"/>
    </row>
    <row r="2267" spans="9:10" x14ac:dyDescent="0.3">
      <c r="I2267"/>
      <c r="J2267"/>
    </row>
    <row r="2268" spans="9:10" x14ac:dyDescent="0.3">
      <c r="I2268"/>
      <c r="J2268"/>
    </row>
    <row r="2269" spans="9:10" x14ac:dyDescent="0.3">
      <c r="I2269"/>
      <c r="J2269"/>
    </row>
    <row r="2270" spans="9:10" x14ac:dyDescent="0.3">
      <c r="I2270"/>
      <c r="J2270"/>
    </row>
    <row r="2271" spans="9:10" x14ac:dyDescent="0.3">
      <c r="I2271"/>
      <c r="J2271"/>
    </row>
    <row r="2272" spans="9:10" x14ac:dyDescent="0.3">
      <c r="I2272"/>
      <c r="J2272"/>
    </row>
    <row r="2273" spans="9:10" x14ac:dyDescent="0.3">
      <c r="I2273"/>
      <c r="J2273"/>
    </row>
    <row r="2274" spans="9:10" x14ac:dyDescent="0.3">
      <c r="I2274"/>
      <c r="J2274"/>
    </row>
    <row r="2275" spans="9:10" x14ac:dyDescent="0.3">
      <c r="I2275"/>
      <c r="J2275"/>
    </row>
    <row r="2276" spans="9:10" x14ac:dyDescent="0.3">
      <c r="I2276"/>
      <c r="J2276"/>
    </row>
    <row r="2277" spans="9:10" x14ac:dyDescent="0.3">
      <c r="I2277"/>
      <c r="J2277"/>
    </row>
    <row r="2278" spans="9:10" x14ac:dyDescent="0.3">
      <c r="I2278"/>
      <c r="J2278"/>
    </row>
    <row r="2279" spans="9:10" x14ac:dyDescent="0.3">
      <c r="I2279"/>
      <c r="J2279"/>
    </row>
    <row r="2280" spans="9:10" x14ac:dyDescent="0.3">
      <c r="I2280"/>
      <c r="J2280"/>
    </row>
    <row r="2281" spans="9:10" x14ac:dyDescent="0.3">
      <c r="I2281"/>
      <c r="J2281"/>
    </row>
    <row r="2282" spans="9:10" x14ac:dyDescent="0.3">
      <c r="I2282"/>
      <c r="J2282"/>
    </row>
    <row r="2283" spans="9:10" x14ac:dyDescent="0.3">
      <c r="I2283"/>
      <c r="J2283"/>
    </row>
    <row r="2284" spans="9:10" x14ac:dyDescent="0.3">
      <c r="I2284"/>
      <c r="J2284"/>
    </row>
    <row r="2285" spans="9:10" x14ac:dyDescent="0.3">
      <c r="I2285"/>
      <c r="J2285"/>
    </row>
    <row r="2286" spans="9:10" x14ac:dyDescent="0.3">
      <c r="I2286"/>
      <c r="J2286"/>
    </row>
    <row r="2287" spans="9:10" x14ac:dyDescent="0.3">
      <c r="I2287"/>
      <c r="J2287"/>
    </row>
    <row r="2288" spans="9:10" x14ac:dyDescent="0.3">
      <c r="I2288"/>
      <c r="J2288"/>
    </row>
    <row r="2289" spans="9:10" x14ac:dyDescent="0.3">
      <c r="I2289"/>
      <c r="J2289"/>
    </row>
    <row r="2290" spans="9:10" x14ac:dyDescent="0.3">
      <c r="I2290"/>
      <c r="J2290"/>
    </row>
    <row r="2291" spans="9:10" x14ac:dyDescent="0.3">
      <c r="I2291"/>
      <c r="J2291"/>
    </row>
    <row r="2292" spans="9:10" x14ac:dyDescent="0.3">
      <c r="I2292"/>
      <c r="J2292"/>
    </row>
    <row r="2293" spans="9:10" x14ac:dyDescent="0.3">
      <c r="I2293"/>
      <c r="J2293"/>
    </row>
    <row r="2294" spans="9:10" x14ac:dyDescent="0.3">
      <c r="I2294"/>
      <c r="J2294"/>
    </row>
    <row r="2295" spans="9:10" x14ac:dyDescent="0.3">
      <c r="I2295"/>
      <c r="J2295"/>
    </row>
    <row r="2296" spans="9:10" x14ac:dyDescent="0.3">
      <c r="I2296"/>
      <c r="J2296"/>
    </row>
    <row r="2297" spans="9:10" x14ac:dyDescent="0.3">
      <c r="I2297"/>
      <c r="J2297"/>
    </row>
    <row r="2298" spans="9:10" x14ac:dyDescent="0.3">
      <c r="I2298"/>
      <c r="J2298"/>
    </row>
    <row r="2299" spans="9:10" x14ac:dyDescent="0.3">
      <c r="I2299"/>
      <c r="J2299"/>
    </row>
    <row r="2300" spans="9:10" x14ac:dyDescent="0.3">
      <c r="I2300"/>
      <c r="J2300"/>
    </row>
    <row r="2301" spans="9:10" x14ac:dyDescent="0.3">
      <c r="I2301"/>
      <c r="J2301"/>
    </row>
    <row r="2302" spans="9:10" x14ac:dyDescent="0.3">
      <c r="I2302"/>
      <c r="J2302"/>
    </row>
    <row r="2303" spans="9:10" x14ac:dyDescent="0.3">
      <c r="I2303"/>
      <c r="J2303"/>
    </row>
    <row r="2304" spans="9:10" x14ac:dyDescent="0.3">
      <c r="I2304"/>
      <c r="J2304"/>
    </row>
    <row r="2305" spans="9:10" x14ac:dyDescent="0.3">
      <c r="I2305"/>
      <c r="J2305"/>
    </row>
    <row r="2306" spans="9:10" x14ac:dyDescent="0.3">
      <c r="I2306"/>
      <c r="J2306"/>
    </row>
    <row r="2307" spans="9:10" x14ac:dyDescent="0.3">
      <c r="I2307"/>
      <c r="J2307"/>
    </row>
    <row r="2308" spans="9:10" x14ac:dyDescent="0.3">
      <c r="I2308"/>
      <c r="J2308"/>
    </row>
    <row r="2309" spans="9:10" x14ac:dyDescent="0.3">
      <c r="I2309"/>
      <c r="J2309"/>
    </row>
    <row r="2310" spans="9:10" x14ac:dyDescent="0.3">
      <c r="I2310"/>
      <c r="J2310"/>
    </row>
    <row r="2311" spans="9:10" x14ac:dyDescent="0.3">
      <c r="I2311"/>
      <c r="J2311"/>
    </row>
    <row r="2312" spans="9:10" x14ac:dyDescent="0.3">
      <c r="I2312"/>
      <c r="J2312"/>
    </row>
    <row r="2313" spans="9:10" x14ac:dyDescent="0.3">
      <c r="I2313"/>
      <c r="J2313"/>
    </row>
    <row r="2314" spans="9:10" x14ac:dyDescent="0.3">
      <c r="I2314"/>
      <c r="J2314"/>
    </row>
    <row r="2315" spans="9:10" x14ac:dyDescent="0.3">
      <c r="I2315"/>
      <c r="J2315"/>
    </row>
    <row r="2316" spans="9:10" x14ac:dyDescent="0.3">
      <c r="I2316"/>
      <c r="J2316"/>
    </row>
    <row r="2317" spans="9:10" x14ac:dyDescent="0.3">
      <c r="I2317"/>
      <c r="J2317"/>
    </row>
    <row r="2318" spans="9:10" x14ac:dyDescent="0.3">
      <c r="I2318"/>
      <c r="J2318"/>
    </row>
    <row r="2319" spans="9:10" x14ac:dyDescent="0.3">
      <c r="I2319"/>
      <c r="J2319"/>
    </row>
    <row r="2320" spans="9:10" x14ac:dyDescent="0.3">
      <c r="I2320"/>
      <c r="J2320"/>
    </row>
    <row r="2321" spans="9:10" x14ac:dyDescent="0.3">
      <c r="I2321"/>
      <c r="J2321"/>
    </row>
    <row r="2322" spans="9:10" x14ac:dyDescent="0.3">
      <c r="I2322"/>
      <c r="J2322"/>
    </row>
    <row r="2323" spans="9:10" x14ac:dyDescent="0.3">
      <c r="I2323"/>
      <c r="J2323"/>
    </row>
    <row r="2324" spans="9:10" x14ac:dyDescent="0.3">
      <c r="I2324"/>
      <c r="J2324"/>
    </row>
    <row r="2325" spans="9:10" x14ac:dyDescent="0.3">
      <c r="I2325"/>
      <c r="J2325"/>
    </row>
    <row r="2326" spans="9:10" x14ac:dyDescent="0.3">
      <c r="I2326"/>
      <c r="J2326"/>
    </row>
    <row r="2327" spans="9:10" x14ac:dyDescent="0.3">
      <c r="I2327"/>
      <c r="J2327"/>
    </row>
    <row r="2328" spans="9:10" x14ac:dyDescent="0.3">
      <c r="I2328"/>
      <c r="J2328"/>
    </row>
    <row r="2329" spans="9:10" x14ac:dyDescent="0.3">
      <c r="I2329"/>
      <c r="J2329"/>
    </row>
    <row r="2330" spans="9:10" x14ac:dyDescent="0.3">
      <c r="I2330"/>
      <c r="J2330"/>
    </row>
    <row r="2331" spans="9:10" x14ac:dyDescent="0.3">
      <c r="I2331"/>
      <c r="J2331"/>
    </row>
    <row r="2332" spans="9:10" x14ac:dyDescent="0.3">
      <c r="I2332"/>
      <c r="J2332"/>
    </row>
    <row r="2333" spans="9:10" x14ac:dyDescent="0.3">
      <c r="I2333"/>
      <c r="J2333"/>
    </row>
    <row r="2334" spans="9:10" x14ac:dyDescent="0.3">
      <c r="I2334"/>
      <c r="J2334"/>
    </row>
    <row r="2335" spans="9:10" x14ac:dyDescent="0.3">
      <c r="I2335"/>
      <c r="J2335"/>
    </row>
    <row r="2336" spans="9:10" x14ac:dyDescent="0.3">
      <c r="I2336"/>
      <c r="J2336"/>
    </row>
    <row r="2337" spans="9:10" x14ac:dyDescent="0.3">
      <c r="I2337"/>
      <c r="J2337"/>
    </row>
    <row r="2338" spans="9:10" x14ac:dyDescent="0.3">
      <c r="I2338"/>
      <c r="J2338"/>
    </row>
    <row r="2339" spans="9:10" x14ac:dyDescent="0.3">
      <c r="I2339"/>
      <c r="J2339"/>
    </row>
    <row r="2340" spans="9:10" x14ac:dyDescent="0.3">
      <c r="I2340"/>
      <c r="J2340"/>
    </row>
    <row r="2341" spans="9:10" x14ac:dyDescent="0.3">
      <c r="I2341"/>
      <c r="J2341"/>
    </row>
    <row r="2342" spans="9:10" x14ac:dyDescent="0.3">
      <c r="I2342"/>
      <c r="J2342"/>
    </row>
    <row r="2343" spans="9:10" x14ac:dyDescent="0.3">
      <c r="I2343"/>
      <c r="J2343"/>
    </row>
    <row r="2344" spans="9:10" x14ac:dyDescent="0.3">
      <c r="I2344"/>
      <c r="J2344"/>
    </row>
    <row r="2345" spans="9:10" x14ac:dyDescent="0.3">
      <c r="I2345"/>
      <c r="J2345"/>
    </row>
    <row r="2346" spans="9:10" x14ac:dyDescent="0.3">
      <c r="I2346"/>
      <c r="J2346"/>
    </row>
    <row r="2347" spans="9:10" x14ac:dyDescent="0.3">
      <c r="I2347"/>
      <c r="J2347"/>
    </row>
    <row r="2348" spans="9:10" x14ac:dyDescent="0.3">
      <c r="I2348"/>
      <c r="J2348"/>
    </row>
    <row r="2349" spans="9:10" x14ac:dyDescent="0.3">
      <c r="I2349"/>
      <c r="J2349"/>
    </row>
    <row r="2350" spans="9:10" x14ac:dyDescent="0.3">
      <c r="I2350"/>
      <c r="J2350"/>
    </row>
    <row r="2351" spans="9:10" x14ac:dyDescent="0.3">
      <c r="I2351"/>
      <c r="J2351"/>
    </row>
    <row r="2352" spans="9:10" x14ac:dyDescent="0.3">
      <c r="I2352"/>
      <c r="J2352"/>
    </row>
    <row r="2353" spans="9:10" x14ac:dyDescent="0.3">
      <c r="I2353"/>
      <c r="J2353"/>
    </row>
    <row r="2354" spans="9:10" x14ac:dyDescent="0.3">
      <c r="I2354"/>
      <c r="J2354"/>
    </row>
    <row r="2355" spans="9:10" x14ac:dyDescent="0.3">
      <c r="I2355"/>
      <c r="J2355"/>
    </row>
    <row r="2356" spans="9:10" x14ac:dyDescent="0.3">
      <c r="I2356"/>
      <c r="J2356"/>
    </row>
    <row r="2357" spans="9:10" x14ac:dyDescent="0.3">
      <c r="I2357"/>
      <c r="J2357"/>
    </row>
    <row r="2358" spans="9:10" x14ac:dyDescent="0.3">
      <c r="I2358"/>
      <c r="J2358"/>
    </row>
    <row r="2359" spans="9:10" x14ac:dyDescent="0.3">
      <c r="I2359"/>
      <c r="J2359"/>
    </row>
    <row r="2360" spans="9:10" x14ac:dyDescent="0.3">
      <c r="I2360"/>
      <c r="J2360"/>
    </row>
    <row r="2361" spans="9:10" x14ac:dyDescent="0.3">
      <c r="I2361"/>
      <c r="J2361"/>
    </row>
    <row r="2362" spans="9:10" x14ac:dyDescent="0.3">
      <c r="I2362"/>
      <c r="J2362"/>
    </row>
    <row r="2363" spans="9:10" x14ac:dyDescent="0.3">
      <c r="I2363"/>
      <c r="J2363"/>
    </row>
    <row r="2364" spans="9:10" x14ac:dyDescent="0.3">
      <c r="I2364"/>
      <c r="J2364"/>
    </row>
    <row r="2365" spans="9:10" x14ac:dyDescent="0.3">
      <c r="I2365"/>
      <c r="J2365"/>
    </row>
    <row r="2366" spans="9:10" x14ac:dyDescent="0.3">
      <c r="I2366"/>
      <c r="J2366"/>
    </row>
    <row r="2367" spans="9:10" x14ac:dyDescent="0.3">
      <c r="I2367"/>
      <c r="J2367"/>
    </row>
    <row r="2368" spans="9:10" x14ac:dyDescent="0.3">
      <c r="I2368"/>
      <c r="J2368"/>
    </row>
    <row r="2369" spans="9:10" x14ac:dyDescent="0.3">
      <c r="I2369"/>
      <c r="J2369"/>
    </row>
    <row r="2370" spans="9:10" x14ac:dyDescent="0.3">
      <c r="I2370"/>
      <c r="J2370"/>
    </row>
    <row r="2371" spans="9:10" x14ac:dyDescent="0.3">
      <c r="I2371"/>
      <c r="J2371"/>
    </row>
    <row r="2372" spans="9:10" x14ac:dyDescent="0.3">
      <c r="I2372"/>
      <c r="J2372"/>
    </row>
    <row r="2373" spans="9:10" x14ac:dyDescent="0.3">
      <c r="I2373"/>
      <c r="J2373"/>
    </row>
    <row r="2374" spans="9:10" x14ac:dyDescent="0.3">
      <c r="I2374"/>
      <c r="J2374"/>
    </row>
    <row r="2375" spans="9:10" x14ac:dyDescent="0.3">
      <c r="I2375"/>
      <c r="J2375"/>
    </row>
    <row r="2376" spans="9:10" x14ac:dyDescent="0.3">
      <c r="I2376"/>
      <c r="J2376"/>
    </row>
    <row r="2377" spans="9:10" x14ac:dyDescent="0.3">
      <c r="I2377"/>
      <c r="J2377"/>
    </row>
    <row r="2378" spans="9:10" x14ac:dyDescent="0.3">
      <c r="I2378"/>
      <c r="J2378"/>
    </row>
    <row r="2379" spans="9:10" x14ac:dyDescent="0.3">
      <c r="I2379"/>
      <c r="J2379"/>
    </row>
    <row r="2380" spans="9:10" x14ac:dyDescent="0.3">
      <c r="I2380"/>
      <c r="J2380"/>
    </row>
    <row r="2381" spans="9:10" x14ac:dyDescent="0.3">
      <c r="I2381"/>
      <c r="J2381"/>
    </row>
    <row r="2382" spans="9:10" x14ac:dyDescent="0.3">
      <c r="I2382"/>
      <c r="J2382"/>
    </row>
    <row r="2383" spans="9:10" x14ac:dyDescent="0.3">
      <c r="I2383"/>
      <c r="J2383"/>
    </row>
    <row r="2384" spans="9:10" x14ac:dyDescent="0.3">
      <c r="I2384"/>
      <c r="J2384"/>
    </row>
    <row r="2385" spans="9:10" x14ac:dyDescent="0.3">
      <c r="I2385"/>
      <c r="J2385"/>
    </row>
    <row r="2386" spans="9:10" x14ac:dyDescent="0.3">
      <c r="I2386"/>
      <c r="J2386"/>
    </row>
    <row r="2387" spans="9:10" x14ac:dyDescent="0.3">
      <c r="I2387"/>
      <c r="J2387"/>
    </row>
    <row r="2388" spans="9:10" x14ac:dyDescent="0.3">
      <c r="I2388"/>
      <c r="J2388"/>
    </row>
    <row r="2389" spans="9:10" x14ac:dyDescent="0.3">
      <c r="I2389"/>
      <c r="J2389"/>
    </row>
    <row r="2390" spans="9:10" x14ac:dyDescent="0.3">
      <c r="I2390"/>
      <c r="J2390"/>
    </row>
    <row r="2391" spans="9:10" x14ac:dyDescent="0.3">
      <c r="I2391"/>
      <c r="J2391"/>
    </row>
    <row r="2392" spans="9:10" x14ac:dyDescent="0.3">
      <c r="I2392"/>
      <c r="J2392"/>
    </row>
    <row r="2393" spans="9:10" x14ac:dyDescent="0.3">
      <c r="I2393"/>
      <c r="J2393"/>
    </row>
    <row r="2394" spans="9:10" x14ac:dyDescent="0.3">
      <c r="I2394"/>
      <c r="J2394"/>
    </row>
    <row r="2395" spans="9:10" x14ac:dyDescent="0.3">
      <c r="I2395"/>
      <c r="J2395"/>
    </row>
    <row r="2396" spans="9:10" x14ac:dyDescent="0.3">
      <c r="I2396"/>
      <c r="J2396"/>
    </row>
    <row r="2397" spans="9:10" x14ac:dyDescent="0.3">
      <c r="I2397"/>
      <c r="J2397"/>
    </row>
    <row r="2398" spans="9:10" x14ac:dyDescent="0.3">
      <c r="I2398"/>
      <c r="J2398"/>
    </row>
    <row r="2399" spans="9:10" x14ac:dyDescent="0.3">
      <c r="I2399"/>
      <c r="J2399"/>
    </row>
    <row r="2400" spans="9:10" x14ac:dyDescent="0.3">
      <c r="I2400"/>
      <c r="J2400"/>
    </row>
    <row r="2401" spans="9:10" x14ac:dyDescent="0.3">
      <c r="I2401"/>
      <c r="J2401"/>
    </row>
    <row r="2402" spans="9:10" x14ac:dyDescent="0.3">
      <c r="I2402"/>
      <c r="J2402"/>
    </row>
    <row r="2403" spans="9:10" x14ac:dyDescent="0.3">
      <c r="I2403"/>
      <c r="J2403"/>
    </row>
    <row r="2404" spans="9:10" x14ac:dyDescent="0.3">
      <c r="I2404"/>
      <c r="J2404"/>
    </row>
    <row r="2405" spans="9:10" x14ac:dyDescent="0.3">
      <c r="I2405"/>
      <c r="J2405"/>
    </row>
    <row r="2406" spans="9:10" x14ac:dyDescent="0.3">
      <c r="I2406"/>
      <c r="J2406"/>
    </row>
    <row r="2407" spans="9:10" x14ac:dyDescent="0.3">
      <c r="I2407"/>
      <c r="J2407"/>
    </row>
    <row r="2408" spans="9:10" x14ac:dyDescent="0.3">
      <c r="I2408"/>
      <c r="J2408"/>
    </row>
    <row r="2409" spans="9:10" x14ac:dyDescent="0.3">
      <c r="I2409"/>
      <c r="J2409"/>
    </row>
    <row r="2410" spans="9:10" x14ac:dyDescent="0.3">
      <c r="I2410"/>
      <c r="J2410"/>
    </row>
    <row r="2411" spans="9:10" x14ac:dyDescent="0.3">
      <c r="I2411"/>
      <c r="J2411"/>
    </row>
    <row r="2412" spans="9:10" x14ac:dyDescent="0.3">
      <c r="I2412"/>
      <c r="J2412"/>
    </row>
    <row r="2413" spans="9:10" x14ac:dyDescent="0.3">
      <c r="I2413"/>
      <c r="J2413"/>
    </row>
    <row r="2414" spans="9:10" x14ac:dyDescent="0.3">
      <c r="I2414"/>
      <c r="J2414"/>
    </row>
    <row r="2415" spans="9:10" x14ac:dyDescent="0.3">
      <c r="I2415"/>
      <c r="J2415"/>
    </row>
    <row r="2416" spans="9:10" x14ac:dyDescent="0.3">
      <c r="I2416"/>
      <c r="J2416"/>
    </row>
    <row r="2417" spans="9:10" x14ac:dyDescent="0.3">
      <c r="I2417"/>
      <c r="J2417"/>
    </row>
    <row r="2418" spans="9:10" x14ac:dyDescent="0.3">
      <c r="I2418"/>
      <c r="J2418"/>
    </row>
    <row r="2419" spans="9:10" x14ac:dyDescent="0.3">
      <c r="I2419"/>
      <c r="J2419"/>
    </row>
    <row r="2420" spans="9:10" x14ac:dyDescent="0.3">
      <c r="I2420"/>
      <c r="J2420"/>
    </row>
    <row r="2421" spans="9:10" x14ac:dyDescent="0.3">
      <c r="I2421"/>
      <c r="J2421"/>
    </row>
    <row r="2422" spans="9:10" x14ac:dyDescent="0.3">
      <c r="I2422"/>
      <c r="J2422"/>
    </row>
    <row r="2423" spans="9:10" x14ac:dyDescent="0.3">
      <c r="I2423"/>
      <c r="J2423"/>
    </row>
    <row r="2424" spans="9:10" x14ac:dyDescent="0.3">
      <c r="I2424"/>
      <c r="J2424"/>
    </row>
    <row r="2425" spans="9:10" x14ac:dyDescent="0.3">
      <c r="I2425"/>
      <c r="J2425"/>
    </row>
    <row r="2426" spans="9:10" x14ac:dyDescent="0.3">
      <c r="I2426"/>
      <c r="J2426"/>
    </row>
    <row r="2427" spans="9:10" x14ac:dyDescent="0.3">
      <c r="I2427"/>
      <c r="J2427"/>
    </row>
    <row r="2428" spans="9:10" x14ac:dyDescent="0.3">
      <c r="I2428"/>
      <c r="J2428"/>
    </row>
    <row r="2429" spans="9:10" x14ac:dyDescent="0.3">
      <c r="I2429"/>
      <c r="J2429"/>
    </row>
    <row r="2430" spans="9:10" x14ac:dyDescent="0.3">
      <c r="I2430"/>
      <c r="J2430"/>
    </row>
    <row r="2431" spans="9:10" x14ac:dyDescent="0.3">
      <c r="I2431"/>
      <c r="J2431"/>
    </row>
    <row r="2432" spans="9:10" x14ac:dyDescent="0.3">
      <c r="I2432"/>
      <c r="J2432"/>
    </row>
    <row r="2433" spans="9:10" x14ac:dyDescent="0.3">
      <c r="I2433"/>
      <c r="J2433"/>
    </row>
    <row r="2434" spans="9:10" x14ac:dyDescent="0.3">
      <c r="I2434"/>
      <c r="J2434"/>
    </row>
    <row r="2435" spans="9:10" x14ac:dyDescent="0.3">
      <c r="I2435"/>
      <c r="J2435"/>
    </row>
    <row r="2436" spans="9:10" x14ac:dyDescent="0.3">
      <c r="I2436"/>
      <c r="J2436"/>
    </row>
    <row r="2437" spans="9:10" x14ac:dyDescent="0.3">
      <c r="I2437"/>
      <c r="J2437"/>
    </row>
    <row r="2438" spans="9:10" x14ac:dyDescent="0.3">
      <c r="I2438"/>
      <c r="J2438"/>
    </row>
    <row r="2439" spans="9:10" x14ac:dyDescent="0.3">
      <c r="I2439"/>
      <c r="J2439"/>
    </row>
    <row r="2440" spans="9:10" x14ac:dyDescent="0.3">
      <c r="I2440"/>
      <c r="J2440"/>
    </row>
    <row r="2441" spans="9:10" x14ac:dyDescent="0.3">
      <c r="I2441"/>
      <c r="J2441"/>
    </row>
    <row r="2442" spans="9:10" x14ac:dyDescent="0.3">
      <c r="I2442"/>
      <c r="J2442"/>
    </row>
    <row r="2443" spans="9:10" x14ac:dyDescent="0.3">
      <c r="I2443"/>
      <c r="J2443"/>
    </row>
    <row r="2444" spans="9:10" x14ac:dyDescent="0.3">
      <c r="I2444"/>
      <c r="J2444"/>
    </row>
    <row r="2445" spans="9:10" x14ac:dyDescent="0.3">
      <c r="I2445"/>
      <c r="J2445"/>
    </row>
    <row r="2446" spans="9:10" x14ac:dyDescent="0.3">
      <c r="I2446"/>
      <c r="J2446"/>
    </row>
    <row r="2447" spans="9:10" x14ac:dyDescent="0.3">
      <c r="I2447"/>
      <c r="J2447"/>
    </row>
    <row r="2448" spans="9:10" x14ac:dyDescent="0.3">
      <c r="I2448"/>
      <c r="J2448"/>
    </row>
    <row r="2449" spans="9:10" x14ac:dyDescent="0.3">
      <c r="I2449"/>
      <c r="J2449"/>
    </row>
    <row r="2450" spans="9:10" x14ac:dyDescent="0.3">
      <c r="I2450"/>
      <c r="J2450"/>
    </row>
    <row r="2451" spans="9:10" x14ac:dyDescent="0.3">
      <c r="I2451"/>
      <c r="J2451"/>
    </row>
    <row r="2452" spans="9:10" x14ac:dyDescent="0.3">
      <c r="I2452"/>
      <c r="J2452"/>
    </row>
    <row r="2453" spans="9:10" x14ac:dyDescent="0.3">
      <c r="I2453"/>
      <c r="J2453"/>
    </row>
    <row r="2454" spans="9:10" x14ac:dyDescent="0.3">
      <c r="I2454"/>
      <c r="J2454"/>
    </row>
    <row r="2455" spans="9:10" x14ac:dyDescent="0.3">
      <c r="I2455"/>
      <c r="J2455"/>
    </row>
    <row r="2456" spans="9:10" x14ac:dyDescent="0.3">
      <c r="I2456"/>
      <c r="J2456"/>
    </row>
    <row r="2457" spans="9:10" x14ac:dyDescent="0.3">
      <c r="I2457"/>
      <c r="J2457"/>
    </row>
    <row r="2458" spans="9:10" x14ac:dyDescent="0.3">
      <c r="I2458"/>
      <c r="J2458"/>
    </row>
    <row r="2459" spans="9:10" x14ac:dyDescent="0.3">
      <c r="I2459"/>
      <c r="J2459"/>
    </row>
    <row r="2460" spans="9:10" x14ac:dyDescent="0.3">
      <c r="I2460"/>
      <c r="J2460"/>
    </row>
    <row r="2461" spans="9:10" x14ac:dyDescent="0.3">
      <c r="I2461"/>
      <c r="J2461"/>
    </row>
    <row r="2462" spans="9:10" x14ac:dyDescent="0.3">
      <c r="I2462"/>
      <c r="J2462"/>
    </row>
    <row r="2463" spans="9:10" x14ac:dyDescent="0.3">
      <c r="I2463"/>
      <c r="J2463"/>
    </row>
    <row r="2464" spans="9:10" x14ac:dyDescent="0.3">
      <c r="I2464"/>
      <c r="J2464"/>
    </row>
    <row r="2465" spans="9:10" x14ac:dyDescent="0.3">
      <c r="I2465"/>
      <c r="J2465"/>
    </row>
    <row r="2466" spans="9:10" x14ac:dyDescent="0.3">
      <c r="I2466"/>
      <c r="J2466"/>
    </row>
    <row r="2467" spans="9:10" x14ac:dyDescent="0.3">
      <c r="I2467"/>
      <c r="J2467"/>
    </row>
    <row r="2468" spans="9:10" x14ac:dyDescent="0.3">
      <c r="I2468"/>
      <c r="J2468"/>
    </row>
    <row r="2469" spans="9:10" x14ac:dyDescent="0.3">
      <c r="I2469"/>
      <c r="J2469"/>
    </row>
    <row r="2470" spans="9:10" x14ac:dyDescent="0.3">
      <c r="I2470"/>
      <c r="J2470"/>
    </row>
    <row r="2471" spans="9:10" x14ac:dyDescent="0.3">
      <c r="I2471"/>
      <c r="J2471"/>
    </row>
    <row r="2472" spans="9:10" x14ac:dyDescent="0.3">
      <c r="I2472"/>
      <c r="J2472"/>
    </row>
    <row r="2473" spans="9:10" x14ac:dyDescent="0.3">
      <c r="I2473"/>
      <c r="J2473"/>
    </row>
    <row r="2474" spans="9:10" x14ac:dyDescent="0.3">
      <c r="I2474"/>
      <c r="J2474"/>
    </row>
    <row r="2475" spans="9:10" x14ac:dyDescent="0.3">
      <c r="I2475"/>
      <c r="J2475"/>
    </row>
    <row r="2476" spans="9:10" x14ac:dyDescent="0.3">
      <c r="I2476"/>
      <c r="J2476"/>
    </row>
    <row r="2477" spans="9:10" x14ac:dyDescent="0.3">
      <c r="I2477"/>
      <c r="J2477"/>
    </row>
    <row r="2478" spans="9:10" x14ac:dyDescent="0.3">
      <c r="I2478"/>
      <c r="J2478"/>
    </row>
    <row r="2479" spans="9:10" x14ac:dyDescent="0.3">
      <c r="I2479"/>
      <c r="J2479"/>
    </row>
    <row r="2480" spans="9:10" x14ac:dyDescent="0.3">
      <c r="I2480"/>
      <c r="J2480"/>
    </row>
    <row r="2481" spans="9:10" x14ac:dyDescent="0.3">
      <c r="I2481"/>
      <c r="J2481"/>
    </row>
    <row r="2482" spans="9:10" x14ac:dyDescent="0.3">
      <c r="I2482"/>
      <c r="J2482"/>
    </row>
    <row r="2483" spans="9:10" x14ac:dyDescent="0.3">
      <c r="I2483"/>
      <c r="J2483"/>
    </row>
    <row r="2484" spans="9:10" x14ac:dyDescent="0.3">
      <c r="I2484"/>
      <c r="J2484"/>
    </row>
    <row r="2485" spans="9:10" x14ac:dyDescent="0.3">
      <c r="I2485"/>
      <c r="J2485"/>
    </row>
    <row r="2486" spans="9:10" x14ac:dyDescent="0.3">
      <c r="I2486"/>
      <c r="J2486"/>
    </row>
    <row r="2487" spans="9:10" x14ac:dyDescent="0.3">
      <c r="I2487"/>
      <c r="J2487"/>
    </row>
    <row r="2488" spans="9:10" x14ac:dyDescent="0.3">
      <c r="I2488"/>
      <c r="J2488"/>
    </row>
    <row r="2489" spans="9:10" x14ac:dyDescent="0.3">
      <c r="I2489"/>
      <c r="J2489"/>
    </row>
    <row r="2490" spans="9:10" x14ac:dyDescent="0.3">
      <c r="I2490"/>
      <c r="J2490"/>
    </row>
    <row r="2491" spans="9:10" x14ac:dyDescent="0.3">
      <c r="I2491"/>
      <c r="J2491"/>
    </row>
    <row r="2492" spans="9:10" x14ac:dyDescent="0.3">
      <c r="I2492"/>
      <c r="J2492"/>
    </row>
    <row r="2493" spans="9:10" x14ac:dyDescent="0.3">
      <c r="I2493"/>
      <c r="J2493"/>
    </row>
    <row r="2494" spans="9:10" x14ac:dyDescent="0.3">
      <c r="I2494"/>
      <c r="J2494"/>
    </row>
    <row r="2495" spans="9:10" x14ac:dyDescent="0.3">
      <c r="I2495"/>
      <c r="J2495"/>
    </row>
    <row r="2496" spans="9:10" x14ac:dyDescent="0.3">
      <c r="I2496"/>
      <c r="J2496"/>
    </row>
    <row r="2497" spans="9:10" x14ac:dyDescent="0.3">
      <c r="I2497"/>
      <c r="J2497"/>
    </row>
    <row r="2498" spans="9:10" x14ac:dyDescent="0.3">
      <c r="I2498"/>
      <c r="J2498"/>
    </row>
    <row r="2499" spans="9:10" x14ac:dyDescent="0.3">
      <c r="I2499"/>
      <c r="J2499"/>
    </row>
    <row r="2500" spans="9:10" x14ac:dyDescent="0.3">
      <c r="I2500"/>
      <c r="J2500"/>
    </row>
    <row r="2501" spans="9:10" x14ac:dyDescent="0.3">
      <c r="I2501"/>
      <c r="J2501"/>
    </row>
    <row r="2502" spans="9:10" x14ac:dyDescent="0.3">
      <c r="I2502"/>
      <c r="J2502"/>
    </row>
    <row r="2503" spans="9:10" x14ac:dyDescent="0.3">
      <c r="I2503"/>
      <c r="J2503"/>
    </row>
    <row r="2504" spans="9:10" x14ac:dyDescent="0.3">
      <c r="I2504"/>
      <c r="J2504"/>
    </row>
    <row r="2505" spans="9:10" x14ac:dyDescent="0.3">
      <c r="I2505"/>
      <c r="J2505"/>
    </row>
    <row r="2506" spans="9:10" x14ac:dyDescent="0.3">
      <c r="I2506"/>
      <c r="J2506"/>
    </row>
    <row r="2507" spans="9:10" x14ac:dyDescent="0.3">
      <c r="I2507"/>
      <c r="J2507"/>
    </row>
    <row r="2508" spans="9:10" x14ac:dyDescent="0.3">
      <c r="I2508"/>
      <c r="J2508"/>
    </row>
    <row r="2509" spans="9:10" x14ac:dyDescent="0.3">
      <c r="I2509"/>
      <c r="J2509"/>
    </row>
    <row r="2510" spans="9:10" x14ac:dyDescent="0.3">
      <c r="I2510"/>
      <c r="J2510"/>
    </row>
    <row r="2511" spans="9:10" x14ac:dyDescent="0.3">
      <c r="I2511"/>
      <c r="J2511"/>
    </row>
    <row r="2512" spans="9:10" x14ac:dyDescent="0.3">
      <c r="I2512"/>
      <c r="J2512"/>
    </row>
    <row r="2513" spans="9:10" x14ac:dyDescent="0.3">
      <c r="I2513"/>
      <c r="J2513"/>
    </row>
    <row r="2514" spans="9:10" x14ac:dyDescent="0.3">
      <c r="I2514"/>
      <c r="J2514"/>
    </row>
    <row r="2515" spans="9:10" x14ac:dyDescent="0.3">
      <c r="I2515"/>
      <c r="J2515"/>
    </row>
    <row r="2516" spans="9:10" x14ac:dyDescent="0.3">
      <c r="I2516"/>
      <c r="J2516"/>
    </row>
    <row r="2517" spans="9:10" x14ac:dyDescent="0.3">
      <c r="I2517"/>
      <c r="J2517"/>
    </row>
    <row r="2518" spans="9:10" x14ac:dyDescent="0.3">
      <c r="I2518"/>
      <c r="J2518"/>
    </row>
    <row r="2519" spans="9:10" x14ac:dyDescent="0.3">
      <c r="I2519"/>
      <c r="J2519"/>
    </row>
    <row r="2520" spans="9:10" x14ac:dyDescent="0.3">
      <c r="I2520"/>
      <c r="J2520"/>
    </row>
    <row r="2521" spans="9:10" x14ac:dyDescent="0.3">
      <c r="I2521"/>
      <c r="J2521"/>
    </row>
    <row r="2522" spans="9:10" x14ac:dyDescent="0.3">
      <c r="I2522"/>
      <c r="J2522"/>
    </row>
    <row r="2523" spans="9:10" x14ac:dyDescent="0.3">
      <c r="I2523"/>
      <c r="J2523"/>
    </row>
    <row r="2524" spans="9:10" x14ac:dyDescent="0.3">
      <c r="I2524"/>
      <c r="J2524"/>
    </row>
    <row r="2525" spans="9:10" x14ac:dyDescent="0.3">
      <c r="I2525"/>
      <c r="J2525"/>
    </row>
    <row r="2526" spans="9:10" x14ac:dyDescent="0.3">
      <c r="I2526"/>
      <c r="J2526"/>
    </row>
    <row r="2527" spans="9:10" x14ac:dyDescent="0.3">
      <c r="I2527"/>
      <c r="J2527"/>
    </row>
    <row r="2528" spans="9:10" x14ac:dyDescent="0.3">
      <c r="I2528"/>
      <c r="J2528"/>
    </row>
    <row r="2529" spans="9:10" x14ac:dyDescent="0.3">
      <c r="I2529"/>
      <c r="J2529"/>
    </row>
    <row r="2530" spans="9:10" x14ac:dyDescent="0.3">
      <c r="I2530"/>
      <c r="J2530"/>
    </row>
    <row r="2531" spans="9:10" x14ac:dyDescent="0.3">
      <c r="I2531"/>
      <c r="J2531"/>
    </row>
    <row r="2532" spans="9:10" x14ac:dyDescent="0.3">
      <c r="I2532"/>
      <c r="J2532"/>
    </row>
    <row r="2533" spans="9:10" x14ac:dyDescent="0.3">
      <c r="I2533"/>
      <c r="J2533"/>
    </row>
    <row r="2534" spans="9:10" x14ac:dyDescent="0.3">
      <c r="I2534"/>
      <c r="J2534"/>
    </row>
    <row r="2535" spans="9:10" x14ac:dyDescent="0.3">
      <c r="I2535"/>
      <c r="J2535"/>
    </row>
    <row r="2536" spans="9:10" x14ac:dyDescent="0.3">
      <c r="I2536"/>
      <c r="J2536"/>
    </row>
    <row r="2537" spans="9:10" x14ac:dyDescent="0.3">
      <c r="I2537"/>
      <c r="J2537"/>
    </row>
    <row r="2538" spans="9:10" x14ac:dyDescent="0.3">
      <c r="I2538"/>
      <c r="J2538"/>
    </row>
    <row r="2539" spans="9:10" x14ac:dyDescent="0.3">
      <c r="I2539"/>
      <c r="J2539"/>
    </row>
    <row r="2540" spans="9:10" x14ac:dyDescent="0.3">
      <c r="I2540"/>
      <c r="J2540"/>
    </row>
    <row r="2541" spans="9:10" x14ac:dyDescent="0.3">
      <c r="I2541"/>
      <c r="J2541"/>
    </row>
    <row r="2542" spans="9:10" x14ac:dyDescent="0.3">
      <c r="I2542"/>
      <c r="J2542"/>
    </row>
    <row r="2543" spans="9:10" x14ac:dyDescent="0.3">
      <c r="I2543"/>
      <c r="J2543"/>
    </row>
    <row r="2544" spans="9:10" x14ac:dyDescent="0.3">
      <c r="I2544"/>
      <c r="J2544"/>
    </row>
    <row r="2545" spans="9:10" x14ac:dyDescent="0.3">
      <c r="I2545"/>
      <c r="J2545"/>
    </row>
    <row r="2546" spans="9:10" x14ac:dyDescent="0.3">
      <c r="I2546"/>
      <c r="J2546"/>
    </row>
    <row r="2547" spans="9:10" x14ac:dyDescent="0.3">
      <c r="I2547"/>
      <c r="J2547"/>
    </row>
    <row r="2548" spans="9:10" x14ac:dyDescent="0.3">
      <c r="I2548"/>
      <c r="J2548"/>
    </row>
    <row r="2549" spans="9:10" x14ac:dyDescent="0.3">
      <c r="I2549"/>
      <c r="J2549"/>
    </row>
    <row r="2550" spans="9:10" x14ac:dyDescent="0.3">
      <c r="I2550"/>
      <c r="J2550"/>
    </row>
    <row r="2551" spans="9:10" x14ac:dyDescent="0.3">
      <c r="I2551"/>
      <c r="J2551"/>
    </row>
    <row r="2552" spans="9:10" x14ac:dyDescent="0.3">
      <c r="I2552"/>
      <c r="J2552"/>
    </row>
    <row r="2553" spans="9:10" x14ac:dyDescent="0.3">
      <c r="I2553"/>
      <c r="J2553"/>
    </row>
    <row r="2554" spans="9:10" x14ac:dyDescent="0.3">
      <c r="I2554"/>
      <c r="J2554"/>
    </row>
    <row r="2555" spans="9:10" x14ac:dyDescent="0.3">
      <c r="I2555"/>
      <c r="J2555"/>
    </row>
    <row r="2556" spans="9:10" x14ac:dyDescent="0.3">
      <c r="I2556"/>
      <c r="J2556"/>
    </row>
    <row r="2557" spans="9:10" x14ac:dyDescent="0.3">
      <c r="I2557"/>
      <c r="J2557"/>
    </row>
    <row r="2558" spans="9:10" x14ac:dyDescent="0.3">
      <c r="I2558"/>
      <c r="J2558"/>
    </row>
    <row r="2559" spans="9:10" x14ac:dyDescent="0.3">
      <c r="I2559"/>
      <c r="J2559"/>
    </row>
    <row r="2560" spans="9:10" x14ac:dyDescent="0.3">
      <c r="I2560"/>
      <c r="J2560"/>
    </row>
    <row r="2561" spans="9:10" x14ac:dyDescent="0.3">
      <c r="I2561"/>
      <c r="J2561"/>
    </row>
    <row r="2562" spans="9:10" x14ac:dyDescent="0.3">
      <c r="I2562"/>
      <c r="J2562"/>
    </row>
    <row r="2563" spans="9:10" x14ac:dyDescent="0.3">
      <c r="I2563"/>
      <c r="J2563"/>
    </row>
    <row r="2564" spans="9:10" x14ac:dyDescent="0.3">
      <c r="I2564"/>
      <c r="J2564"/>
    </row>
    <row r="2565" spans="9:10" x14ac:dyDescent="0.3">
      <c r="I2565"/>
      <c r="J2565"/>
    </row>
    <row r="2566" spans="9:10" x14ac:dyDescent="0.3">
      <c r="I2566"/>
      <c r="J2566"/>
    </row>
    <row r="2567" spans="9:10" x14ac:dyDescent="0.3">
      <c r="I2567"/>
      <c r="J2567"/>
    </row>
    <row r="2568" spans="9:10" x14ac:dyDescent="0.3">
      <c r="I2568"/>
      <c r="J2568"/>
    </row>
    <row r="2569" spans="9:10" x14ac:dyDescent="0.3">
      <c r="I2569"/>
      <c r="J2569"/>
    </row>
    <row r="2570" spans="9:10" x14ac:dyDescent="0.3">
      <c r="I2570"/>
      <c r="J2570"/>
    </row>
    <row r="2571" spans="9:10" x14ac:dyDescent="0.3">
      <c r="I2571"/>
      <c r="J2571"/>
    </row>
    <row r="2572" spans="9:10" x14ac:dyDescent="0.3">
      <c r="I2572"/>
      <c r="J2572"/>
    </row>
    <row r="2573" spans="9:10" x14ac:dyDescent="0.3">
      <c r="I2573"/>
      <c r="J2573"/>
    </row>
    <row r="2574" spans="9:10" x14ac:dyDescent="0.3">
      <c r="I2574"/>
      <c r="J2574"/>
    </row>
    <row r="2575" spans="9:10" x14ac:dyDescent="0.3">
      <c r="I2575"/>
      <c r="J2575"/>
    </row>
    <row r="2576" spans="9:10" x14ac:dyDescent="0.3">
      <c r="I2576"/>
      <c r="J2576"/>
    </row>
    <row r="2577" spans="9:10" x14ac:dyDescent="0.3">
      <c r="I2577"/>
      <c r="J2577"/>
    </row>
    <row r="2578" spans="9:10" x14ac:dyDescent="0.3">
      <c r="I2578"/>
      <c r="J2578"/>
    </row>
    <row r="2579" spans="9:10" x14ac:dyDescent="0.3">
      <c r="I2579"/>
      <c r="J2579"/>
    </row>
    <row r="2580" spans="9:10" x14ac:dyDescent="0.3">
      <c r="I2580"/>
      <c r="J2580"/>
    </row>
    <row r="2581" spans="9:10" x14ac:dyDescent="0.3">
      <c r="I2581"/>
      <c r="J2581"/>
    </row>
    <row r="2582" spans="9:10" x14ac:dyDescent="0.3">
      <c r="I2582"/>
      <c r="J2582"/>
    </row>
    <row r="2583" spans="9:10" x14ac:dyDescent="0.3">
      <c r="I2583"/>
      <c r="J2583"/>
    </row>
    <row r="2584" spans="9:10" x14ac:dyDescent="0.3">
      <c r="I2584"/>
      <c r="J2584"/>
    </row>
    <row r="2585" spans="9:10" x14ac:dyDescent="0.3">
      <c r="I2585"/>
      <c r="J2585"/>
    </row>
    <row r="2586" spans="9:10" x14ac:dyDescent="0.3">
      <c r="I2586"/>
      <c r="J2586"/>
    </row>
    <row r="2587" spans="9:10" x14ac:dyDescent="0.3">
      <c r="I2587"/>
      <c r="J2587"/>
    </row>
    <row r="2588" spans="9:10" x14ac:dyDescent="0.3">
      <c r="I2588"/>
      <c r="J2588"/>
    </row>
    <row r="2589" spans="9:10" x14ac:dyDescent="0.3">
      <c r="I2589"/>
      <c r="J2589"/>
    </row>
    <row r="2590" spans="9:10" x14ac:dyDescent="0.3">
      <c r="I2590"/>
      <c r="J2590"/>
    </row>
    <row r="2591" spans="9:10" x14ac:dyDescent="0.3">
      <c r="I2591"/>
      <c r="J2591"/>
    </row>
    <row r="2592" spans="9:10" x14ac:dyDescent="0.3">
      <c r="I2592"/>
      <c r="J2592"/>
    </row>
    <row r="2593" spans="9:10" x14ac:dyDescent="0.3">
      <c r="I2593"/>
      <c r="J2593"/>
    </row>
    <row r="2594" spans="9:10" x14ac:dyDescent="0.3">
      <c r="I2594"/>
      <c r="J2594"/>
    </row>
    <row r="2595" spans="9:10" x14ac:dyDescent="0.3">
      <c r="I2595"/>
      <c r="J2595"/>
    </row>
    <row r="2596" spans="9:10" x14ac:dyDescent="0.3">
      <c r="I2596"/>
      <c r="J2596"/>
    </row>
    <row r="2597" spans="9:10" x14ac:dyDescent="0.3">
      <c r="I2597"/>
      <c r="J2597"/>
    </row>
    <row r="2598" spans="9:10" x14ac:dyDescent="0.3">
      <c r="I2598"/>
      <c r="J2598"/>
    </row>
    <row r="2599" spans="9:10" x14ac:dyDescent="0.3">
      <c r="I2599"/>
      <c r="J2599"/>
    </row>
    <row r="2600" spans="9:10" x14ac:dyDescent="0.3">
      <c r="I2600"/>
      <c r="J2600"/>
    </row>
    <row r="2601" spans="9:10" x14ac:dyDescent="0.3">
      <c r="I2601"/>
      <c r="J2601"/>
    </row>
    <row r="2602" spans="9:10" x14ac:dyDescent="0.3">
      <c r="I2602"/>
      <c r="J2602"/>
    </row>
    <row r="2603" spans="9:10" x14ac:dyDescent="0.3">
      <c r="I2603"/>
      <c r="J2603"/>
    </row>
    <row r="2604" spans="9:10" x14ac:dyDescent="0.3">
      <c r="I2604"/>
      <c r="J2604"/>
    </row>
    <row r="2605" spans="9:10" x14ac:dyDescent="0.3">
      <c r="I2605"/>
      <c r="J2605"/>
    </row>
    <row r="2606" spans="9:10" x14ac:dyDescent="0.3">
      <c r="I2606"/>
      <c r="J2606"/>
    </row>
    <row r="2607" spans="9:10" x14ac:dyDescent="0.3">
      <c r="I2607"/>
      <c r="J2607"/>
    </row>
    <row r="2608" spans="9:10" x14ac:dyDescent="0.3">
      <c r="I2608"/>
      <c r="J2608"/>
    </row>
    <row r="2609" spans="9:10" x14ac:dyDescent="0.3">
      <c r="I2609"/>
      <c r="J2609"/>
    </row>
    <row r="2610" spans="9:10" x14ac:dyDescent="0.3">
      <c r="I2610"/>
      <c r="J2610"/>
    </row>
    <row r="2611" spans="9:10" x14ac:dyDescent="0.3">
      <c r="I2611"/>
      <c r="J2611"/>
    </row>
    <row r="2612" spans="9:10" x14ac:dyDescent="0.3">
      <c r="I2612"/>
      <c r="J2612"/>
    </row>
    <row r="2613" spans="9:10" x14ac:dyDescent="0.3">
      <c r="I2613"/>
      <c r="J2613"/>
    </row>
    <row r="2614" spans="9:10" x14ac:dyDescent="0.3">
      <c r="I2614"/>
      <c r="J2614"/>
    </row>
    <row r="2615" spans="9:10" x14ac:dyDescent="0.3">
      <c r="I2615"/>
      <c r="J2615"/>
    </row>
    <row r="2616" spans="9:10" x14ac:dyDescent="0.3">
      <c r="I2616"/>
      <c r="J2616"/>
    </row>
    <row r="2617" spans="9:10" x14ac:dyDescent="0.3">
      <c r="I2617"/>
      <c r="J2617"/>
    </row>
    <row r="2618" spans="9:10" x14ac:dyDescent="0.3">
      <c r="I2618"/>
      <c r="J2618"/>
    </row>
    <row r="2619" spans="9:10" x14ac:dyDescent="0.3">
      <c r="I2619"/>
      <c r="J2619"/>
    </row>
    <row r="2620" spans="9:10" x14ac:dyDescent="0.3">
      <c r="I2620"/>
      <c r="J2620"/>
    </row>
    <row r="2621" spans="9:10" x14ac:dyDescent="0.3">
      <c r="I2621"/>
      <c r="J2621"/>
    </row>
    <row r="2622" spans="9:10" x14ac:dyDescent="0.3">
      <c r="I2622"/>
      <c r="J2622"/>
    </row>
    <row r="2623" spans="9:10" x14ac:dyDescent="0.3">
      <c r="I2623"/>
      <c r="J2623"/>
    </row>
    <row r="2624" spans="9:10" x14ac:dyDescent="0.3">
      <c r="I2624"/>
      <c r="J2624"/>
    </row>
    <row r="2625" spans="9:10" x14ac:dyDescent="0.3">
      <c r="I2625"/>
      <c r="J2625"/>
    </row>
    <row r="2626" spans="9:10" x14ac:dyDescent="0.3">
      <c r="I2626"/>
      <c r="J2626"/>
    </row>
    <row r="2627" spans="9:10" x14ac:dyDescent="0.3">
      <c r="I2627"/>
      <c r="J2627"/>
    </row>
    <row r="2628" spans="9:10" x14ac:dyDescent="0.3">
      <c r="I2628"/>
      <c r="J2628"/>
    </row>
    <row r="2629" spans="9:10" x14ac:dyDescent="0.3">
      <c r="I2629"/>
      <c r="J2629"/>
    </row>
    <row r="2630" spans="9:10" x14ac:dyDescent="0.3">
      <c r="I2630"/>
      <c r="J2630"/>
    </row>
    <row r="2631" spans="9:10" x14ac:dyDescent="0.3">
      <c r="I2631"/>
      <c r="J2631"/>
    </row>
    <row r="2632" spans="9:10" x14ac:dyDescent="0.3">
      <c r="I2632"/>
      <c r="J2632"/>
    </row>
    <row r="2633" spans="9:10" x14ac:dyDescent="0.3">
      <c r="I2633"/>
      <c r="J2633"/>
    </row>
    <row r="2634" spans="9:10" x14ac:dyDescent="0.3">
      <c r="I2634"/>
      <c r="J2634"/>
    </row>
    <row r="2635" spans="9:10" x14ac:dyDescent="0.3">
      <c r="I2635"/>
      <c r="J2635"/>
    </row>
    <row r="2636" spans="9:10" x14ac:dyDescent="0.3">
      <c r="I2636"/>
      <c r="J2636"/>
    </row>
    <row r="2637" spans="9:10" x14ac:dyDescent="0.3">
      <c r="I2637"/>
      <c r="J2637"/>
    </row>
    <row r="2638" spans="9:10" x14ac:dyDescent="0.3">
      <c r="I2638"/>
      <c r="J2638"/>
    </row>
    <row r="2639" spans="9:10" x14ac:dyDescent="0.3">
      <c r="I2639"/>
      <c r="J2639"/>
    </row>
    <row r="2640" spans="9:10" x14ac:dyDescent="0.3">
      <c r="I2640"/>
      <c r="J2640"/>
    </row>
    <row r="2641" spans="9:10" x14ac:dyDescent="0.3">
      <c r="I2641"/>
      <c r="J2641"/>
    </row>
    <row r="2642" spans="9:10" x14ac:dyDescent="0.3">
      <c r="I2642"/>
      <c r="J2642"/>
    </row>
    <row r="2643" spans="9:10" x14ac:dyDescent="0.3">
      <c r="I2643"/>
      <c r="J2643"/>
    </row>
    <row r="2644" spans="9:10" x14ac:dyDescent="0.3">
      <c r="I2644"/>
      <c r="J2644"/>
    </row>
    <row r="2645" spans="9:10" x14ac:dyDescent="0.3">
      <c r="I2645"/>
      <c r="J2645"/>
    </row>
    <row r="2646" spans="9:10" x14ac:dyDescent="0.3">
      <c r="I2646"/>
      <c r="J2646"/>
    </row>
    <row r="2647" spans="9:10" x14ac:dyDescent="0.3">
      <c r="I2647"/>
      <c r="J2647"/>
    </row>
    <row r="2648" spans="9:10" x14ac:dyDescent="0.3">
      <c r="I2648"/>
      <c r="J2648"/>
    </row>
    <row r="2649" spans="9:10" x14ac:dyDescent="0.3">
      <c r="I2649"/>
      <c r="J2649"/>
    </row>
    <row r="2650" spans="9:10" x14ac:dyDescent="0.3">
      <c r="I2650"/>
      <c r="J2650"/>
    </row>
    <row r="2651" spans="9:10" x14ac:dyDescent="0.3">
      <c r="I2651"/>
      <c r="J2651"/>
    </row>
    <row r="2652" spans="9:10" x14ac:dyDescent="0.3">
      <c r="I2652"/>
      <c r="J2652"/>
    </row>
    <row r="2653" spans="9:10" x14ac:dyDescent="0.3">
      <c r="I2653"/>
      <c r="J2653"/>
    </row>
    <row r="2654" spans="9:10" x14ac:dyDescent="0.3">
      <c r="I2654"/>
      <c r="J2654"/>
    </row>
    <row r="2655" spans="9:10" x14ac:dyDescent="0.3">
      <c r="I2655"/>
      <c r="J2655"/>
    </row>
    <row r="2656" spans="9:10" x14ac:dyDescent="0.3">
      <c r="I2656"/>
      <c r="J2656"/>
    </row>
    <row r="2657" spans="9:10" x14ac:dyDescent="0.3">
      <c r="I2657"/>
      <c r="J2657"/>
    </row>
    <row r="2658" spans="9:10" x14ac:dyDescent="0.3">
      <c r="I2658"/>
      <c r="J2658"/>
    </row>
    <row r="2659" spans="9:10" x14ac:dyDescent="0.3">
      <c r="I2659"/>
      <c r="J2659"/>
    </row>
    <row r="2660" spans="9:10" x14ac:dyDescent="0.3">
      <c r="I2660"/>
      <c r="J2660"/>
    </row>
    <row r="2661" spans="9:10" x14ac:dyDescent="0.3">
      <c r="I2661"/>
      <c r="J2661"/>
    </row>
    <row r="2662" spans="9:10" x14ac:dyDescent="0.3">
      <c r="I2662"/>
      <c r="J2662"/>
    </row>
    <row r="2663" spans="9:10" x14ac:dyDescent="0.3">
      <c r="I2663"/>
      <c r="J2663"/>
    </row>
    <row r="2664" spans="9:10" x14ac:dyDescent="0.3">
      <c r="I2664"/>
      <c r="J2664"/>
    </row>
    <row r="2665" spans="9:10" x14ac:dyDescent="0.3">
      <c r="I2665"/>
      <c r="J2665"/>
    </row>
    <row r="2666" spans="9:10" x14ac:dyDescent="0.3">
      <c r="I2666"/>
      <c r="J2666"/>
    </row>
    <row r="2667" spans="9:10" x14ac:dyDescent="0.3">
      <c r="I2667"/>
      <c r="J2667"/>
    </row>
    <row r="2668" spans="9:10" x14ac:dyDescent="0.3">
      <c r="I2668"/>
      <c r="J2668"/>
    </row>
    <row r="2669" spans="9:10" x14ac:dyDescent="0.3">
      <c r="I2669"/>
      <c r="J2669"/>
    </row>
    <row r="2670" spans="9:10" x14ac:dyDescent="0.3">
      <c r="I2670"/>
      <c r="J2670"/>
    </row>
    <row r="2671" spans="9:10" x14ac:dyDescent="0.3">
      <c r="I2671"/>
      <c r="J2671"/>
    </row>
    <row r="2672" spans="9:10" x14ac:dyDescent="0.3">
      <c r="I2672"/>
      <c r="J2672"/>
    </row>
    <row r="2673" spans="9:10" x14ac:dyDescent="0.3">
      <c r="I2673"/>
      <c r="J2673"/>
    </row>
    <row r="2674" spans="9:10" x14ac:dyDescent="0.3">
      <c r="I2674"/>
      <c r="J2674"/>
    </row>
    <row r="2675" spans="9:10" x14ac:dyDescent="0.3">
      <c r="I2675"/>
      <c r="J2675"/>
    </row>
    <row r="2676" spans="9:10" x14ac:dyDescent="0.3">
      <c r="I2676"/>
      <c r="J2676"/>
    </row>
    <row r="2677" spans="9:10" x14ac:dyDescent="0.3">
      <c r="I2677"/>
      <c r="J2677"/>
    </row>
    <row r="2678" spans="9:10" x14ac:dyDescent="0.3">
      <c r="I2678"/>
      <c r="J2678"/>
    </row>
    <row r="2679" spans="9:10" x14ac:dyDescent="0.3">
      <c r="I2679"/>
      <c r="J2679"/>
    </row>
    <row r="2680" spans="9:10" x14ac:dyDescent="0.3">
      <c r="I2680"/>
      <c r="J2680"/>
    </row>
    <row r="2681" spans="9:10" x14ac:dyDescent="0.3">
      <c r="I2681"/>
      <c r="J2681"/>
    </row>
    <row r="2682" spans="9:10" x14ac:dyDescent="0.3">
      <c r="I2682"/>
      <c r="J2682"/>
    </row>
    <row r="2683" spans="9:10" x14ac:dyDescent="0.3">
      <c r="I2683"/>
      <c r="J2683"/>
    </row>
    <row r="2684" spans="9:10" x14ac:dyDescent="0.3">
      <c r="I2684"/>
      <c r="J2684"/>
    </row>
    <row r="2685" spans="9:10" x14ac:dyDescent="0.3">
      <c r="I2685"/>
      <c r="J2685"/>
    </row>
    <row r="2686" spans="9:10" x14ac:dyDescent="0.3">
      <c r="I2686"/>
      <c r="J2686"/>
    </row>
    <row r="2687" spans="9:10" x14ac:dyDescent="0.3">
      <c r="I2687"/>
      <c r="J2687"/>
    </row>
    <row r="2688" spans="9:10" x14ac:dyDescent="0.3">
      <c r="I2688"/>
      <c r="J2688"/>
    </row>
    <row r="2689" spans="9:10" x14ac:dyDescent="0.3">
      <c r="I2689"/>
      <c r="J2689"/>
    </row>
    <row r="2690" spans="9:10" x14ac:dyDescent="0.3">
      <c r="I2690"/>
      <c r="J2690"/>
    </row>
    <row r="2691" spans="9:10" x14ac:dyDescent="0.3">
      <c r="I2691"/>
      <c r="J2691"/>
    </row>
    <row r="2692" spans="9:10" x14ac:dyDescent="0.3">
      <c r="I2692"/>
      <c r="J2692"/>
    </row>
    <row r="2693" spans="9:10" x14ac:dyDescent="0.3">
      <c r="I2693"/>
      <c r="J2693"/>
    </row>
    <row r="2694" spans="9:10" x14ac:dyDescent="0.3">
      <c r="I2694"/>
      <c r="J2694"/>
    </row>
    <row r="2695" spans="9:10" x14ac:dyDescent="0.3">
      <c r="I2695"/>
      <c r="J2695"/>
    </row>
    <row r="2696" spans="9:10" x14ac:dyDescent="0.3">
      <c r="I2696"/>
      <c r="J2696"/>
    </row>
    <row r="2697" spans="9:10" x14ac:dyDescent="0.3">
      <c r="I2697"/>
      <c r="J2697"/>
    </row>
    <row r="2698" spans="9:10" x14ac:dyDescent="0.3">
      <c r="I2698"/>
      <c r="J2698"/>
    </row>
    <row r="2699" spans="9:10" x14ac:dyDescent="0.3">
      <c r="I2699"/>
      <c r="J2699"/>
    </row>
    <row r="2700" spans="9:10" x14ac:dyDescent="0.3">
      <c r="I2700"/>
      <c r="J2700"/>
    </row>
    <row r="2701" spans="9:10" x14ac:dyDescent="0.3">
      <c r="I2701"/>
      <c r="J2701"/>
    </row>
    <row r="2702" spans="9:10" x14ac:dyDescent="0.3">
      <c r="I2702"/>
      <c r="J2702"/>
    </row>
    <row r="2703" spans="9:10" x14ac:dyDescent="0.3">
      <c r="I2703"/>
      <c r="J2703"/>
    </row>
    <row r="2704" spans="9:10" x14ac:dyDescent="0.3">
      <c r="I2704"/>
      <c r="J2704"/>
    </row>
    <row r="2705" spans="9:10" x14ac:dyDescent="0.3">
      <c r="I2705"/>
      <c r="J2705"/>
    </row>
    <row r="2706" spans="9:10" x14ac:dyDescent="0.3">
      <c r="I2706"/>
      <c r="J2706"/>
    </row>
    <row r="2707" spans="9:10" x14ac:dyDescent="0.3">
      <c r="I2707"/>
      <c r="J2707"/>
    </row>
    <row r="2708" spans="9:10" x14ac:dyDescent="0.3">
      <c r="I2708"/>
      <c r="J2708"/>
    </row>
    <row r="2709" spans="9:10" x14ac:dyDescent="0.3">
      <c r="I2709"/>
      <c r="J2709"/>
    </row>
    <row r="2710" spans="9:10" x14ac:dyDescent="0.3">
      <c r="I2710"/>
      <c r="J2710"/>
    </row>
    <row r="2711" spans="9:10" x14ac:dyDescent="0.3">
      <c r="I2711"/>
      <c r="J2711"/>
    </row>
    <row r="2712" spans="9:10" x14ac:dyDescent="0.3">
      <c r="I2712"/>
      <c r="J2712"/>
    </row>
    <row r="2713" spans="9:10" x14ac:dyDescent="0.3">
      <c r="I2713"/>
      <c r="J2713"/>
    </row>
    <row r="2714" spans="9:10" x14ac:dyDescent="0.3">
      <c r="I2714"/>
      <c r="J2714"/>
    </row>
    <row r="2715" spans="9:10" x14ac:dyDescent="0.3">
      <c r="I2715"/>
      <c r="J2715"/>
    </row>
    <row r="2716" spans="9:10" x14ac:dyDescent="0.3">
      <c r="I2716"/>
      <c r="J2716"/>
    </row>
    <row r="2717" spans="9:10" x14ac:dyDescent="0.3">
      <c r="I2717"/>
      <c r="J2717"/>
    </row>
    <row r="2718" spans="9:10" x14ac:dyDescent="0.3">
      <c r="I2718"/>
      <c r="J2718"/>
    </row>
    <row r="2719" spans="9:10" x14ac:dyDescent="0.3">
      <c r="I2719"/>
      <c r="J2719"/>
    </row>
    <row r="2720" spans="9:10" x14ac:dyDescent="0.3">
      <c r="I2720"/>
      <c r="J2720"/>
    </row>
    <row r="2721" spans="9:10" x14ac:dyDescent="0.3">
      <c r="I2721"/>
      <c r="J2721"/>
    </row>
    <row r="2722" spans="9:10" x14ac:dyDescent="0.3">
      <c r="I2722"/>
      <c r="J2722"/>
    </row>
    <row r="2723" spans="9:10" x14ac:dyDescent="0.3">
      <c r="I2723"/>
      <c r="J2723"/>
    </row>
    <row r="2724" spans="9:10" x14ac:dyDescent="0.3">
      <c r="I2724"/>
      <c r="J2724"/>
    </row>
    <row r="2725" spans="9:10" x14ac:dyDescent="0.3">
      <c r="I2725"/>
      <c r="J2725"/>
    </row>
    <row r="2726" spans="9:10" x14ac:dyDescent="0.3">
      <c r="I2726"/>
      <c r="J2726"/>
    </row>
    <row r="2727" spans="9:10" x14ac:dyDescent="0.3">
      <c r="I2727"/>
      <c r="J2727"/>
    </row>
    <row r="2728" spans="9:10" x14ac:dyDescent="0.3">
      <c r="I2728"/>
      <c r="J2728"/>
    </row>
    <row r="2729" spans="9:10" x14ac:dyDescent="0.3">
      <c r="I2729"/>
      <c r="J2729"/>
    </row>
    <row r="2730" spans="9:10" x14ac:dyDescent="0.3">
      <c r="I2730"/>
      <c r="J2730"/>
    </row>
    <row r="2731" spans="9:10" x14ac:dyDescent="0.3">
      <c r="I2731"/>
      <c r="J2731"/>
    </row>
    <row r="2732" spans="9:10" x14ac:dyDescent="0.3">
      <c r="I2732"/>
      <c r="J2732"/>
    </row>
    <row r="2733" spans="9:10" x14ac:dyDescent="0.3">
      <c r="I2733"/>
      <c r="J2733"/>
    </row>
    <row r="2734" spans="9:10" x14ac:dyDescent="0.3">
      <c r="I2734"/>
      <c r="J2734"/>
    </row>
    <row r="2735" spans="9:10" x14ac:dyDescent="0.3">
      <c r="I2735"/>
      <c r="J2735"/>
    </row>
    <row r="2736" spans="9:10" x14ac:dyDescent="0.3">
      <c r="I2736"/>
      <c r="J2736"/>
    </row>
    <row r="2737" spans="9:10" x14ac:dyDescent="0.3">
      <c r="I2737"/>
      <c r="J2737"/>
    </row>
    <row r="2738" spans="9:10" x14ac:dyDescent="0.3">
      <c r="I2738"/>
      <c r="J2738"/>
    </row>
    <row r="2739" spans="9:10" x14ac:dyDescent="0.3">
      <c r="I2739"/>
      <c r="J2739"/>
    </row>
    <row r="2740" spans="9:10" x14ac:dyDescent="0.3">
      <c r="I2740"/>
      <c r="J2740"/>
    </row>
    <row r="2741" spans="9:10" x14ac:dyDescent="0.3">
      <c r="I2741"/>
      <c r="J2741"/>
    </row>
    <row r="2742" spans="9:10" x14ac:dyDescent="0.3">
      <c r="I2742"/>
      <c r="J2742"/>
    </row>
    <row r="2743" spans="9:10" x14ac:dyDescent="0.3">
      <c r="I2743"/>
      <c r="J2743"/>
    </row>
    <row r="2744" spans="9:10" x14ac:dyDescent="0.3">
      <c r="I2744"/>
      <c r="J2744"/>
    </row>
    <row r="2745" spans="9:10" x14ac:dyDescent="0.3">
      <c r="I2745"/>
      <c r="J2745"/>
    </row>
    <row r="2746" spans="9:10" x14ac:dyDescent="0.3">
      <c r="I2746"/>
      <c r="J2746"/>
    </row>
    <row r="2747" spans="9:10" x14ac:dyDescent="0.3">
      <c r="I2747"/>
      <c r="J2747"/>
    </row>
    <row r="2748" spans="9:10" x14ac:dyDescent="0.3">
      <c r="I2748"/>
      <c r="J2748"/>
    </row>
    <row r="2749" spans="9:10" x14ac:dyDescent="0.3">
      <c r="I2749"/>
      <c r="J2749"/>
    </row>
    <row r="2750" spans="9:10" x14ac:dyDescent="0.3">
      <c r="I2750"/>
      <c r="J2750"/>
    </row>
    <row r="2751" spans="9:10" x14ac:dyDescent="0.3">
      <c r="I2751"/>
      <c r="J2751"/>
    </row>
    <row r="2752" spans="9:10" x14ac:dyDescent="0.3">
      <c r="I2752"/>
      <c r="J2752"/>
    </row>
    <row r="2753" spans="9:10" x14ac:dyDescent="0.3">
      <c r="I2753"/>
      <c r="J2753"/>
    </row>
    <row r="2754" spans="9:10" x14ac:dyDescent="0.3">
      <c r="I2754"/>
      <c r="J2754"/>
    </row>
    <row r="2755" spans="9:10" x14ac:dyDescent="0.3">
      <c r="I2755"/>
      <c r="J2755"/>
    </row>
    <row r="2756" spans="9:10" x14ac:dyDescent="0.3">
      <c r="I2756"/>
      <c r="J2756"/>
    </row>
    <row r="2757" spans="9:10" x14ac:dyDescent="0.3">
      <c r="I2757"/>
      <c r="J2757"/>
    </row>
    <row r="2758" spans="9:10" x14ac:dyDescent="0.3">
      <c r="I2758"/>
      <c r="J2758"/>
    </row>
    <row r="2759" spans="9:10" x14ac:dyDescent="0.3">
      <c r="I2759"/>
      <c r="J2759"/>
    </row>
    <row r="2760" spans="9:10" x14ac:dyDescent="0.3">
      <c r="I2760"/>
      <c r="J2760"/>
    </row>
    <row r="2761" spans="9:10" x14ac:dyDescent="0.3">
      <c r="I2761"/>
      <c r="J2761"/>
    </row>
    <row r="2762" spans="9:10" x14ac:dyDescent="0.3">
      <c r="I2762"/>
      <c r="J2762"/>
    </row>
    <row r="2763" spans="9:10" x14ac:dyDescent="0.3">
      <c r="I2763"/>
      <c r="J2763"/>
    </row>
    <row r="2764" spans="9:10" x14ac:dyDescent="0.3">
      <c r="I2764"/>
      <c r="J2764"/>
    </row>
    <row r="2765" spans="9:10" x14ac:dyDescent="0.3">
      <c r="I2765"/>
      <c r="J2765"/>
    </row>
    <row r="2766" spans="9:10" x14ac:dyDescent="0.3">
      <c r="I2766"/>
      <c r="J2766"/>
    </row>
    <row r="2767" spans="9:10" x14ac:dyDescent="0.3">
      <c r="I2767"/>
      <c r="J2767"/>
    </row>
    <row r="2768" spans="9:10" x14ac:dyDescent="0.3">
      <c r="I2768"/>
      <c r="J2768"/>
    </row>
    <row r="2769" spans="9:10" x14ac:dyDescent="0.3">
      <c r="I2769"/>
      <c r="J2769"/>
    </row>
    <row r="2770" spans="9:10" x14ac:dyDescent="0.3">
      <c r="I2770"/>
      <c r="J2770"/>
    </row>
    <row r="2771" spans="9:10" x14ac:dyDescent="0.3">
      <c r="I2771"/>
      <c r="J2771"/>
    </row>
    <row r="2772" spans="9:10" x14ac:dyDescent="0.3">
      <c r="I2772"/>
      <c r="J2772"/>
    </row>
    <row r="2773" spans="9:10" x14ac:dyDescent="0.3">
      <c r="I2773"/>
      <c r="J2773"/>
    </row>
    <row r="2774" spans="9:10" x14ac:dyDescent="0.3">
      <c r="I2774"/>
      <c r="J2774"/>
    </row>
    <row r="2775" spans="9:10" x14ac:dyDescent="0.3">
      <c r="I2775"/>
      <c r="J2775"/>
    </row>
    <row r="2776" spans="9:10" x14ac:dyDescent="0.3">
      <c r="I2776"/>
      <c r="J2776"/>
    </row>
    <row r="2777" spans="9:10" x14ac:dyDescent="0.3">
      <c r="I2777"/>
      <c r="J2777"/>
    </row>
    <row r="2778" spans="9:10" x14ac:dyDescent="0.3">
      <c r="I2778"/>
      <c r="J2778"/>
    </row>
    <row r="2779" spans="9:10" x14ac:dyDescent="0.3">
      <c r="I2779"/>
      <c r="J2779"/>
    </row>
    <row r="2780" spans="9:10" x14ac:dyDescent="0.3">
      <c r="I2780"/>
      <c r="J2780"/>
    </row>
    <row r="2781" spans="9:10" x14ac:dyDescent="0.3">
      <c r="I2781"/>
      <c r="J2781"/>
    </row>
    <row r="2782" spans="9:10" x14ac:dyDescent="0.3">
      <c r="I2782"/>
      <c r="J2782"/>
    </row>
    <row r="2783" spans="9:10" x14ac:dyDescent="0.3">
      <c r="I2783"/>
      <c r="J2783"/>
    </row>
    <row r="2784" spans="9:10" x14ac:dyDescent="0.3">
      <c r="I2784"/>
      <c r="J2784"/>
    </row>
    <row r="2785" spans="9:10" x14ac:dyDescent="0.3">
      <c r="I2785"/>
      <c r="J2785"/>
    </row>
    <row r="2786" spans="9:10" x14ac:dyDescent="0.3">
      <c r="I2786"/>
      <c r="J2786"/>
    </row>
    <row r="2787" spans="9:10" x14ac:dyDescent="0.3">
      <c r="I2787"/>
      <c r="J2787"/>
    </row>
    <row r="2788" spans="9:10" x14ac:dyDescent="0.3">
      <c r="I2788"/>
      <c r="J2788"/>
    </row>
    <row r="2789" spans="9:10" x14ac:dyDescent="0.3">
      <c r="I2789"/>
      <c r="J2789"/>
    </row>
    <row r="2790" spans="9:10" x14ac:dyDescent="0.3">
      <c r="I2790"/>
      <c r="J2790"/>
    </row>
    <row r="2791" spans="9:10" x14ac:dyDescent="0.3">
      <c r="I2791"/>
      <c r="J2791"/>
    </row>
    <row r="2792" spans="9:10" x14ac:dyDescent="0.3">
      <c r="I2792"/>
      <c r="J2792"/>
    </row>
    <row r="2793" spans="9:10" x14ac:dyDescent="0.3">
      <c r="I2793"/>
      <c r="J2793"/>
    </row>
    <row r="2794" spans="9:10" x14ac:dyDescent="0.3">
      <c r="I2794"/>
      <c r="J2794"/>
    </row>
    <row r="2795" spans="9:10" x14ac:dyDescent="0.3">
      <c r="I2795"/>
      <c r="J2795"/>
    </row>
    <row r="2796" spans="9:10" x14ac:dyDescent="0.3">
      <c r="I2796"/>
      <c r="J2796"/>
    </row>
    <row r="2797" spans="9:10" x14ac:dyDescent="0.3">
      <c r="I2797"/>
      <c r="J2797"/>
    </row>
    <row r="2798" spans="9:10" x14ac:dyDescent="0.3">
      <c r="I2798"/>
      <c r="J2798"/>
    </row>
    <row r="2799" spans="9:10" x14ac:dyDescent="0.3">
      <c r="I2799"/>
      <c r="J2799"/>
    </row>
    <row r="2800" spans="9:10" x14ac:dyDescent="0.3">
      <c r="I2800"/>
      <c r="J2800"/>
    </row>
    <row r="2801" spans="9:10" x14ac:dyDescent="0.3">
      <c r="I2801"/>
      <c r="J2801"/>
    </row>
    <row r="2802" spans="9:10" x14ac:dyDescent="0.3">
      <c r="I2802"/>
      <c r="J2802"/>
    </row>
    <row r="2803" spans="9:10" x14ac:dyDescent="0.3">
      <c r="I2803"/>
      <c r="J2803"/>
    </row>
    <row r="2804" spans="9:10" x14ac:dyDescent="0.3">
      <c r="I2804"/>
      <c r="J2804"/>
    </row>
    <row r="2805" spans="9:10" x14ac:dyDescent="0.3">
      <c r="I2805"/>
      <c r="J2805"/>
    </row>
    <row r="2806" spans="9:10" x14ac:dyDescent="0.3">
      <c r="I2806"/>
      <c r="J2806"/>
    </row>
    <row r="2807" spans="9:10" x14ac:dyDescent="0.3">
      <c r="I2807"/>
      <c r="J2807"/>
    </row>
    <row r="2808" spans="9:10" x14ac:dyDescent="0.3">
      <c r="I2808"/>
      <c r="J2808"/>
    </row>
    <row r="2809" spans="9:10" x14ac:dyDescent="0.3">
      <c r="I2809"/>
      <c r="J2809"/>
    </row>
    <row r="2810" spans="9:10" x14ac:dyDescent="0.3">
      <c r="I2810"/>
      <c r="J2810"/>
    </row>
    <row r="2811" spans="9:10" x14ac:dyDescent="0.3">
      <c r="I2811"/>
      <c r="J2811"/>
    </row>
    <row r="2812" spans="9:10" x14ac:dyDescent="0.3">
      <c r="I2812"/>
      <c r="J2812"/>
    </row>
    <row r="2813" spans="9:10" x14ac:dyDescent="0.3">
      <c r="I2813"/>
      <c r="J2813"/>
    </row>
    <row r="2814" spans="9:10" x14ac:dyDescent="0.3">
      <c r="I2814"/>
      <c r="J2814"/>
    </row>
    <row r="2815" spans="9:10" x14ac:dyDescent="0.3">
      <c r="I2815"/>
      <c r="J2815"/>
    </row>
    <row r="2816" spans="9:10" x14ac:dyDescent="0.3">
      <c r="I2816"/>
      <c r="J2816"/>
    </row>
    <row r="2817" spans="9:10" x14ac:dyDescent="0.3">
      <c r="I2817"/>
      <c r="J2817"/>
    </row>
    <row r="2818" spans="9:10" x14ac:dyDescent="0.3">
      <c r="I2818"/>
      <c r="J2818"/>
    </row>
    <row r="2819" spans="9:10" x14ac:dyDescent="0.3">
      <c r="I2819"/>
      <c r="J2819"/>
    </row>
    <row r="2820" spans="9:10" x14ac:dyDescent="0.3">
      <c r="I2820"/>
      <c r="J2820"/>
    </row>
    <row r="2821" spans="9:10" x14ac:dyDescent="0.3">
      <c r="I2821"/>
      <c r="J2821"/>
    </row>
    <row r="2822" spans="9:10" x14ac:dyDescent="0.3">
      <c r="I2822"/>
      <c r="J2822"/>
    </row>
    <row r="2823" spans="9:10" x14ac:dyDescent="0.3">
      <c r="I2823"/>
      <c r="J2823"/>
    </row>
    <row r="2824" spans="9:10" x14ac:dyDescent="0.3">
      <c r="I2824"/>
      <c r="J2824"/>
    </row>
    <row r="2825" spans="9:10" x14ac:dyDescent="0.3">
      <c r="I2825"/>
      <c r="J2825"/>
    </row>
    <row r="2826" spans="9:10" x14ac:dyDescent="0.3">
      <c r="I2826"/>
      <c r="J2826"/>
    </row>
    <row r="2827" spans="9:10" x14ac:dyDescent="0.3">
      <c r="I2827"/>
      <c r="J2827"/>
    </row>
    <row r="2828" spans="9:10" x14ac:dyDescent="0.3">
      <c r="I2828"/>
      <c r="J2828"/>
    </row>
    <row r="2829" spans="9:10" x14ac:dyDescent="0.3">
      <c r="I2829"/>
      <c r="J2829"/>
    </row>
    <row r="2830" spans="9:10" x14ac:dyDescent="0.3">
      <c r="I2830"/>
      <c r="J2830"/>
    </row>
    <row r="2831" spans="9:10" x14ac:dyDescent="0.3">
      <c r="I2831"/>
      <c r="J2831"/>
    </row>
    <row r="2832" spans="9:10" x14ac:dyDescent="0.3">
      <c r="I2832"/>
      <c r="J2832"/>
    </row>
    <row r="2833" spans="9:10" x14ac:dyDescent="0.3">
      <c r="I2833"/>
      <c r="J2833"/>
    </row>
    <row r="2834" spans="9:10" x14ac:dyDescent="0.3">
      <c r="I2834"/>
      <c r="J2834"/>
    </row>
    <row r="2835" spans="9:10" x14ac:dyDescent="0.3">
      <c r="I2835"/>
      <c r="J2835"/>
    </row>
    <row r="2836" spans="9:10" x14ac:dyDescent="0.3">
      <c r="I2836"/>
      <c r="J2836"/>
    </row>
    <row r="2837" spans="9:10" x14ac:dyDescent="0.3">
      <c r="I2837"/>
      <c r="J2837"/>
    </row>
    <row r="2838" spans="9:10" x14ac:dyDescent="0.3">
      <c r="I2838"/>
      <c r="J2838"/>
    </row>
    <row r="2839" spans="9:10" x14ac:dyDescent="0.3">
      <c r="I2839"/>
      <c r="J2839"/>
    </row>
    <row r="2840" spans="9:10" x14ac:dyDescent="0.3">
      <c r="I2840"/>
      <c r="J2840"/>
    </row>
    <row r="2841" spans="9:10" x14ac:dyDescent="0.3">
      <c r="I2841"/>
      <c r="J2841"/>
    </row>
    <row r="2842" spans="9:10" x14ac:dyDescent="0.3">
      <c r="I2842"/>
      <c r="J2842"/>
    </row>
    <row r="2843" spans="9:10" x14ac:dyDescent="0.3">
      <c r="I2843"/>
      <c r="J2843"/>
    </row>
    <row r="2844" spans="9:10" x14ac:dyDescent="0.3">
      <c r="I2844"/>
      <c r="J2844"/>
    </row>
    <row r="2845" spans="9:10" x14ac:dyDescent="0.3">
      <c r="I2845"/>
      <c r="J2845"/>
    </row>
    <row r="2846" spans="9:10" x14ac:dyDescent="0.3">
      <c r="I2846"/>
      <c r="J2846"/>
    </row>
    <row r="2847" spans="9:10" x14ac:dyDescent="0.3">
      <c r="I2847"/>
      <c r="J2847"/>
    </row>
    <row r="2848" spans="9:10" x14ac:dyDescent="0.3">
      <c r="I2848"/>
      <c r="J2848"/>
    </row>
    <row r="2849" spans="9:10" x14ac:dyDescent="0.3">
      <c r="I2849"/>
      <c r="J2849"/>
    </row>
    <row r="2850" spans="9:10" x14ac:dyDescent="0.3">
      <c r="I2850"/>
      <c r="J2850"/>
    </row>
    <row r="2851" spans="9:10" x14ac:dyDescent="0.3">
      <c r="I2851"/>
      <c r="J2851"/>
    </row>
    <row r="2852" spans="9:10" x14ac:dyDescent="0.3">
      <c r="I2852"/>
      <c r="J2852"/>
    </row>
    <row r="2853" spans="9:10" x14ac:dyDescent="0.3">
      <c r="I2853"/>
      <c r="J2853"/>
    </row>
    <row r="2854" spans="9:10" x14ac:dyDescent="0.3">
      <c r="I2854"/>
      <c r="J2854"/>
    </row>
    <row r="2855" spans="9:10" x14ac:dyDescent="0.3">
      <c r="I2855"/>
      <c r="J2855"/>
    </row>
    <row r="2856" spans="9:10" x14ac:dyDescent="0.3">
      <c r="I2856"/>
      <c r="J2856"/>
    </row>
    <row r="2857" spans="9:10" x14ac:dyDescent="0.3">
      <c r="I2857"/>
      <c r="J2857"/>
    </row>
    <row r="2858" spans="9:10" x14ac:dyDescent="0.3">
      <c r="I2858"/>
      <c r="J2858"/>
    </row>
    <row r="2859" spans="9:10" x14ac:dyDescent="0.3">
      <c r="I2859"/>
      <c r="J2859"/>
    </row>
    <row r="2860" spans="9:10" x14ac:dyDescent="0.3">
      <c r="I2860"/>
      <c r="J2860"/>
    </row>
    <row r="2861" spans="9:10" x14ac:dyDescent="0.3">
      <c r="I2861"/>
      <c r="J2861"/>
    </row>
    <row r="2862" spans="9:10" x14ac:dyDescent="0.3">
      <c r="I2862"/>
      <c r="J2862"/>
    </row>
    <row r="2863" spans="9:10" x14ac:dyDescent="0.3">
      <c r="I2863"/>
      <c r="J2863"/>
    </row>
    <row r="2864" spans="9:10" x14ac:dyDescent="0.3">
      <c r="I2864"/>
      <c r="J2864"/>
    </row>
    <row r="2865" spans="9:10" x14ac:dyDescent="0.3">
      <c r="I2865"/>
      <c r="J2865"/>
    </row>
    <row r="2866" spans="9:10" x14ac:dyDescent="0.3">
      <c r="I2866"/>
      <c r="J2866"/>
    </row>
    <row r="2867" spans="9:10" x14ac:dyDescent="0.3">
      <c r="I2867"/>
      <c r="J2867"/>
    </row>
    <row r="2868" spans="9:10" x14ac:dyDescent="0.3">
      <c r="I2868"/>
      <c r="J2868"/>
    </row>
    <row r="2869" spans="9:10" x14ac:dyDescent="0.3">
      <c r="I2869"/>
      <c r="J2869"/>
    </row>
    <row r="2870" spans="9:10" x14ac:dyDescent="0.3">
      <c r="I2870"/>
      <c r="J2870"/>
    </row>
    <row r="2871" spans="9:10" x14ac:dyDescent="0.3">
      <c r="I2871"/>
      <c r="J2871"/>
    </row>
    <row r="2872" spans="9:10" x14ac:dyDescent="0.3">
      <c r="I2872"/>
      <c r="J2872"/>
    </row>
    <row r="2873" spans="9:10" x14ac:dyDescent="0.3">
      <c r="I2873"/>
      <c r="J2873"/>
    </row>
    <row r="2874" spans="9:10" x14ac:dyDescent="0.3">
      <c r="I2874"/>
      <c r="J2874"/>
    </row>
    <row r="2875" spans="9:10" x14ac:dyDescent="0.3">
      <c r="I2875"/>
      <c r="J2875"/>
    </row>
    <row r="2876" spans="9:10" x14ac:dyDescent="0.3">
      <c r="I2876"/>
      <c r="J2876"/>
    </row>
    <row r="2877" spans="9:10" x14ac:dyDescent="0.3">
      <c r="I2877"/>
      <c r="J2877"/>
    </row>
    <row r="2878" spans="9:10" x14ac:dyDescent="0.3">
      <c r="I2878"/>
      <c r="J2878"/>
    </row>
    <row r="2879" spans="9:10" x14ac:dyDescent="0.3">
      <c r="I2879"/>
      <c r="J2879"/>
    </row>
    <row r="2880" spans="9:10" x14ac:dyDescent="0.3">
      <c r="I2880"/>
      <c r="J2880"/>
    </row>
    <row r="2881" spans="9:10" x14ac:dyDescent="0.3">
      <c r="I2881"/>
      <c r="J2881"/>
    </row>
    <row r="2882" spans="9:10" x14ac:dyDescent="0.3">
      <c r="I2882"/>
      <c r="J2882"/>
    </row>
    <row r="2883" spans="9:10" x14ac:dyDescent="0.3">
      <c r="I2883"/>
      <c r="J2883"/>
    </row>
    <row r="2884" spans="9:10" x14ac:dyDescent="0.3">
      <c r="I2884"/>
      <c r="J2884"/>
    </row>
    <row r="2885" spans="9:10" x14ac:dyDescent="0.3">
      <c r="I2885"/>
      <c r="J2885"/>
    </row>
    <row r="2886" spans="9:10" x14ac:dyDescent="0.3">
      <c r="I2886"/>
      <c r="J2886"/>
    </row>
    <row r="2887" spans="9:10" x14ac:dyDescent="0.3">
      <c r="I2887"/>
      <c r="J2887"/>
    </row>
    <row r="2888" spans="9:10" x14ac:dyDescent="0.3">
      <c r="I2888"/>
      <c r="J2888"/>
    </row>
    <row r="2889" spans="9:10" x14ac:dyDescent="0.3">
      <c r="I2889"/>
      <c r="J2889"/>
    </row>
    <row r="2890" spans="9:10" x14ac:dyDescent="0.3">
      <c r="I2890"/>
      <c r="J2890"/>
    </row>
    <row r="2891" spans="9:10" x14ac:dyDescent="0.3">
      <c r="I2891"/>
      <c r="J2891"/>
    </row>
    <row r="2892" spans="9:10" x14ac:dyDescent="0.3">
      <c r="I2892"/>
      <c r="J2892"/>
    </row>
    <row r="2893" spans="9:10" x14ac:dyDescent="0.3">
      <c r="I2893"/>
      <c r="J2893"/>
    </row>
    <row r="2894" spans="9:10" x14ac:dyDescent="0.3">
      <c r="I2894"/>
      <c r="J2894"/>
    </row>
    <row r="2895" spans="9:10" x14ac:dyDescent="0.3">
      <c r="I2895"/>
      <c r="J2895"/>
    </row>
    <row r="2896" spans="9:10" x14ac:dyDescent="0.3">
      <c r="I2896"/>
      <c r="J2896"/>
    </row>
    <row r="2897" spans="9:10" x14ac:dyDescent="0.3">
      <c r="I2897"/>
      <c r="J2897"/>
    </row>
    <row r="2898" spans="9:10" x14ac:dyDescent="0.3">
      <c r="I2898"/>
      <c r="J2898"/>
    </row>
    <row r="2899" spans="9:10" x14ac:dyDescent="0.3">
      <c r="I2899"/>
      <c r="J2899"/>
    </row>
    <row r="2900" spans="9:10" x14ac:dyDescent="0.3">
      <c r="I2900"/>
      <c r="J2900"/>
    </row>
    <row r="2901" spans="9:10" x14ac:dyDescent="0.3">
      <c r="I2901"/>
      <c r="J2901"/>
    </row>
    <row r="2902" spans="9:10" x14ac:dyDescent="0.3">
      <c r="I2902"/>
      <c r="J2902"/>
    </row>
    <row r="2903" spans="9:10" x14ac:dyDescent="0.3">
      <c r="I2903"/>
      <c r="J2903"/>
    </row>
    <row r="2904" spans="9:10" x14ac:dyDescent="0.3">
      <c r="I2904"/>
      <c r="J2904"/>
    </row>
    <row r="2905" spans="9:10" x14ac:dyDescent="0.3">
      <c r="I2905"/>
      <c r="J2905"/>
    </row>
    <row r="2906" spans="9:10" x14ac:dyDescent="0.3">
      <c r="I2906"/>
      <c r="J2906"/>
    </row>
    <row r="2907" spans="9:10" x14ac:dyDescent="0.3">
      <c r="I2907"/>
      <c r="J2907"/>
    </row>
    <row r="2908" spans="9:10" x14ac:dyDescent="0.3">
      <c r="I2908"/>
      <c r="J2908"/>
    </row>
    <row r="2909" spans="9:10" x14ac:dyDescent="0.3">
      <c r="I2909"/>
      <c r="J2909"/>
    </row>
    <row r="2910" spans="9:10" x14ac:dyDescent="0.3">
      <c r="I2910"/>
      <c r="J2910"/>
    </row>
    <row r="2911" spans="9:10" x14ac:dyDescent="0.3">
      <c r="I2911"/>
      <c r="J2911"/>
    </row>
    <row r="2912" spans="9:10" x14ac:dyDescent="0.3">
      <c r="I2912"/>
      <c r="J2912"/>
    </row>
    <row r="2913" spans="9:10" x14ac:dyDescent="0.3">
      <c r="I2913"/>
      <c r="J2913"/>
    </row>
    <row r="2914" spans="9:10" x14ac:dyDescent="0.3">
      <c r="I2914"/>
      <c r="J2914"/>
    </row>
    <row r="2915" spans="9:10" x14ac:dyDescent="0.3">
      <c r="I2915"/>
      <c r="J2915"/>
    </row>
    <row r="2916" spans="9:10" x14ac:dyDescent="0.3">
      <c r="I2916"/>
      <c r="J2916"/>
    </row>
    <row r="2917" spans="9:10" x14ac:dyDescent="0.3">
      <c r="I2917"/>
      <c r="J2917"/>
    </row>
    <row r="2918" spans="9:10" x14ac:dyDescent="0.3">
      <c r="I2918"/>
      <c r="J2918"/>
    </row>
    <row r="2919" spans="9:10" x14ac:dyDescent="0.3">
      <c r="I2919"/>
      <c r="J2919"/>
    </row>
    <row r="2920" spans="9:10" x14ac:dyDescent="0.3">
      <c r="I2920"/>
      <c r="J2920"/>
    </row>
    <row r="2921" spans="9:10" x14ac:dyDescent="0.3">
      <c r="I2921"/>
      <c r="J2921"/>
    </row>
    <row r="2922" spans="9:10" x14ac:dyDescent="0.3">
      <c r="I2922"/>
      <c r="J2922"/>
    </row>
    <row r="2923" spans="9:10" x14ac:dyDescent="0.3">
      <c r="I2923"/>
      <c r="J2923"/>
    </row>
    <row r="2924" spans="9:10" x14ac:dyDescent="0.3">
      <c r="I2924"/>
      <c r="J2924"/>
    </row>
    <row r="2925" spans="9:10" x14ac:dyDescent="0.3">
      <c r="I2925"/>
      <c r="J2925"/>
    </row>
    <row r="2926" spans="9:10" x14ac:dyDescent="0.3">
      <c r="I2926"/>
      <c r="J2926"/>
    </row>
    <row r="2927" spans="9:10" x14ac:dyDescent="0.3">
      <c r="I2927"/>
      <c r="J2927"/>
    </row>
    <row r="2928" spans="9:10" x14ac:dyDescent="0.3">
      <c r="I2928"/>
      <c r="J2928"/>
    </row>
    <row r="2929" spans="9:10" x14ac:dyDescent="0.3">
      <c r="I2929"/>
      <c r="J2929"/>
    </row>
    <row r="2930" spans="9:10" x14ac:dyDescent="0.3">
      <c r="I2930"/>
      <c r="J2930"/>
    </row>
    <row r="2931" spans="9:10" x14ac:dyDescent="0.3">
      <c r="I2931"/>
      <c r="J2931"/>
    </row>
    <row r="2932" spans="9:10" x14ac:dyDescent="0.3">
      <c r="I2932"/>
      <c r="J2932"/>
    </row>
    <row r="2933" spans="9:10" x14ac:dyDescent="0.3">
      <c r="I2933"/>
      <c r="J2933"/>
    </row>
    <row r="2934" spans="9:10" x14ac:dyDescent="0.3">
      <c r="I2934"/>
      <c r="J2934"/>
    </row>
    <row r="2935" spans="9:10" x14ac:dyDescent="0.3">
      <c r="I2935"/>
      <c r="J2935"/>
    </row>
    <row r="2936" spans="9:10" x14ac:dyDescent="0.3">
      <c r="I2936"/>
      <c r="J2936"/>
    </row>
    <row r="2937" spans="9:10" x14ac:dyDescent="0.3">
      <c r="I2937"/>
      <c r="J2937"/>
    </row>
    <row r="2938" spans="9:10" x14ac:dyDescent="0.3">
      <c r="I2938"/>
      <c r="J2938"/>
    </row>
    <row r="2939" spans="9:10" x14ac:dyDescent="0.3">
      <c r="I2939"/>
      <c r="J2939"/>
    </row>
    <row r="2940" spans="9:10" x14ac:dyDescent="0.3">
      <c r="I2940"/>
      <c r="J2940"/>
    </row>
    <row r="2941" spans="9:10" x14ac:dyDescent="0.3">
      <c r="I2941"/>
      <c r="J2941"/>
    </row>
    <row r="2942" spans="9:10" x14ac:dyDescent="0.3">
      <c r="I2942"/>
      <c r="J2942"/>
    </row>
    <row r="2943" spans="9:10" x14ac:dyDescent="0.3">
      <c r="I2943"/>
      <c r="J2943"/>
    </row>
    <row r="2944" spans="9:10" x14ac:dyDescent="0.3">
      <c r="I2944"/>
      <c r="J2944"/>
    </row>
    <row r="2945" spans="9:10" x14ac:dyDescent="0.3">
      <c r="I2945"/>
      <c r="J2945"/>
    </row>
    <row r="2946" spans="9:10" x14ac:dyDescent="0.3">
      <c r="I2946"/>
      <c r="J2946"/>
    </row>
    <row r="2947" spans="9:10" x14ac:dyDescent="0.3">
      <c r="I2947"/>
      <c r="J2947"/>
    </row>
    <row r="2948" spans="9:10" x14ac:dyDescent="0.3">
      <c r="I2948"/>
      <c r="J2948"/>
    </row>
    <row r="2949" spans="9:10" x14ac:dyDescent="0.3">
      <c r="I2949"/>
      <c r="J2949"/>
    </row>
    <row r="2950" spans="9:10" x14ac:dyDescent="0.3">
      <c r="I2950"/>
      <c r="J2950"/>
    </row>
    <row r="2951" spans="9:10" x14ac:dyDescent="0.3">
      <c r="I2951"/>
      <c r="J2951"/>
    </row>
    <row r="2952" spans="9:10" x14ac:dyDescent="0.3">
      <c r="I2952"/>
      <c r="J2952"/>
    </row>
    <row r="2953" spans="9:10" x14ac:dyDescent="0.3">
      <c r="I2953"/>
      <c r="J2953"/>
    </row>
    <row r="2954" spans="9:10" x14ac:dyDescent="0.3">
      <c r="I2954"/>
      <c r="J2954"/>
    </row>
    <row r="2955" spans="9:10" x14ac:dyDescent="0.3">
      <c r="I2955"/>
      <c r="J2955"/>
    </row>
    <row r="2956" spans="9:10" x14ac:dyDescent="0.3">
      <c r="I2956"/>
      <c r="J2956"/>
    </row>
    <row r="2957" spans="9:10" x14ac:dyDescent="0.3">
      <c r="I2957"/>
      <c r="J2957"/>
    </row>
    <row r="2958" spans="9:10" x14ac:dyDescent="0.3">
      <c r="I2958"/>
      <c r="J2958"/>
    </row>
    <row r="2959" spans="9:10" x14ac:dyDescent="0.3">
      <c r="I2959"/>
      <c r="J2959"/>
    </row>
    <row r="2960" spans="9:10" x14ac:dyDescent="0.3">
      <c r="I2960"/>
      <c r="J2960"/>
    </row>
    <row r="2961" spans="9:10" x14ac:dyDescent="0.3">
      <c r="I2961"/>
      <c r="J2961"/>
    </row>
    <row r="2962" spans="9:10" x14ac:dyDescent="0.3">
      <c r="I2962"/>
      <c r="J2962"/>
    </row>
    <row r="2963" spans="9:10" x14ac:dyDescent="0.3">
      <c r="I2963"/>
      <c r="J2963"/>
    </row>
    <row r="2964" spans="9:10" x14ac:dyDescent="0.3">
      <c r="I2964"/>
      <c r="J2964"/>
    </row>
    <row r="2965" spans="9:10" x14ac:dyDescent="0.3">
      <c r="I2965"/>
      <c r="J2965"/>
    </row>
    <row r="2966" spans="9:10" x14ac:dyDescent="0.3">
      <c r="I2966"/>
      <c r="J2966"/>
    </row>
    <row r="2967" spans="9:10" x14ac:dyDescent="0.3">
      <c r="I2967"/>
      <c r="J2967"/>
    </row>
    <row r="2968" spans="9:10" x14ac:dyDescent="0.3">
      <c r="I2968"/>
      <c r="J2968"/>
    </row>
    <row r="2969" spans="9:10" x14ac:dyDescent="0.3">
      <c r="I2969"/>
      <c r="J2969"/>
    </row>
    <row r="2970" spans="9:10" x14ac:dyDescent="0.3">
      <c r="I2970"/>
      <c r="J2970"/>
    </row>
    <row r="2971" spans="9:10" x14ac:dyDescent="0.3">
      <c r="I2971"/>
      <c r="J2971"/>
    </row>
    <row r="2972" spans="9:10" x14ac:dyDescent="0.3">
      <c r="I2972"/>
      <c r="J2972"/>
    </row>
    <row r="2973" spans="9:10" x14ac:dyDescent="0.3">
      <c r="I2973"/>
      <c r="J2973"/>
    </row>
    <row r="2974" spans="9:10" x14ac:dyDescent="0.3">
      <c r="I2974"/>
      <c r="J2974"/>
    </row>
    <row r="2975" spans="9:10" x14ac:dyDescent="0.3">
      <c r="I2975"/>
      <c r="J2975"/>
    </row>
    <row r="2976" spans="9:10" x14ac:dyDescent="0.3">
      <c r="I2976"/>
      <c r="J2976"/>
    </row>
    <row r="2977" spans="9:10" x14ac:dyDescent="0.3">
      <c r="I2977"/>
      <c r="J2977"/>
    </row>
    <row r="2978" spans="9:10" x14ac:dyDescent="0.3">
      <c r="I2978"/>
      <c r="J2978"/>
    </row>
    <row r="2979" spans="9:10" x14ac:dyDescent="0.3">
      <c r="I2979"/>
      <c r="J2979"/>
    </row>
    <row r="2980" spans="9:10" x14ac:dyDescent="0.3">
      <c r="I2980"/>
      <c r="J2980"/>
    </row>
    <row r="2981" spans="9:10" x14ac:dyDescent="0.3">
      <c r="I2981"/>
      <c r="J2981"/>
    </row>
    <row r="2982" spans="9:10" x14ac:dyDescent="0.3">
      <c r="I2982"/>
      <c r="J2982"/>
    </row>
    <row r="2983" spans="9:10" x14ac:dyDescent="0.3">
      <c r="I2983"/>
      <c r="J2983"/>
    </row>
    <row r="2984" spans="9:10" x14ac:dyDescent="0.3">
      <c r="I2984"/>
      <c r="J2984"/>
    </row>
    <row r="2985" spans="9:10" x14ac:dyDescent="0.3">
      <c r="I2985"/>
      <c r="J2985"/>
    </row>
    <row r="2986" spans="9:10" x14ac:dyDescent="0.3">
      <c r="I2986"/>
      <c r="J2986"/>
    </row>
    <row r="2987" spans="9:10" x14ac:dyDescent="0.3">
      <c r="I2987"/>
      <c r="J2987"/>
    </row>
    <row r="2988" spans="9:10" x14ac:dyDescent="0.3">
      <c r="I2988"/>
      <c r="J2988"/>
    </row>
    <row r="2989" spans="9:10" x14ac:dyDescent="0.3">
      <c r="I2989"/>
      <c r="J2989"/>
    </row>
    <row r="2990" spans="9:10" x14ac:dyDescent="0.3">
      <c r="I2990"/>
      <c r="J2990"/>
    </row>
    <row r="2991" spans="9:10" x14ac:dyDescent="0.3">
      <c r="I2991"/>
      <c r="J2991"/>
    </row>
    <row r="2992" spans="9:10" x14ac:dyDescent="0.3">
      <c r="I2992"/>
      <c r="J2992"/>
    </row>
    <row r="2993" spans="9:10" x14ac:dyDescent="0.3">
      <c r="I2993"/>
      <c r="J2993"/>
    </row>
    <row r="2994" spans="9:10" x14ac:dyDescent="0.3">
      <c r="I2994"/>
      <c r="J2994"/>
    </row>
    <row r="2995" spans="9:10" x14ac:dyDescent="0.3">
      <c r="I2995"/>
      <c r="J2995"/>
    </row>
    <row r="2996" spans="9:10" x14ac:dyDescent="0.3">
      <c r="I2996"/>
      <c r="J2996"/>
    </row>
    <row r="2997" spans="9:10" x14ac:dyDescent="0.3">
      <c r="I2997"/>
      <c r="J2997"/>
    </row>
    <row r="2998" spans="9:10" x14ac:dyDescent="0.3">
      <c r="I2998"/>
      <c r="J2998"/>
    </row>
    <row r="2999" spans="9:10" x14ac:dyDescent="0.3">
      <c r="I2999"/>
      <c r="J2999"/>
    </row>
    <row r="3000" spans="9:10" x14ac:dyDescent="0.3">
      <c r="I3000"/>
      <c r="J3000"/>
    </row>
    <row r="3001" spans="9:10" x14ac:dyDescent="0.3">
      <c r="I3001"/>
      <c r="J3001"/>
    </row>
    <row r="3002" spans="9:10" x14ac:dyDescent="0.3">
      <c r="I3002"/>
      <c r="J3002"/>
    </row>
    <row r="3003" spans="9:10" x14ac:dyDescent="0.3">
      <c r="I3003"/>
      <c r="J3003"/>
    </row>
    <row r="3004" spans="9:10" x14ac:dyDescent="0.3">
      <c r="I3004"/>
      <c r="J3004"/>
    </row>
    <row r="3005" spans="9:10" x14ac:dyDescent="0.3">
      <c r="I3005"/>
      <c r="J3005"/>
    </row>
    <row r="3006" spans="9:10" x14ac:dyDescent="0.3">
      <c r="I3006"/>
      <c r="J3006"/>
    </row>
    <row r="3007" spans="9:10" x14ac:dyDescent="0.3">
      <c r="I3007"/>
      <c r="J3007"/>
    </row>
    <row r="3008" spans="9:10" x14ac:dyDescent="0.3">
      <c r="I3008"/>
      <c r="J3008"/>
    </row>
    <row r="3009" spans="9:10" x14ac:dyDescent="0.3">
      <c r="I3009"/>
      <c r="J3009"/>
    </row>
    <row r="3010" spans="9:10" x14ac:dyDescent="0.3">
      <c r="I3010"/>
      <c r="J3010"/>
    </row>
    <row r="3011" spans="9:10" x14ac:dyDescent="0.3">
      <c r="I3011"/>
      <c r="J3011"/>
    </row>
    <row r="3012" spans="9:10" x14ac:dyDescent="0.3">
      <c r="I3012"/>
      <c r="J3012"/>
    </row>
    <row r="3013" spans="9:10" x14ac:dyDescent="0.3">
      <c r="I3013"/>
      <c r="J3013"/>
    </row>
    <row r="3014" spans="9:10" x14ac:dyDescent="0.3">
      <c r="I3014"/>
      <c r="J3014"/>
    </row>
    <row r="3015" spans="9:10" x14ac:dyDescent="0.3">
      <c r="I3015"/>
      <c r="J3015"/>
    </row>
    <row r="3016" spans="9:10" x14ac:dyDescent="0.3">
      <c r="I3016"/>
      <c r="J3016"/>
    </row>
    <row r="3017" spans="9:10" x14ac:dyDescent="0.3">
      <c r="I3017"/>
      <c r="J3017"/>
    </row>
    <row r="3018" spans="9:10" x14ac:dyDescent="0.3">
      <c r="I3018"/>
      <c r="J3018"/>
    </row>
    <row r="3019" spans="9:10" x14ac:dyDescent="0.3">
      <c r="I3019"/>
      <c r="J3019"/>
    </row>
    <row r="3020" spans="9:10" x14ac:dyDescent="0.3">
      <c r="I3020"/>
      <c r="J3020"/>
    </row>
    <row r="3021" spans="9:10" x14ac:dyDescent="0.3">
      <c r="I3021"/>
      <c r="J3021"/>
    </row>
    <row r="3022" spans="9:10" x14ac:dyDescent="0.3">
      <c r="I3022"/>
      <c r="J3022"/>
    </row>
    <row r="3023" spans="9:10" x14ac:dyDescent="0.3">
      <c r="I3023"/>
      <c r="J3023"/>
    </row>
    <row r="3024" spans="9:10" x14ac:dyDescent="0.3">
      <c r="I3024"/>
      <c r="J3024"/>
    </row>
    <row r="3025" spans="9:10" x14ac:dyDescent="0.3">
      <c r="I3025"/>
      <c r="J3025"/>
    </row>
    <row r="3026" spans="9:10" x14ac:dyDescent="0.3">
      <c r="I3026"/>
      <c r="J3026"/>
    </row>
    <row r="3027" spans="9:10" x14ac:dyDescent="0.3">
      <c r="I3027"/>
      <c r="J3027"/>
    </row>
    <row r="3028" spans="9:10" x14ac:dyDescent="0.3">
      <c r="I3028"/>
      <c r="J3028"/>
    </row>
    <row r="3029" spans="9:10" x14ac:dyDescent="0.3">
      <c r="I3029"/>
      <c r="J3029"/>
    </row>
    <row r="3030" spans="9:10" x14ac:dyDescent="0.3">
      <c r="I3030"/>
      <c r="J3030"/>
    </row>
    <row r="3031" spans="9:10" x14ac:dyDescent="0.3">
      <c r="I3031"/>
      <c r="J3031"/>
    </row>
    <row r="3032" spans="9:10" x14ac:dyDescent="0.3">
      <c r="I3032"/>
      <c r="J3032"/>
    </row>
    <row r="3033" spans="9:10" x14ac:dyDescent="0.3">
      <c r="I3033"/>
      <c r="J3033"/>
    </row>
    <row r="3034" spans="9:10" x14ac:dyDescent="0.3">
      <c r="I3034"/>
      <c r="J3034"/>
    </row>
    <row r="3035" spans="9:10" x14ac:dyDescent="0.3">
      <c r="I3035"/>
      <c r="J3035"/>
    </row>
    <row r="3036" spans="9:10" x14ac:dyDescent="0.3">
      <c r="I3036"/>
      <c r="J3036"/>
    </row>
    <row r="3037" spans="9:10" x14ac:dyDescent="0.3">
      <c r="I3037"/>
      <c r="J3037"/>
    </row>
    <row r="3038" spans="9:10" x14ac:dyDescent="0.3">
      <c r="I3038"/>
      <c r="J3038"/>
    </row>
    <row r="3039" spans="9:10" x14ac:dyDescent="0.3">
      <c r="I3039"/>
      <c r="J3039"/>
    </row>
    <row r="3040" spans="9:10" x14ac:dyDescent="0.3">
      <c r="I3040"/>
      <c r="J3040"/>
    </row>
    <row r="3041" spans="9:10" x14ac:dyDescent="0.3">
      <c r="I3041"/>
      <c r="J3041"/>
    </row>
    <row r="3042" spans="9:10" x14ac:dyDescent="0.3">
      <c r="I3042"/>
      <c r="J3042"/>
    </row>
    <row r="3043" spans="9:10" x14ac:dyDescent="0.3">
      <c r="I3043"/>
      <c r="J3043"/>
    </row>
    <row r="3044" spans="9:10" x14ac:dyDescent="0.3">
      <c r="I3044"/>
      <c r="J3044"/>
    </row>
    <row r="3045" spans="9:10" x14ac:dyDescent="0.3">
      <c r="I3045"/>
      <c r="J3045"/>
    </row>
    <row r="3046" spans="9:10" x14ac:dyDescent="0.3">
      <c r="I3046"/>
      <c r="J3046"/>
    </row>
    <row r="3047" spans="9:10" x14ac:dyDescent="0.3">
      <c r="I3047"/>
      <c r="J3047"/>
    </row>
    <row r="3048" spans="9:10" x14ac:dyDescent="0.3">
      <c r="I3048"/>
      <c r="J3048"/>
    </row>
    <row r="3049" spans="9:10" x14ac:dyDescent="0.3">
      <c r="I3049"/>
      <c r="J3049"/>
    </row>
    <row r="3050" spans="9:10" x14ac:dyDescent="0.3">
      <c r="I3050"/>
      <c r="J3050"/>
    </row>
    <row r="3051" spans="9:10" x14ac:dyDescent="0.3">
      <c r="I3051"/>
      <c r="J3051"/>
    </row>
    <row r="3052" spans="9:10" x14ac:dyDescent="0.3">
      <c r="I3052"/>
      <c r="J3052"/>
    </row>
    <row r="3053" spans="9:10" x14ac:dyDescent="0.3">
      <c r="I3053"/>
      <c r="J3053"/>
    </row>
    <row r="3054" spans="9:10" x14ac:dyDescent="0.3">
      <c r="I3054"/>
      <c r="J3054"/>
    </row>
    <row r="3055" spans="9:10" x14ac:dyDescent="0.3">
      <c r="I3055"/>
      <c r="J3055"/>
    </row>
    <row r="3056" spans="9:10" x14ac:dyDescent="0.3">
      <c r="I3056"/>
      <c r="J3056"/>
    </row>
    <row r="3057" spans="9:10" x14ac:dyDescent="0.3">
      <c r="I3057"/>
      <c r="J3057"/>
    </row>
    <row r="3058" spans="9:10" x14ac:dyDescent="0.3">
      <c r="I3058"/>
      <c r="J3058"/>
    </row>
    <row r="3059" spans="9:10" x14ac:dyDescent="0.3">
      <c r="I3059"/>
      <c r="J3059"/>
    </row>
    <row r="3060" spans="9:10" x14ac:dyDescent="0.3">
      <c r="I3060"/>
      <c r="J3060"/>
    </row>
    <row r="3061" spans="9:10" x14ac:dyDescent="0.3">
      <c r="I3061"/>
      <c r="J3061"/>
    </row>
    <row r="3062" spans="9:10" x14ac:dyDescent="0.3">
      <c r="I3062"/>
      <c r="J3062"/>
    </row>
    <row r="3063" spans="9:10" x14ac:dyDescent="0.3">
      <c r="I3063"/>
      <c r="J3063"/>
    </row>
    <row r="3064" spans="9:10" x14ac:dyDescent="0.3">
      <c r="I3064"/>
      <c r="J3064"/>
    </row>
    <row r="3065" spans="9:10" x14ac:dyDescent="0.3">
      <c r="I3065"/>
      <c r="J3065"/>
    </row>
    <row r="3066" spans="9:10" x14ac:dyDescent="0.3">
      <c r="I3066"/>
      <c r="J3066"/>
    </row>
    <row r="3067" spans="9:10" x14ac:dyDescent="0.3">
      <c r="I3067"/>
      <c r="J3067"/>
    </row>
    <row r="3068" spans="9:10" x14ac:dyDescent="0.3">
      <c r="I3068"/>
      <c r="J3068"/>
    </row>
    <row r="3069" spans="9:10" x14ac:dyDescent="0.3">
      <c r="I3069"/>
      <c r="J3069"/>
    </row>
    <row r="3070" spans="9:10" x14ac:dyDescent="0.3">
      <c r="I3070"/>
      <c r="J3070"/>
    </row>
    <row r="3071" spans="9:10" x14ac:dyDescent="0.3">
      <c r="I3071"/>
      <c r="J3071"/>
    </row>
    <row r="3072" spans="9:10" x14ac:dyDescent="0.3">
      <c r="I3072"/>
      <c r="J3072"/>
    </row>
    <row r="3073" spans="9:10" x14ac:dyDescent="0.3">
      <c r="I3073"/>
      <c r="J3073"/>
    </row>
    <row r="3074" spans="9:10" x14ac:dyDescent="0.3">
      <c r="I3074"/>
      <c r="J3074"/>
    </row>
    <row r="3075" spans="9:10" x14ac:dyDescent="0.3">
      <c r="I3075"/>
      <c r="J3075"/>
    </row>
    <row r="3076" spans="9:10" x14ac:dyDescent="0.3">
      <c r="I3076"/>
      <c r="J3076"/>
    </row>
    <row r="3077" spans="9:10" x14ac:dyDescent="0.3">
      <c r="I3077"/>
      <c r="J3077"/>
    </row>
    <row r="3078" spans="9:10" x14ac:dyDescent="0.3">
      <c r="I3078"/>
      <c r="J3078"/>
    </row>
    <row r="3079" spans="9:10" x14ac:dyDescent="0.3">
      <c r="I3079"/>
      <c r="J3079"/>
    </row>
    <row r="3080" spans="9:10" x14ac:dyDescent="0.3">
      <c r="I3080"/>
      <c r="J3080"/>
    </row>
    <row r="3081" spans="9:10" x14ac:dyDescent="0.3">
      <c r="I3081"/>
      <c r="J3081"/>
    </row>
    <row r="3082" spans="9:10" x14ac:dyDescent="0.3">
      <c r="I3082"/>
      <c r="J3082"/>
    </row>
    <row r="3083" spans="9:10" x14ac:dyDescent="0.3">
      <c r="I3083"/>
      <c r="J3083"/>
    </row>
    <row r="3084" spans="9:10" x14ac:dyDescent="0.3">
      <c r="I3084"/>
      <c r="J3084"/>
    </row>
    <row r="3085" spans="9:10" x14ac:dyDescent="0.3">
      <c r="I3085"/>
      <c r="J3085"/>
    </row>
    <row r="3086" spans="9:10" x14ac:dyDescent="0.3">
      <c r="I3086"/>
      <c r="J3086"/>
    </row>
    <row r="3087" spans="9:10" x14ac:dyDescent="0.3">
      <c r="I3087"/>
      <c r="J3087"/>
    </row>
    <row r="3088" spans="9:10" x14ac:dyDescent="0.3">
      <c r="I3088"/>
      <c r="J3088"/>
    </row>
    <row r="3089" spans="9:10" x14ac:dyDescent="0.3">
      <c r="I3089"/>
      <c r="J3089"/>
    </row>
    <row r="3090" spans="9:10" x14ac:dyDescent="0.3">
      <c r="I3090"/>
      <c r="J3090"/>
    </row>
    <row r="3091" spans="9:10" x14ac:dyDescent="0.3">
      <c r="I3091"/>
      <c r="J3091"/>
    </row>
    <row r="3092" spans="9:10" x14ac:dyDescent="0.3">
      <c r="I3092"/>
      <c r="J3092"/>
    </row>
    <row r="3093" spans="9:10" x14ac:dyDescent="0.3">
      <c r="I3093"/>
      <c r="J3093"/>
    </row>
    <row r="3094" spans="9:10" x14ac:dyDescent="0.3">
      <c r="I3094"/>
      <c r="J3094"/>
    </row>
    <row r="3095" spans="9:10" x14ac:dyDescent="0.3">
      <c r="I3095"/>
      <c r="J3095"/>
    </row>
    <row r="3096" spans="9:10" x14ac:dyDescent="0.3">
      <c r="I3096"/>
      <c r="J3096"/>
    </row>
    <row r="3097" spans="9:10" x14ac:dyDescent="0.3">
      <c r="I3097"/>
      <c r="J3097"/>
    </row>
    <row r="3098" spans="9:10" x14ac:dyDescent="0.3">
      <c r="I3098"/>
      <c r="J3098"/>
    </row>
    <row r="3099" spans="9:10" x14ac:dyDescent="0.3">
      <c r="I3099"/>
      <c r="J3099"/>
    </row>
    <row r="3100" spans="9:10" x14ac:dyDescent="0.3">
      <c r="I3100"/>
      <c r="J3100"/>
    </row>
    <row r="3101" spans="9:10" x14ac:dyDescent="0.3">
      <c r="I3101"/>
      <c r="J3101"/>
    </row>
    <row r="3102" spans="9:10" x14ac:dyDescent="0.3">
      <c r="I3102"/>
      <c r="J3102"/>
    </row>
    <row r="3103" spans="9:10" x14ac:dyDescent="0.3">
      <c r="I3103"/>
      <c r="J3103"/>
    </row>
    <row r="3104" spans="9:10" x14ac:dyDescent="0.3">
      <c r="I3104"/>
      <c r="J3104"/>
    </row>
    <row r="3105" spans="9:10" x14ac:dyDescent="0.3">
      <c r="I3105"/>
      <c r="J3105"/>
    </row>
    <row r="3106" spans="9:10" x14ac:dyDescent="0.3">
      <c r="I3106"/>
      <c r="J3106"/>
    </row>
    <row r="3107" spans="9:10" x14ac:dyDescent="0.3">
      <c r="I3107"/>
      <c r="J3107"/>
    </row>
    <row r="3108" spans="9:10" x14ac:dyDescent="0.3">
      <c r="I3108"/>
      <c r="J3108"/>
    </row>
    <row r="3109" spans="9:10" x14ac:dyDescent="0.3">
      <c r="I3109"/>
      <c r="J3109"/>
    </row>
    <row r="3110" spans="9:10" x14ac:dyDescent="0.3">
      <c r="I3110"/>
      <c r="J3110"/>
    </row>
    <row r="3111" spans="9:10" x14ac:dyDescent="0.3">
      <c r="I3111"/>
      <c r="J3111"/>
    </row>
    <row r="3112" spans="9:10" x14ac:dyDescent="0.3">
      <c r="I3112"/>
      <c r="J3112"/>
    </row>
    <row r="3113" spans="9:10" x14ac:dyDescent="0.3">
      <c r="I3113"/>
      <c r="J3113"/>
    </row>
    <row r="3114" spans="9:10" x14ac:dyDescent="0.3">
      <c r="I3114"/>
      <c r="J3114"/>
    </row>
    <row r="3115" spans="9:10" x14ac:dyDescent="0.3">
      <c r="I3115"/>
      <c r="J3115"/>
    </row>
    <row r="3116" spans="9:10" x14ac:dyDescent="0.3">
      <c r="I3116"/>
      <c r="J3116"/>
    </row>
    <row r="3117" spans="9:10" x14ac:dyDescent="0.3">
      <c r="I3117"/>
      <c r="J3117"/>
    </row>
    <row r="3118" spans="9:10" x14ac:dyDescent="0.3">
      <c r="I3118"/>
      <c r="J3118"/>
    </row>
    <row r="3119" spans="9:10" x14ac:dyDescent="0.3">
      <c r="I3119"/>
      <c r="J3119"/>
    </row>
    <row r="3120" spans="9:10" x14ac:dyDescent="0.3">
      <c r="I3120"/>
      <c r="J3120"/>
    </row>
    <row r="3121" spans="9:10" x14ac:dyDescent="0.3">
      <c r="I3121"/>
      <c r="J3121"/>
    </row>
    <row r="3122" spans="9:10" x14ac:dyDescent="0.3">
      <c r="I3122"/>
      <c r="J3122"/>
    </row>
    <row r="3123" spans="9:10" x14ac:dyDescent="0.3">
      <c r="I3123"/>
      <c r="J3123"/>
    </row>
    <row r="3124" spans="9:10" x14ac:dyDescent="0.3">
      <c r="I3124"/>
      <c r="J3124"/>
    </row>
    <row r="3125" spans="9:10" x14ac:dyDescent="0.3">
      <c r="I3125"/>
      <c r="J3125"/>
    </row>
    <row r="3126" spans="9:10" x14ac:dyDescent="0.3">
      <c r="I3126"/>
      <c r="J3126"/>
    </row>
    <row r="3127" spans="9:10" x14ac:dyDescent="0.3">
      <c r="I3127"/>
      <c r="J3127"/>
    </row>
    <row r="3128" spans="9:10" x14ac:dyDescent="0.3">
      <c r="I3128"/>
      <c r="J3128"/>
    </row>
    <row r="3129" spans="9:10" x14ac:dyDescent="0.3">
      <c r="I3129"/>
      <c r="J3129"/>
    </row>
    <row r="3130" spans="9:10" x14ac:dyDescent="0.3">
      <c r="I3130"/>
      <c r="J3130"/>
    </row>
    <row r="3131" spans="9:10" x14ac:dyDescent="0.3">
      <c r="I3131"/>
      <c r="J3131"/>
    </row>
    <row r="3132" spans="9:10" x14ac:dyDescent="0.3">
      <c r="I3132"/>
      <c r="J3132"/>
    </row>
    <row r="3133" spans="9:10" x14ac:dyDescent="0.3">
      <c r="I3133"/>
      <c r="J3133"/>
    </row>
    <row r="3134" spans="9:10" x14ac:dyDescent="0.3">
      <c r="I3134"/>
      <c r="J3134"/>
    </row>
    <row r="3135" spans="9:10" x14ac:dyDescent="0.3">
      <c r="I3135"/>
      <c r="J3135"/>
    </row>
    <row r="3136" spans="9:10" x14ac:dyDescent="0.3">
      <c r="I3136"/>
      <c r="J3136"/>
    </row>
    <row r="3137" spans="9:10" x14ac:dyDescent="0.3">
      <c r="I3137"/>
      <c r="J3137"/>
    </row>
    <row r="3138" spans="9:10" x14ac:dyDescent="0.3">
      <c r="I3138"/>
      <c r="J3138"/>
    </row>
    <row r="3139" spans="9:10" x14ac:dyDescent="0.3">
      <c r="I3139"/>
      <c r="J3139"/>
    </row>
    <row r="3140" spans="9:10" x14ac:dyDescent="0.3">
      <c r="I3140"/>
      <c r="J3140"/>
    </row>
    <row r="3141" spans="9:10" x14ac:dyDescent="0.3">
      <c r="I3141"/>
      <c r="J3141"/>
    </row>
    <row r="3142" spans="9:10" x14ac:dyDescent="0.3">
      <c r="I3142"/>
      <c r="J3142"/>
    </row>
    <row r="3143" spans="9:10" x14ac:dyDescent="0.3">
      <c r="I3143"/>
      <c r="J3143"/>
    </row>
    <row r="3144" spans="9:10" x14ac:dyDescent="0.3">
      <c r="I3144"/>
      <c r="J3144"/>
    </row>
    <row r="3145" spans="9:10" x14ac:dyDescent="0.3">
      <c r="I3145"/>
      <c r="J3145"/>
    </row>
    <row r="3146" spans="9:10" x14ac:dyDescent="0.3">
      <c r="I3146"/>
      <c r="J3146"/>
    </row>
    <row r="3147" spans="9:10" x14ac:dyDescent="0.3">
      <c r="I3147"/>
      <c r="J3147"/>
    </row>
    <row r="3148" spans="9:10" x14ac:dyDescent="0.3">
      <c r="I3148"/>
      <c r="J3148"/>
    </row>
    <row r="3149" spans="9:10" x14ac:dyDescent="0.3">
      <c r="I3149"/>
      <c r="J3149"/>
    </row>
    <row r="3150" spans="9:10" x14ac:dyDescent="0.3">
      <c r="I3150"/>
      <c r="J3150"/>
    </row>
    <row r="3151" spans="9:10" x14ac:dyDescent="0.3">
      <c r="I3151"/>
      <c r="J3151"/>
    </row>
    <row r="3152" spans="9:10" x14ac:dyDescent="0.3">
      <c r="I3152"/>
      <c r="J3152"/>
    </row>
    <row r="3153" spans="9:10" x14ac:dyDescent="0.3">
      <c r="I3153"/>
      <c r="J3153"/>
    </row>
    <row r="3154" spans="9:10" x14ac:dyDescent="0.3">
      <c r="I3154"/>
      <c r="J3154"/>
    </row>
    <row r="3155" spans="9:10" x14ac:dyDescent="0.3">
      <c r="I3155"/>
      <c r="J3155"/>
    </row>
    <row r="3156" spans="9:10" x14ac:dyDescent="0.3">
      <c r="I3156"/>
      <c r="J3156"/>
    </row>
    <row r="3157" spans="9:10" x14ac:dyDescent="0.3">
      <c r="I3157"/>
      <c r="J3157"/>
    </row>
    <row r="3158" spans="9:10" x14ac:dyDescent="0.3">
      <c r="I3158"/>
      <c r="J3158"/>
    </row>
    <row r="3159" spans="9:10" x14ac:dyDescent="0.3">
      <c r="I3159"/>
      <c r="J3159"/>
    </row>
    <row r="3160" spans="9:10" x14ac:dyDescent="0.3">
      <c r="I3160"/>
      <c r="J3160"/>
    </row>
    <row r="3161" spans="9:10" x14ac:dyDescent="0.3">
      <c r="I3161"/>
      <c r="J3161"/>
    </row>
    <row r="3162" spans="9:10" x14ac:dyDescent="0.3">
      <c r="I3162"/>
      <c r="J3162"/>
    </row>
    <row r="3163" spans="9:10" x14ac:dyDescent="0.3">
      <c r="I3163"/>
      <c r="J3163"/>
    </row>
    <row r="3164" spans="9:10" x14ac:dyDescent="0.3">
      <c r="I3164"/>
      <c r="J3164"/>
    </row>
    <row r="3165" spans="9:10" x14ac:dyDescent="0.3">
      <c r="I3165"/>
      <c r="J3165"/>
    </row>
    <row r="3166" spans="9:10" x14ac:dyDescent="0.3">
      <c r="I3166"/>
      <c r="J3166"/>
    </row>
    <row r="3167" spans="9:10" x14ac:dyDescent="0.3">
      <c r="I3167"/>
      <c r="J3167"/>
    </row>
    <row r="3168" spans="9:10" x14ac:dyDescent="0.3">
      <c r="I3168"/>
      <c r="J3168"/>
    </row>
    <row r="3169" spans="9:10" x14ac:dyDescent="0.3">
      <c r="I3169"/>
      <c r="J3169"/>
    </row>
    <row r="3170" spans="9:10" x14ac:dyDescent="0.3">
      <c r="I3170"/>
      <c r="J3170"/>
    </row>
    <row r="3171" spans="9:10" x14ac:dyDescent="0.3">
      <c r="I3171"/>
      <c r="J3171"/>
    </row>
    <row r="3172" spans="9:10" x14ac:dyDescent="0.3">
      <c r="I3172"/>
      <c r="J3172"/>
    </row>
    <row r="3173" spans="9:10" x14ac:dyDescent="0.3">
      <c r="I3173"/>
      <c r="J3173"/>
    </row>
    <row r="3174" spans="9:10" x14ac:dyDescent="0.3">
      <c r="I3174"/>
      <c r="J3174"/>
    </row>
    <row r="3175" spans="9:10" x14ac:dyDescent="0.3">
      <c r="I3175"/>
      <c r="J3175"/>
    </row>
    <row r="3176" spans="9:10" x14ac:dyDescent="0.3">
      <c r="I3176"/>
      <c r="J3176"/>
    </row>
    <row r="3177" spans="9:10" x14ac:dyDescent="0.3">
      <c r="I3177"/>
      <c r="J3177"/>
    </row>
    <row r="3178" spans="9:10" x14ac:dyDescent="0.3">
      <c r="I3178"/>
      <c r="J3178"/>
    </row>
    <row r="3179" spans="9:10" x14ac:dyDescent="0.3">
      <c r="I3179"/>
      <c r="J3179"/>
    </row>
    <row r="3180" spans="9:10" x14ac:dyDescent="0.3">
      <c r="I3180"/>
      <c r="J3180"/>
    </row>
    <row r="3181" spans="9:10" x14ac:dyDescent="0.3">
      <c r="I3181"/>
      <c r="J3181"/>
    </row>
    <row r="3182" spans="9:10" x14ac:dyDescent="0.3">
      <c r="I3182"/>
      <c r="J3182"/>
    </row>
    <row r="3183" spans="9:10" x14ac:dyDescent="0.3">
      <c r="I3183"/>
      <c r="J3183"/>
    </row>
    <row r="3184" spans="9:10" x14ac:dyDescent="0.3">
      <c r="I3184"/>
      <c r="J3184"/>
    </row>
    <row r="3185" spans="9:10" x14ac:dyDescent="0.3">
      <c r="I3185"/>
      <c r="J3185"/>
    </row>
    <row r="3186" spans="9:10" x14ac:dyDescent="0.3">
      <c r="I3186"/>
      <c r="J3186"/>
    </row>
    <row r="3187" spans="9:10" x14ac:dyDescent="0.3">
      <c r="I3187"/>
      <c r="J3187"/>
    </row>
    <row r="3188" spans="9:10" x14ac:dyDescent="0.3">
      <c r="I3188"/>
      <c r="J3188"/>
    </row>
    <row r="3189" spans="9:10" x14ac:dyDescent="0.3">
      <c r="I3189"/>
      <c r="J3189"/>
    </row>
    <row r="3190" spans="9:10" x14ac:dyDescent="0.3">
      <c r="I3190"/>
      <c r="J3190"/>
    </row>
    <row r="3191" spans="9:10" x14ac:dyDescent="0.3">
      <c r="I3191"/>
      <c r="J3191"/>
    </row>
    <row r="3192" spans="9:10" x14ac:dyDescent="0.3">
      <c r="I3192"/>
      <c r="J3192"/>
    </row>
    <row r="3193" spans="9:10" x14ac:dyDescent="0.3">
      <c r="I3193"/>
      <c r="J3193"/>
    </row>
    <row r="3194" spans="9:10" x14ac:dyDescent="0.3">
      <c r="I3194"/>
      <c r="J3194"/>
    </row>
    <row r="3195" spans="9:10" x14ac:dyDescent="0.3">
      <c r="I3195"/>
      <c r="J3195"/>
    </row>
    <row r="3196" spans="9:10" x14ac:dyDescent="0.3">
      <c r="I3196"/>
      <c r="J3196"/>
    </row>
    <row r="3197" spans="9:10" x14ac:dyDescent="0.3">
      <c r="I3197"/>
      <c r="J3197"/>
    </row>
    <row r="3198" spans="9:10" x14ac:dyDescent="0.3">
      <c r="I3198"/>
      <c r="J3198"/>
    </row>
    <row r="3199" spans="9:10" x14ac:dyDescent="0.3">
      <c r="I3199"/>
      <c r="J3199"/>
    </row>
    <row r="3200" spans="9:10" x14ac:dyDescent="0.3">
      <c r="I3200"/>
      <c r="J3200"/>
    </row>
    <row r="3201" spans="9:10" x14ac:dyDescent="0.3">
      <c r="I3201"/>
      <c r="J3201"/>
    </row>
    <row r="3202" spans="9:10" x14ac:dyDescent="0.3">
      <c r="I3202"/>
      <c r="J3202"/>
    </row>
    <row r="3203" spans="9:10" x14ac:dyDescent="0.3">
      <c r="I3203"/>
      <c r="J3203"/>
    </row>
    <row r="3204" spans="9:10" x14ac:dyDescent="0.3">
      <c r="I3204"/>
      <c r="J3204"/>
    </row>
    <row r="3205" spans="9:10" x14ac:dyDescent="0.3">
      <c r="I3205"/>
      <c r="J3205"/>
    </row>
    <row r="3206" spans="9:10" x14ac:dyDescent="0.3">
      <c r="I3206"/>
      <c r="J3206"/>
    </row>
    <row r="3207" spans="9:10" x14ac:dyDescent="0.3">
      <c r="I3207"/>
      <c r="J3207"/>
    </row>
    <row r="3208" spans="9:10" x14ac:dyDescent="0.3">
      <c r="I3208"/>
      <c r="J3208"/>
    </row>
    <row r="3209" spans="9:10" x14ac:dyDescent="0.3">
      <c r="I3209"/>
      <c r="J3209"/>
    </row>
    <row r="3210" spans="9:10" x14ac:dyDescent="0.3">
      <c r="I3210"/>
      <c r="J3210"/>
    </row>
    <row r="3211" spans="9:10" x14ac:dyDescent="0.3">
      <c r="I3211"/>
      <c r="J3211"/>
    </row>
    <row r="3212" spans="9:10" x14ac:dyDescent="0.3">
      <c r="I3212"/>
      <c r="J3212"/>
    </row>
    <row r="3213" spans="9:10" x14ac:dyDescent="0.3">
      <c r="I3213"/>
      <c r="J3213"/>
    </row>
    <row r="3214" spans="9:10" x14ac:dyDescent="0.3">
      <c r="I3214"/>
      <c r="J3214"/>
    </row>
    <row r="3215" spans="9:10" x14ac:dyDescent="0.3">
      <c r="I3215"/>
      <c r="J3215"/>
    </row>
    <row r="3216" spans="9:10" x14ac:dyDescent="0.3">
      <c r="I3216"/>
      <c r="J3216"/>
    </row>
    <row r="3217" spans="9:10" x14ac:dyDescent="0.3">
      <c r="I3217"/>
      <c r="J3217"/>
    </row>
    <row r="3218" spans="9:10" x14ac:dyDescent="0.3">
      <c r="I3218"/>
      <c r="J3218"/>
    </row>
    <row r="3219" spans="9:10" x14ac:dyDescent="0.3">
      <c r="I3219"/>
      <c r="J3219"/>
    </row>
    <row r="3220" spans="9:10" x14ac:dyDescent="0.3">
      <c r="I3220"/>
      <c r="J3220"/>
    </row>
    <row r="3221" spans="9:10" x14ac:dyDescent="0.3">
      <c r="I3221"/>
      <c r="J3221"/>
    </row>
    <row r="3222" spans="9:10" x14ac:dyDescent="0.3">
      <c r="I3222"/>
      <c r="J3222"/>
    </row>
    <row r="3223" spans="9:10" x14ac:dyDescent="0.3">
      <c r="I3223"/>
      <c r="J3223"/>
    </row>
    <row r="3224" spans="9:10" x14ac:dyDescent="0.3">
      <c r="I3224"/>
      <c r="J3224"/>
    </row>
    <row r="3225" spans="9:10" x14ac:dyDescent="0.3">
      <c r="I3225"/>
      <c r="J3225"/>
    </row>
    <row r="3226" spans="9:10" x14ac:dyDescent="0.3">
      <c r="I3226"/>
      <c r="J3226"/>
    </row>
    <row r="3227" spans="9:10" x14ac:dyDescent="0.3">
      <c r="I3227"/>
      <c r="J3227"/>
    </row>
    <row r="3228" spans="9:10" x14ac:dyDescent="0.3">
      <c r="I3228"/>
      <c r="J3228"/>
    </row>
    <row r="3229" spans="9:10" x14ac:dyDescent="0.3">
      <c r="I3229"/>
      <c r="J3229"/>
    </row>
    <row r="3230" spans="9:10" x14ac:dyDescent="0.3">
      <c r="I3230"/>
      <c r="J3230"/>
    </row>
    <row r="3231" spans="9:10" x14ac:dyDescent="0.3">
      <c r="I3231"/>
      <c r="J3231"/>
    </row>
    <row r="3232" spans="9:10" x14ac:dyDescent="0.3">
      <c r="I3232"/>
      <c r="J3232"/>
    </row>
    <row r="3233" spans="9:10" x14ac:dyDescent="0.3">
      <c r="I3233"/>
      <c r="J3233"/>
    </row>
    <row r="3234" spans="9:10" x14ac:dyDescent="0.3">
      <c r="I3234"/>
      <c r="J3234"/>
    </row>
    <row r="3235" spans="9:10" x14ac:dyDescent="0.3">
      <c r="I3235"/>
      <c r="J3235"/>
    </row>
    <row r="3236" spans="9:10" x14ac:dyDescent="0.3">
      <c r="I3236"/>
      <c r="J3236"/>
    </row>
    <row r="3237" spans="9:10" x14ac:dyDescent="0.3">
      <c r="I3237"/>
      <c r="J3237"/>
    </row>
    <row r="3238" spans="9:10" x14ac:dyDescent="0.3">
      <c r="I3238"/>
      <c r="J3238"/>
    </row>
    <row r="3239" spans="9:10" x14ac:dyDescent="0.3">
      <c r="I3239"/>
      <c r="J3239"/>
    </row>
    <row r="3240" spans="9:10" x14ac:dyDescent="0.3">
      <c r="I3240"/>
      <c r="J3240"/>
    </row>
    <row r="3241" spans="9:10" x14ac:dyDescent="0.3">
      <c r="I3241"/>
      <c r="J3241"/>
    </row>
    <row r="3242" spans="9:10" x14ac:dyDescent="0.3">
      <c r="I3242"/>
      <c r="J3242"/>
    </row>
    <row r="3243" spans="9:10" x14ac:dyDescent="0.3">
      <c r="I3243"/>
      <c r="J3243"/>
    </row>
    <row r="3244" spans="9:10" x14ac:dyDescent="0.3">
      <c r="I3244"/>
      <c r="J3244"/>
    </row>
    <row r="3245" spans="9:10" x14ac:dyDescent="0.3">
      <c r="I3245"/>
      <c r="J3245"/>
    </row>
    <row r="3246" spans="9:10" x14ac:dyDescent="0.3">
      <c r="I3246"/>
      <c r="J3246"/>
    </row>
    <row r="3247" spans="9:10" x14ac:dyDescent="0.3">
      <c r="I3247"/>
      <c r="J3247"/>
    </row>
    <row r="3248" spans="9:10" x14ac:dyDescent="0.3">
      <c r="I3248"/>
      <c r="J3248"/>
    </row>
    <row r="3249" spans="9:10" x14ac:dyDescent="0.3">
      <c r="I3249"/>
      <c r="J3249"/>
    </row>
    <row r="3250" spans="9:10" x14ac:dyDescent="0.3">
      <c r="I3250"/>
      <c r="J3250"/>
    </row>
    <row r="3251" spans="9:10" x14ac:dyDescent="0.3">
      <c r="I3251"/>
      <c r="J3251"/>
    </row>
    <row r="3252" spans="9:10" x14ac:dyDescent="0.3">
      <c r="I3252"/>
      <c r="J3252"/>
    </row>
    <row r="3253" spans="9:10" x14ac:dyDescent="0.3">
      <c r="I3253"/>
      <c r="J3253"/>
    </row>
    <row r="3254" spans="9:10" x14ac:dyDescent="0.3">
      <c r="I3254"/>
      <c r="J3254"/>
    </row>
    <row r="3255" spans="9:10" x14ac:dyDescent="0.3">
      <c r="I3255"/>
      <c r="J3255"/>
    </row>
    <row r="3256" spans="9:10" x14ac:dyDescent="0.3">
      <c r="I3256"/>
      <c r="J3256"/>
    </row>
    <row r="3257" spans="9:10" x14ac:dyDescent="0.3">
      <c r="I3257"/>
      <c r="J3257"/>
    </row>
    <row r="3258" spans="9:10" x14ac:dyDescent="0.3">
      <c r="I3258"/>
      <c r="J3258"/>
    </row>
    <row r="3259" spans="9:10" x14ac:dyDescent="0.3">
      <c r="I3259"/>
      <c r="J3259"/>
    </row>
    <row r="3260" spans="9:10" x14ac:dyDescent="0.3">
      <c r="I3260"/>
      <c r="J3260"/>
    </row>
    <row r="3261" spans="9:10" x14ac:dyDescent="0.3">
      <c r="I3261"/>
      <c r="J3261"/>
    </row>
    <row r="3262" spans="9:10" x14ac:dyDescent="0.3">
      <c r="I3262"/>
      <c r="J3262"/>
    </row>
    <row r="3263" spans="9:10" x14ac:dyDescent="0.3">
      <c r="I3263"/>
      <c r="J3263"/>
    </row>
    <row r="3264" spans="9:10" x14ac:dyDescent="0.3">
      <c r="I3264"/>
      <c r="J3264"/>
    </row>
    <row r="3265" spans="9:10" x14ac:dyDescent="0.3">
      <c r="I3265"/>
      <c r="J3265"/>
    </row>
    <row r="3266" spans="9:10" x14ac:dyDescent="0.3">
      <c r="I3266"/>
      <c r="J3266"/>
    </row>
    <row r="3267" spans="9:10" x14ac:dyDescent="0.3">
      <c r="I3267"/>
      <c r="J3267"/>
    </row>
    <row r="3268" spans="9:10" x14ac:dyDescent="0.3">
      <c r="I3268"/>
      <c r="J3268"/>
    </row>
    <row r="3269" spans="9:10" x14ac:dyDescent="0.3">
      <c r="I3269"/>
      <c r="J3269"/>
    </row>
    <row r="3270" spans="9:10" x14ac:dyDescent="0.3">
      <c r="I3270"/>
      <c r="J3270"/>
    </row>
    <row r="3271" spans="9:10" x14ac:dyDescent="0.3">
      <c r="I3271"/>
      <c r="J3271"/>
    </row>
    <row r="3272" spans="9:10" x14ac:dyDescent="0.3">
      <c r="I3272"/>
      <c r="J3272"/>
    </row>
    <row r="3273" spans="9:10" x14ac:dyDescent="0.3">
      <c r="I3273"/>
      <c r="J3273"/>
    </row>
    <row r="3274" spans="9:10" x14ac:dyDescent="0.3">
      <c r="I3274"/>
      <c r="J3274"/>
    </row>
    <row r="3275" spans="9:10" x14ac:dyDescent="0.3">
      <c r="I3275"/>
      <c r="J3275"/>
    </row>
    <row r="3276" spans="9:10" x14ac:dyDescent="0.3">
      <c r="I3276"/>
      <c r="J3276"/>
    </row>
    <row r="3277" spans="9:10" x14ac:dyDescent="0.3">
      <c r="I3277"/>
      <c r="J3277"/>
    </row>
    <row r="3278" spans="9:10" x14ac:dyDescent="0.3">
      <c r="I3278"/>
      <c r="J3278"/>
    </row>
    <row r="3279" spans="9:10" x14ac:dyDescent="0.3">
      <c r="I3279"/>
      <c r="J3279"/>
    </row>
    <row r="3280" spans="9:10" x14ac:dyDescent="0.3">
      <c r="I3280"/>
      <c r="J3280"/>
    </row>
    <row r="3281" spans="9:10" x14ac:dyDescent="0.3">
      <c r="I3281"/>
      <c r="J3281"/>
    </row>
    <row r="3282" spans="9:10" x14ac:dyDescent="0.3">
      <c r="I3282"/>
      <c r="J3282"/>
    </row>
    <row r="3283" spans="9:10" x14ac:dyDescent="0.3">
      <c r="I3283"/>
      <c r="J3283"/>
    </row>
    <row r="3284" spans="9:10" x14ac:dyDescent="0.3">
      <c r="I3284"/>
      <c r="J3284"/>
    </row>
    <row r="3285" spans="9:10" x14ac:dyDescent="0.3">
      <c r="I3285"/>
      <c r="J3285"/>
    </row>
    <row r="3286" spans="9:10" x14ac:dyDescent="0.3">
      <c r="I3286"/>
      <c r="J3286"/>
    </row>
    <row r="3287" spans="9:10" x14ac:dyDescent="0.3">
      <c r="I3287"/>
      <c r="J3287"/>
    </row>
    <row r="3288" spans="9:10" x14ac:dyDescent="0.3">
      <c r="I3288"/>
      <c r="J3288"/>
    </row>
    <row r="3289" spans="9:10" x14ac:dyDescent="0.3">
      <c r="I3289"/>
      <c r="J3289"/>
    </row>
    <row r="3290" spans="9:10" x14ac:dyDescent="0.3">
      <c r="I3290"/>
      <c r="J3290"/>
    </row>
    <row r="3291" spans="9:10" x14ac:dyDescent="0.3">
      <c r="I3291"/>
      <c r="J3291"/>
    </row>
    <row r="3292" spans="9:10" x14ac:dyDescent="0.3">
      <c r="I3292"/>
      <c r="J3292"/>
    </row>
    <row r="3293" spans="9:10" x14ac:dyDescent="0.3">
      <c r="I3293"/>
      <c r="J3293"/>
    </row>
    <row r="3294" spans="9:10" x14ac:dyDescent="0.3">
      <c r="I3294"/>
      <c r="J3294"/>
    </row>
    <row r="3295" spans="9:10" x14ac:dyDescent="0.3">
      <c r="I3295"/>
      <c r="J3295"/>
    </row>
    <row r="3296" spans="9:10" x14ac:dyDescent="0.3">
      <c r="I3296"/>
      <c r="J3296"/>
    </row>
    <row r="3297" spans="9:10" x14ac:dyDescent="0.3">
      <c r="I3297"/>
      <c r="J3297"/>
    </row>
    <row r="3298" spans="9:10" x14ac:dyDescent="0.3">
      <c r="I3298"/>
      <c r="J3298"/>
    </row>
    <row r="3299" spans="9:10" x14ac:dyDescent="0.3">
      <c r="I3299"/>
      <c r="J3299"/>
    </row>
    <row r="3300" spans="9:10" x14ac:dyDescent="0.3">
      <c r="I3300"/>
      <c r="J3300"/>
    </row>
    <row r="3301" spans="9:10" x14ac:dyDescent="0.3">
      <c r="I3301"/>
      <c r="J3301"/>
    </row>
    <row r="3302" spans="9:10" x14ac:dyDescent="0.3">
      <c r="I3302"/>
      <c r="J3302"/>
    </row>
    <row r="3303" spans="9:10" x14ac:dyDescent="0.3">
      <c r="I3303"/>
      <c r="J3303"/>
    </row>
    <row r="3304" spans="9:10" x14ac:dyDescent="0.3">
      <c r="I3304"/>
      <c r="J3304"/>
    </row>
    <row r="3305" spans="9:10" x14ac:dyDescent="0.3">
      <c r="I3305"/>
      <c r="J3305"/>
    </row>
    <row r="3306" spans="9:10" x14ac:dyDescent="0.3">
      <c r="I3306"/>
      <c r="J3306"/>
    </row>
    <row r="3307" spans="9:10" x14ac:dyDescent="0.3">
      <c r="I3307"/>
      <c r="J3307"/>
    </row>
    <row r="3308" spans="9:10" x14ac:dyDescent="0.3">
      <c r="I3308"/>
      <c r="J3308"/>
    </row>
    <row r="3309" spans="9:10" x14ac:dyDescent="0.3">
      <c r="I3309"/>
      <c r="J3309"/>
    </row>
    <row r="3310" spans="9:10" x14ac:dyDescent="0.3">
      <c r="I3310"/>
      <c r="J3310"/>
    </row>
    <row r="3311" spans="9:10" x14ac:dyDescent="0.3">
      <c r="I3311"/>
      <c r="J3311"/>
    </row>
    <row r="3312" spans="9:10" x14ac:dyDescent="0.3">
      <c r="I3312"/>
      <c r="J3312"/>
    </row>
    <row r="3313" spans="9:10" x14ac:dyDescent="0.3">
      <c r="I3313"/>
      <c r="J3313"/>
    </row>
    <row r="3314" spans="9:10" x14ac:dyDescent="0.3">
      <c r="I3314"/>
      <c r="J3314"/>
    </row>
    <row r="3315" spans="9:10" x14ac:dyDescent="0.3">
      <c r="I3315"/>
      <c r="J3315"/>
    </row>
    <row r="3316" spans="9:10" x14ac:dyDescent="0.3">
      <c r="I3316"/>
      <c r="J3316"/>
    </row>
    <row r="3317" spans="9:10" x14ac:dyDescent="0.3">
      <c r="I3317"/>
      <c r="J3317"/>
    </row>
    <row r="3318" spans="9:10" x14ac:dyDescent="0.3">
      <c r="I3318"/>
      <c r="J3318"/>
    </row>
    <row r="3319" spans="9:10" x14ac:dyDescent="0.3">
      <c r="I3319"/>
      <c r="J3319"/>
    </row>
    <row r="3320" spans="9:10" x14ac:dyDescent="0.3">
      <c r="I3320"/>
      <c r="J3320"/>
    </row>
    <row r="3321" spans="9:10" x14ac:dyDescent="0.3">
      <c r="I3321"/>
      <c r="J3321"/>
    </row>
    <row r="3322" spans="9:10" x14ac:dyDescent="0.3">
      <c r="I3322"/>
      <c r="J3322"/>
    </row>
    <row r="3323" spans="9:10" x14ac:dyDescent="0.3">
      <c r="I3323"/>
      <c r="J3323"/>
    </row>
    <row r="3324" spans="9:10" x14ac:dyDescent="0.3">
      <c r="I3324"/>
      <c r="J3324"/>
    </row>
    <row r="3325" spans="9:10" x14ac:dyDescent="0.3">
      <c r="I3325"/>
      <c r="J3325"/>
    </row>
    <row r="3326" spans="9:10" x14ac:dyDescent="0.3">
      <c r="I3326"/>
      <c r="J3326"/>
    </row>
    <row r="3327" spans="9:10" x14ac:dyDescent="0.3">
      <c r="I3327"/>
      <c r="J3327"/>
    </row>
    <row r="3328" spans="9:10" x14ac:dyDescent="0.3">
      <c r="I3328"/>
      <c r="J3328"/>
    </row>
    <row r="3329" spans="9:10" x14ac:dyDescent="0.3">
      <c r="I3329"/>
      <c r="J3329"/>
    </row>
    <row r="3330" spans="9:10" x14ac:dyDescent="0.3">
      <c r="I3330"/>
      <c r="J3330"/>
    </row>
    <row r="3331" spans="9:10" x14ac:dyDescent="0.3">
      <c r="I3331"/>
      <c r="J3331"/>
    </row>
    <row r="3332" spans="9:10" x14ac:dyDescent="0.3">
      <c r="I3332"/>
      <c r="J3332"/>
    </row>
    <row r="3333" spans="9:10" x14ac:dyDescent="0.3">
      <c r="I3333"/>
      <c r="J3333"/>
    </row>
    <row r="3334" spans="9:10" x14ac:dyDescent="0.3">
      <c r="I3334"/>
      <c r="J3334"/>
    </row>
    <row r="3335" spans="9:10" x14ac:dyDescent="0.3">
      <c r="I3335"/>
      <c r="J3335"/>
    </row>
    <row r="3336" spans="9:10" x14ac:dyDescent="0.3">
      <c r="I3336"/>
      <c r="J3336"/>
    </row>
    <row r="3337" spans="9:10" x14ac:dyDescent="0.3">
      <c r="I3337"/>
      <c r="J3337"/>
    </row>
    <row r="3338" spans="9:10" x14ac:dyDescent="0.3">
      <c r="I3338"/>
      <c r="J3338"/>
    </row>
    <row r="3339" spans="9:10" x14ac:dyDescent="0.3">
      <c r="I3339"/>
      <c r="J3339"/>
    </row>
    <row r="3340" spans="9:10" x14ac:dyDescent="0.3">
      <c r="I3340"/>
      <c r="J3340"/>
    </row>
    <row r="3341" spans="9:10" x14ac:dyDescent="0.3">
      <c r="I3341"/>
      <c r="J3341"/>
    </row>
    <row r="3342" spans="9:10" x14ac:dyDescent="0.3">
      <c r="I3342"/>
      <c r="J3342"/>
    </row>
    <row r="3343" spans="9:10" x14ac:dyDescent="0.3">
      <c r="I3343"/>
      <c r="J3343"/>
    </row>
    <row r="3344" spans="9:10" x14ac:dyDescent="0.3">
      <c r="I3344"/>
      <c r="J3344"/>
    </row>
    <row r="3345" spans="9:10" x14ac:dyDescent="0.3">
      <c r="I3345"/>
      <c r="J3345"/>
    </row>
    <row r="3346" spans="9:10" x14ac:dyDescent="0.3">
      <c r="I3346"/>
      <c r="J3346"/>
    </row>
    <row r="3347" spans="9:10" x14ac:dyDescent="0.3">
      <c r="I3347"/>
      <c r="J3347"/>
    </row>
    <row r="3348" spans="9:10" x14ac:dyDescent="0.3">
      <c r="I3348"/>
      <c r="J3348"/>
    </row>
    <row r="3349" spans="9:10" x14ac:dyDescent="0.3">
      <c r="I3349"/>
      <c r="J3349"/>
    </row>
    <row r="3350" spans="9:10" x14ac:dyDescent="0.3">
      <c r="I3350"/>
      <c r="J3350"/>
    </row>
    <row r="3351" spans="9:10" x14ac:dyDescent="0.3">
      <c r="I3351"/>
      <c r="J3351"/>
    </row>
    <row r="3352" spans="9:10" x14ac:dyDescent="0.3">
      <c r="I3352"/>
      <c r="J3352"/>
    </row>
    <row r="3353" spans="9:10" x14ac:dyDescent="0.3">
      <c r="I3353"/>
      <c r="J3353"/>
    </row>
    <row r="3354" spans="9:10" x14ac:dyDescent="0.3">
      <c r="I3354"/>
      <c r="J3354"/>
    </row>
    <row r="3355" spans="9:10" x14ac:dyDescent="0.3">
      <c r="I3355"/>
      <c r="J3355"/>
    </row>
    <row r="3356" spans="9:10" x14ac:dyDescent="0.3">
      <c r="I3356"/>
      <c r="J3356"/>
    </row>
    <row r="3357" spans="9:10" x14ac:dyDescent="0.3">
      <c r="I3357"/>
      <c r="J3357"/>
    </row>
    <row r="3358" spans="9:10" x14ac:dyDescent="0.3">
      <c r="I3358"/>
      <c r="J3358"/>
    </row>
    <row r="3359" spans="9:10" x14ac:dyDescent="0.3">
      <c r="I3359"/>
      <c r="J3359"/>
    </row>
    <row r="3360" spans="9:10" x14ac:dyDescent="0.3">
      <c r="I3360"/>
      <c r="J3360"/>
    </row>
    <row r="3361" spans="9:10" x14ac:dyDescent="0.3">
      <c r="I3361"/>
      <c r="J3361"/>
    </row>
    <row r="3362" spans="9:10" x14ac:dyDescent="0.3">
      <c r="I3362"/>
      <c r="J3362"/>
    </row>
    <row r="3363" spans="9:10" x14ac:dyDescent="0.3">
      <c r="I3363"/>
      <c r="J3363"/>
    </row>
    <row r="3364" spans="9:10" x14ac:dyDescent="0.3">
      <c r="I3364"/>
      <c r="J3364"/>
    </row>
    <row r="3365" spans="9:10" x14ac:dyDescent="0.3">
      <c r="I3365"/>
      <c r="J3365"/>
    </row>
    <row r="3366" spans="9:10" x14ac:dyDescent="0.3">
      <c r="I3366"/>
      <c r="J3366"/>
    </row>
    <row r="3367" spans="9:10" x14ac:dyDescent="0.3">
      <c r="I3367"/>
      <c r="J3367"/>
    </row>
    <row r="3368" spans="9:10" x14ac:dyDescent="0.3">
      <c r="I3368"/>
      <c r="J3368"/>
    </row>
    <row r="3369" spans="9:10" x14ac:dyDescent="0.3">
      <c r="I3369"/>
      <c r="J3369"/>
    </row>
    <row r="3370" spans="9:10" x14ac:dyDescent="0.3">
      <c r="I3370"/>
      <c r="J3370"/>
    </row>
    <row r="3371" spans="9:10" x14ac:dyDescent="0.3">
      <c r="I3371"/>
      <c r="J3371"/>
    </row>
    <row r="3372" spans="9:10" x14ac:dyDescent="0.3">
      <c r="I3372"/>
      <c r="J3372"/>
    </row>
    <row r="3373" spans="9:10" x14ac:dyDescent="0.3">
      <c r="I3373"/>
      <c r="J3373"/>
    </row>
    <row r="3374" spans="9:10" x14ac:dyDescent="0.3">
      <c r="I3374"/>
      <c r="J3374"/>
    </row>
    <row r="3375" spans="9:10" x14ac:dyDescent="0.3">
      <c r="I3375"/>
      <c r="J3375"/>
    </row>
    <row r="3376" spans="9:10" x14ac:dyDescent="0.3">
      <c r="I3376"/>
      <c r="J3376"/>
    </row>
    <row r="3377" spans="9:10" x14ac:dyDescent="0.3">
      <c r="I3377"/>
      <c r="J3377"/>
    </row>
    <row r="3378" spans="9:10" x14ac:dyDescent="0.3">
      <c r="I3378"/>
      <c r="J3378"/>
    </row>
    <row r="3379" spans="9:10" x14ac:dyDescent="0.3">
      <c r="I3379"/>
      <c r="J3379"/>
    </row>
    <row r="3380" spans="9:10" x14ac:dyDescent="0.3">
      <c r="I3380"/>
      <c r="J3380"/>
    </row>
    <row r="3381" spans="9:10" x14ac:dyDescent="0.3">
      <c r="I3381"/>
      <c r="J3381"/>
    </row>
    <row r="3382" spans="9:10" x14ac:dyDescent="0.3">
      <c r="I3382"/>
      <c r="J3382"/>
    </row>
    <row r="3383" spans="9:10" x14ac:dyDescent="0.3">
      <c r="I3383"/>
      <c r="J3383"/>
    </row>
    <row r="3384" spans="9:10" x14ac:dyDescent="0.3">
      <c r="I3384"/>
      <c r="J3384"/>
    </row>
    <row r="3385" spans="9:10" x14ac:dyDescent="0.3">
      <c r="I3385"/>
      <c r="J3385"/>
    </row>
    <row r="3386" spans="9:10" x14ac:dyDescent="0.3">
      <c r="I3386"/>
      <c r="J3386"/>
    </row>
    <row r="3387" spans="9:10" x14ac:dyDescent="0.3">
      <c r="I3387"/>
      <c r="J3387"/>
    </row>
    <row r="3388" spans="9:10" x14ac:dyDescent="0.3">
      <c r="I3388"/>
      <c r="J3388"/>
    </row>
    <row r="3389" spans="9:10" x14ac:dyDescent="0.3">
      <c r="I3389"/>
      <c r="J3389"/>
    </row>
    <row r="3390" spans="9:10" x14ac:dyDescent="0.3">
      <c r="I3390"/>
      <c r="J3390"/>
    </row>
    <row r="3391" spans="9:10" x14ac:dyDescent="0.3">
      <c r="I3391"/>
      <c r="J3391"/>
    </row>
    <row r="3392" spans="9:10" x14ac:dyDescent="0.3">
      <c r="I3392"/>
      <c r="J3392"/>
    </row>
    <row r="3393" spans="9:10" x14ac:dyDescent="0.3">
      <c r="I3393"/>
      <c r="J3393"/>
    </row>
    <row r="3394" spans="9:10" x14ac:dyDescent="0.3">
      <c r="I3394"/>
      <c r="J3394"/>
    </row>
    <row r="3395" spans="9:10" x14ac:dyDescent="0.3">
      <c r="I3395"/>
      <c r="J3395"/>
    </row>
    <row r="3396" spans="9:10" x14ac:dyDescent="0.3">
      <c r="I3396"/>
      <c r="J3396"/>
    </row>
    <row r="3397" spans="9:10" x14ac:dyDescent="0.3">
      <c r="I3397"/>
      <c r="J3397"/>
    </row>
    <row r="3398" spans="9:10" x14ac:dyDescent="0.3">
      <c r="I3398"/>
      <c r="J3398"/>
    </row>
    <row r="3399" spans="9:10" x14ac:dyDescent="0.3">
      <c r="I3399"/>
      <c r="J3399"/>
    </row>
    <row r="3400" spans="9:10" x14ac:dyDescent="0.3">
      <c r="I3400"/>
      <c r="J3400"/>
    </row>
    <row r="3401" spans="9:10" x14ac:dyDescent="0.3">
      <c r="I3401"/>
      <c r="J3401"/>
    </row>
    <row r="3402" spans="9:10" x14ac:dyDescent="0.3">
      <c r="I3402"/>
      <c r="J3402"/>
    </row>
    <row r="3403" spans="9:10" x14ac:dyDescent="0.3">
      <c r="I3403"/>
      <c r="J3403"/>
    </row>
    <row r="3404" spans="9:10" x14ac:dyDescent="0.3">
      <c r="I3404"/>
      <c r="J3404"/>
    </row>
    <row r="3405" spans="9:10" x14ac:dyDescent="0.3">
      <c r="I3405"/>
      <c r="J3405"/>
    </row>
    <row r="3406" spans="9:10" x14ac:dyDescent="0.3">
      <c r="I3406"/>
      <c r="J3406"/>
    </row>
    <row r="3407" spans="9:10" x14ac:dyDescent="0.3">
      <c r="I3407"/>
      <c r="J3407"/>
    </row>
    <row r="3408" spans="9:10" x14ac:dyDescent="0.3">
      <c r="I3408"/>
      <c r="J3408"/>
    </row>
    <row r="3409" spans="9:10" x14ac:dyDescent="0.3">
      <c r="I3409"/>
      <c r="J3409"/>
    </row>
    <row r="3410" spans="9:10" x14ac:dyDescent="0.3">
      <c r="I3410"/>
      <c r="J3410"/>
    </row>
    <row r="3411" spans="9:10" x14ac:dyDescent="0.3">
      <c r="I3411"/>
      <c r="J3411"/>
    </row>
    <row r="3412" spans="9:10" x14ac:dyDescent="0.3">
      <c r="I3412"/>
      <c r="J3412"/>
    </row>
    <row r="3413" spans="9:10" x14ac:dyDescent="0.3">
      <c r="I3413"/>
      <c r="J3413"/>
    </row>
    <row r="3414" spans="9:10" x14ac:dyDescent="0.3">
      <c r="I3414"/>
      <c r="J3414"/>
    </row>
    <row r="3415" spans="9:10" x14ac:dyDescent="0.3">
      <c r="I3415"/>
      <c r="J3415"/>
    </row>
    <row r="3416" spans="9:10" x14ac:dyDescent="0.3">
      <c r="I3416"/>
      <c r="J3416"/>
    </row>
    <row r="3417" spans="9:10" x14ac:dyDescent="0.3">
      <c r="I3417"/>
      <c r="J3417"/>
    </row>
    <row r="3418" spans="9:10" x14ac:dyDescent="0.3">
      <c r="I3418"/>
      <c r="J3418"/>
    </row>
    <row r="3419" spans="9:10" x14ac:dyDescent="0.3">
      <c r="I3419"/>
      <c r="J3419"/>
    </row>
    <row r="3420" spans="9:10" x14ac:dyDescent="0.3">
      <c r="I3420"/>
      <c r="J3420"/>
    </row>
    <row r="3421" spans="9:10" x14ac:dyDescent="0.3">
      <c r="I3421"/>
      <c r="J3421"/>
    </row>
    <row r="3422" spans="9:10" x14ac:dyDescent="0.3">
      <c r="I3422"/>
      <c r="J3422"/>
    </row>
    <row r="3423" spans="9:10" x14ac:dyDescent="0.3">
      <c r="I3423"/>
      <c r="J3423"/>
    </row>
    <row r="3424" spans="9:10" x14ac:dyDescent="0.3">
      <c r="I3424"/>
      <c r="J3424"/>
    </row>
    <row r="3425" spans="9:10" x14ac:dyDescent="0.3">
      <c r="I3425"/>
      <c r="J3425"/>
    </row>
    <row r="3426" spans="9:10" x14ac:dyDescent="0.3">
      <c r="I3426"/>
      <c r="J3426"/>
    </row>
    <row r="3427" spans="9:10" x14ac:dyDescent="0.3">
      <c r="I3427"/>
      <c r="J3427"/>
    </row>
    <row r="3428" spans="9:10" x14ac:dyDescent="0.3">
      <c r="I3428"/>
      <c r="J3428"/>
    </row>
    <row r="3429" spans="9:10" x14ac:dyDescent="0.3">
      <c r="I3429"/>
      <c r="J3429"/>
    </row>
    <row r="3430" spans="9:10" x14ac:dyDescent="0.3">
      <c r="I3430"/>
      <c r="J3430"/>
    </row>
    <row r="3431" spans="9:10" x14ac:dyDescent="0.3">
      <c r="I3431"/>
      <c r="J3431"/>
    </row>
    <row r="3432" spans="9:10" x14ac:dyDescent="0.3">
      <c r="I3432"/>
      <c r="J3432"/>
    </row>
    <row r="3433" spans="9:10" x14ac:dyDescent="0.3">
      <c r="I3433"/>
      <c r="J3433"/>
    </row>
    <row r="3434" spans="9:10" x14ac:dyDescent="0.3">
      <c r="I3434"/>
      <c r="J3434"/>
    </row>
    <row r="3435" spans="9:10" x14ac:dyDescent="0.3">
      <c r="I3435"/>
      <c r="J3435"/>
    </row>
    <row r="3436" spans="9:10" x14ac:dyDescent="0.3">
      <c r="I3436"/>
      <c r="J3436"/>
    </row>
    <row r="3437" spans="9:10" x14ac:dyDescent="0.3">
      <c r="I3437"/>
      <c r="J3437"/>
    </row>
    <row r="3438" spans="9:10" x14ac:dyDescent="0.3">
      <c r="I3438"/>
      <c r="J3438"/>
    </row>
    <row r="3439" spans="9:10" x14ac:dyDescent="0.3">
      <c r="I3439"/>
      <c r="J3439"/>
    </row>
    <row r="3440" spans="9:10" x14ac:dyDescent="0.3">
      <c r="I3440"/>
      <c r="J3440"/>
    </row>
    <row r="3441" spans="9:10" x14ac:dyDescent="0.3">
      <c r="I3441"/>
      <c r="J3441"/>
    </row>
    <row r="3442" spans="9:10" x14ac:dyDescent="0.3">
      <c r="I3442"/>
      <c r="J3442"/>
    </row>
    <row r="3443" spans="9:10" x14ac:dyDescent="0.3">
      <c r="I3443"/>
      <c r="J3443"/>
    </row>
    <row r="3444" spans="9:10" x14ac:dyDescent="0.3">
      <c r="I3444"/>
      <c r="J3444"/>
    </row>
    <row r="3445" spans="9:10" x14ac:dyDescent="0.3">
      <c r="I3445"/>
      <c r="J3445"/>
    </row>
    <row r="3446" spans="9:10" x14ac:dyDescent="0.3">
      <c r="I3446"/>
      <c r="J3446"/>
    </row>
    <row r="3447" spans="9:10" x14ac:dyDescent="0.3">
      <c r="I3447"/>
      <c r="J3447"/>
    </row>
    <row r="3448" spans="9:10" x14ac:dyDescent="0.3">
      <c r="I3448"/>
      <c r="J3448"/>
    </row>
    <row r="3449" spans="9:10" x14ac:dyDescent="0.3">
      <c r="I3449"/>
      <c r="J3449"/>
    </row>
    <row r="3450" spans="9:10" x14ac:dyDescent="0.3">
      <c r="I3450"/>
      <c r="J3450"/>
    </row>
    <row r="3451" spans="9:10" x14ac:dyDescent="0.3">
      <c r="I3451"/>
      <c r="J3451"/>
    </row>
    <row r="3452" spans="9:10" x14ac:dyDescent="0.3">
      <c r="I3452"/>
      <c r="J3452"/>
    </row>
    <row r="3453" spans="9:10" x14ac:dyDescent="0.3">
      <c r="I3453"/>
      <c r="J3453"/>
    </row>
    <row r="3454" spans="9:10" x14ac:dyDescent="0.3">
      <c r="I3454"/>
      <c r="J3454"/>
    </row>
    <row r="3455" spans="9:10" x14ac:dyDescent="0.3">
      <c r="I3455"/>
      <c r="J3455"/>
    </row>
    <row r="3456" spans="9:10" x14ac:dyDescent="0.3">
      <c r="I3456"/>
      <c r="J3456"/>
    </row>
    <row r="3457" spans="9:10" x14ac:dyDescent="0.3">
      <c r="I3457"/>
      <c r="J3457"/>
    </row>
    <row r="3458" spans="9:10" x14ac:dyDescent="0.3">
      <c r="I3458"/>
      <c r="J3458"/>
    </row>
    <row r="3459" spans="9:10" x14ac:dyDescent="0.3">
      <c r="I3459"/>
      <c r="J3459"/>
    </row>
    <row r="3460" spans="9:10" x14ac:dyDescent="0.3">
      <c r="I3460"/>
      <c r="J3460"/>
    </row>
    <row r="3461" spans="9:10" x14ac:dyDescent="0.3">
      <c r="I3461"/>
      <c r="J3461"/>
    </row>
    <row r="3462" spans="9:10" x14ac:dyDescent="0.3">
      <c r="I3462"/>
      <c r="J3462"/>
    </row>
    <row r="3463" spans="9:10" x14ac:dyDescent="0.3">
      <c r="I3463"/>
      <c r="J3463"/>
    </row>
    <row r="3464" spans="9:10" x14ac:dyDescent="0.3">
      <c r="I3464"/>
      <c r="J3464"/>
    </row>
    <row r="3465" spans="9:10" x14ac:dyDescent="0.3">
      <c r="I3465"/>
      <c r="J3465"/>
    </row>
    <row r="3466" spans="9:10" x14ac:dyDescent="0.3">
      <c r="I3466"/>
      <c r="J3466"/>
    </row>
    <row r="3467" spans="9:10" x14ac:dyDescent="0.3">
      <c r="I3467"/>
      <c r="J3467"/>
    </row>
    <row r="3468" spans="9:10" x14ac:dyDescent="0.3">
      <c r="I3468"/>
      <c r="J3468"/>
    </row>
    <row r="3469" spans="9:10" x14ac:dyDescent="0.3">
      <c r="I3469"/>
      <c r="J3469"/>
    </row>
    <row r="3470" spans="9:10" x14ac:dyDescent="0.3">
      <c r="I3470"/>
      <c r="J3470"/>
    </row>
    <row r="3471" spans="9:10" x14ac:dyDescent="0.3">
      <c r="I3471"/>
      <c r="J3471"/>
    </row>
    <row r="3472" spans="9:10" x14ac:dyDescent="0.3">
      <c r="I3472"/>
      <c r="J3472"/>
    </row>
    <row r="3473" spans="9:10" x14ac:dyDescent="0.3">
      <c r="I3473"/>
      <c r="J3473"/>
    </row>
    <row r="3474" spans="9:10" x14ac:dyDescent="0.3">
      <c r="I3474"/>
      <c r="J3474"/>
    </row>
    <row r="3475" spans="9:10" x14ac:dyDescent="0.3">
      <c r="I3475"/>
      <c r="J3475"/>
    </row>
    <row r="3476" spans="9:10" x14ac:dyDescent="0.3">
      <c r="I3476"/>
      <c r="J3476"/>
    </row>
    <row r="3477" spans="9:10" x14ac:dyDescent="0.3">
      <c r="I3477"/>
      <c r="J3477"/>
    </row>
    <row r="3478" spans="9:10" x14ac:dyDescent="0.3">
      <c r="I3478"/>
      <c r="J3478"/>
    </row>
    <row r="3479" spans="9:10" x14ac:dyDescent="0.3">
      <c r="I3479"/>
      <c r="J3479"/>
    </row>
    <row r="3480" spans="9:10" x14ac:dyDescent="0.3">
      <c r="I3480"/>
      <c r="J3480"/>
    </row>
    <row r="3481" spans="9:10" x14ac:dyDescent="0.3">
      <c r="I3481"/>
      <c r="J3481"/>
    </row>
    <row r="3482" spans="9:10" x14ac:dyDescent="0.3">
      <c r="I3482"/>
      <c r="J3482"/>
    </row>
    <row r="3483" spans="9:10" x14ac:dyDescent="0.3">
      <c r="I3483"/>
      <c r="J3483"/>
    </row>
    <row r="3484" spans="9:10" x14ac:dyDescent="0.3">
      <c r="I3484"/>
      <c r="J3484"/>
    </row>
    <row r="3485" spans="9:10" x14ac:dyDescent="0.3">
      <c r="I3485"/>
      <c r="J3485"/>
    </row>
    <row r="3486" spans="9:10" x14ac:dyDescent="0.3">
      <c r="I3486"/>
      <c r="J3486"/>
    </row>
    <row r="3487" spans="9:10" x14ac:dyDescent="0.3">
      <c r="I3487"/>
      <c r="J3487"/>
    </row>
    <row r="3488" spans="9:10" x14ac:dyDescent="0.3">
      <c r="I3488"/>
      <c r="J3488"/>
    </row>
    <row r="3489" spans="9:10" x14ac:dyDescent="0.3">
      <c r="I3489"/>
      <c r="J3489"/>
    </row>
    <row r="3490" spans="9:10" x14ac:dyDescent="0.3">
      <c r="I3490"/>
      <c r="J3490"/>
    </row>
    <row r="3491" spans="9:10" x14ac:dyDescent="0.3">
      <c r="I3491"/>
      <c r="J3491"/>
    </row>
    <row r="3492" spans="9:10" x14ac:dyDescent="0.3">
      <c r="I3492"/>
      <c r="J3492"/>
    </row>
    <row r="3493" spans="9:10" x14ac:dyDescent="0.3">
      <c r="I3493"/>
      <c r="J3493"/>
    </row>
    <row r="3494" spans="9:10" x14ac:dyDescent="0.3">
      <c r="I3494"/>
      <c r="J3494"/>
    </row>
    <row r="3495" spans="9:10" x14ac:dyDescent="0.3">
      <c r="I3495"/>
      <c r="J3495"/>
    </row>
    <row r="3496" spans="9:10" x14ac:dyDescent="0.3">
      <c r="I3496"/>
      <c r="J3496"/>
    </row>
    <row r="3497" spans="9:10" x14ac:dyDescent="0.3">
      <c r="I3497"/>
      <c r="J3497"/>
    </row>
    <row r="3498" spans="9:10" x14ac:dyDescent="0.3">
      <c r="I3498"/>
      <c r="J3498"/>
    </row>
    <row r="3499" spans="9:10" x14ac:dyDescent="0.3">
      <c r="I3499"/>
      <c r="J3499"/>
    </row>
    <row r="3500" spans="9:10" x14ac:dyDescent="0.3">
      <c r="I3500"/>
      <c r="J3500"/>
    </row>
    <row r="3501" spans="9:10" x14ac:dyDescent="0.3">
      <c r="I3501"/>
      <c r="J3501"/>
    </row>
    <row r="3502" spans="9:10" x14ac:dyDescent="0.3">
      <c r="I3502"/>
      <c r="J3502"/>
    </row>
    <row r="3503" spans="9:10" x14ac:dyDescent="0.3">
      <c r="I3503"/>
      <c r="J3503"/>
    </row>
    <row r="3504" spans="9:10" x14ac:dyDescent="0.3">
      <c r="I3504"/>
      <c r="J3504"/>
    </row>
    <row r="3505" spans="9:10" x14ac:dyDescent="0.3">
      <c r="I3505"/>
      <c r="J3505"/>
    </row>
    <row r="3506" spans="9:10" x14ac:dyDescent="0.3">
      <c r="I3506"/>
      <c r="J3506"/>
    </row>
    <row r="3507" spans="9:10" x14ac:dyDescent="0.3">
      <c r="I3507"/>
      <c r="J3507"/>
    </row>
    <row r="3508" spans="9:10" x14ac:dyDescent="0.3">
      <c r="I3508"/>
      <c r="J3508"/>
    </row>
    <row r="3509" spans="9:10" x14ac:dyDescent="0.3">
      <c r="I3509"/>
      <c r="J3509"/>
    </row>
    <row r="3510" spans="9:10" x14ac:dyDescent="0.3">
      <c r="I3510"/>
      <c r="J3510"/>
    </row>
    <row r="3511" spans="9:10" x14ac:dyDescent="0.3">
      <c r="I3511"/>
      <c r="J3511"/>
    </row>
    <row r="3512" spans="9:10" x14ac:dyDescent="0.3">
      <c r="I3512"/>
      <c r="J3512"/>
    </row>
    <row r="3513" spans="9:10" x14ac:dyDescent="0.3">
      <c r="I3513"/>
      <c r="J3513"/>
    </row>
    <row r="3514" spans="9:10" x14ac:dyDescent="0.3">
      <c r="I3514"/>
      <c r="J3514"/>
    </row>
    <row r="3515" spans="9:10" x14ac:dyDescent="0.3">
      <c r="I3515"/>
      <c r="J3515"/>
    </row>
    <row r="3516" spans="9:10" x14ac:dyDescent="0.3">
      <c r="I3516"/>
      <c r="J3516"/>
    </row>
    <row r="3517" spans="9:10" x14ac:dyDescent="0.3">
      <c r="I3517"/>
      <c r="J3517"/>
    </row>
    <row r="3518" spans="9:10" x14ac:dyDescent="0.3">
      <c r="I3518"/>
      <c r="J3518"/>
    </row>
    <row r="3519" spans="9:10" x14ac:dyDescent="0.3">
      <c r="I3519"/>
      <c r="J3519"/>
    </row>
    <row r="3520" spans="9:10" x14ac:dyDescent="0.3">
      <c r="I3520"/>
      <c r="J3520"/>
    </row>
    <row r="3521" spans="9:10" x14ac:dyDescent="0.3">
      <c r="I3521"/>
      <c r="J3521"/>
    </row>
    <row r="3522" spans="9:10" x14ac:dyDescent="0.3">
      <c r="I3522"/>
      <c r="J3522"/>
    </row>
    <row r="3523" spans="9:10" x14ac:dyDescent="0.3">
      <c r="I3523"/>
      <c r="J3523"/>
    </row>
    <row r="3524" spans="9:10" x14ac:dyDescent="0.3">
      <c r="I3524"/>
      <c r="J3524"/>
    </row>
    <row r="3525" spans="9:10" x14ac:dyDescent="0.3">
      <c r="I3525"/>
      <c r="J3525"/>
    </row>
    <row r="3526" spans="9:10" x14ac:dyDescent="0.3">
      <c r="I3526"/>
      <c r="J3526"/>
    </row>
    <row r="3527" spans="9:10" x14ac:dyDescent="0.3">
      <c r="I3527"/>
      <c r="J3527"/>
    </row>
    <row r="3528" spans="9:10" x14ac:dyDescent="0.3">
      <c r="I3528"/>
      <c r="J3528"/>
    </row>
    <row r="3529" spans="9:10" x14ac:dyDescent="0.3">
      <c r="I3529"/>
      <c r="J3529"/>
    </row>
    <row r="3530" spans="9:10" x14ac:dyDescent="0.3">
      <c r="I3530"/>
      <c r="J3530"/>
    </row>
    <row r="3531" spans="9:10" x14ac:dyDescent="0.3">
      <c r="I3531"/>
      <c r="J3531"/>
    </row>
    <row r="3532" spans="9:10" x14ac:dyDescent="0.3">
      <c r="I3532"/>
      <c r="J3532"/>
    </row>
    <row r="3533" spans="9:10" x14ac:dyDescent="0.3">
      <c r="I3533"/>
      <c r="J3533"/>
    </row>
    <row r="3534" spans="9:10" x14ac:dyDescent="0.3">
      <c r="I3534"/>
      <c r="J3534"/>
    </row>
    <row r="3535" spans="9:10" x14ac:dyDescent="0.3">
      <c r="I3535"/>
      <c r="J3535"/>
    </row>
    <row r="3536" spans="9:10" x14ac:dyDescent="0.3">
      <c r="I3536"/>
      <c r="J3536"/>
    </row>
    <row r="3537" spans="9:10" x14ac:dyDescent="0.3">
      <c r="I3537"/>
      <c r="J3537"/>
    </row>
    <row r="3538" spans="9:10" x14ac:dyDescent="0.3">
      <c r="I3538"/>
      <c r="J3538"/>
    </row>
    <row r="3539" spans="9:10" x14ac:dyDescent="0.3">
      <c r="I3539"/>
      <c r="J3539"/>
    </row>
    <row r="3540" spans="9:10" x14ac:dyDescent="0.3">
      <c r="I3540"/>
      <c r="J3540"/>
    </row>
    <row r="3541" spans="9:10" x14ac:dyDescent="0.3">
      <c r="I3541"/>
      <c r="J3541"/>
    </row>
    <row r="3542" spans="9:10" x14ac:dyDescent="0.3">
      <c r="I3542"/>
      <c r="J3542"/>
    </row>
    <row r="3543" spans="9:10" x14ac:dyDescent="0.3">
      <c r="I3543"/>
      <c r="J3543"/>
    </row>
    <row r="3544" spans="9:10" x14ac:dyDescent="0.3">
      <c r="I3544"/>
      <c r="J3544"/>
    </row>
    <row r="3545" spans="9:10" x14ac:dyDescent="0.3">
      <c r="I3545"/>
      <c r="J3545"/>
    </row>
    <row r="3546" spans="9:10" x14ac:dyDescent="0.3">
      <c r="I3546"/>
      <c r="J3546"/>
    </row>
    <row r="3547" spans="9:10" x14ac:dyDescent="0.3">
      <c r="I3547"/>
      <c r="J3547"/>
    </row>
    <row r="3548" spans="9:10" x14ac:dyDescent="0.3">
      <c r="I3548"/>
      <c r="J3548"/>
    </row>
    <row r="3549" spans="9:10" x14ac:dyDescent="0.3">
      <c r="I3549"/>
      <c r="J3549"/>
    </row>
    <row r="3550" spans="9:10" x14ac:dyDescent="0.3">
      <c r="I3550"/>
      <c r="J3550"/>
    </row>
    <row r="3551" spans="9:10" x14ac:dyDescent="0.3">
      <c r="I3551"/>
      <c r="J3551"/>
    </row>
    <row r="3552" spans="9:10" x14ac:dyDescent="0.3">
      <c r="I3552"/>
      <c r="J3552"/>
    </row>
    <row r="3553" spans="9:10" x14ac:dyDescent="0.3">
      <c r="I3553"/>
      <c r="J3553"/>
    </row>
    <row r="3554" spans="9:10" x14ac:dyDescent="0.3">
      <c r="I3554"/>
      <c r="J3554"/>
    </row>
    <row r="3555" spans="9:10" x14ac:dyDescent="0.3">
      <c r="I3555"/>
      <c r="J3555"/>
    </row>
    <row r="3556" spans="9:10" x14ac:dyDescent="0.3">
      <c r="I3556"/>
      <c r="J3556"/>
    </row>
    <row r="3557" spans="9:10" x14ac:dyDescent="0.3">
      <c r="I3557"/>
      <c r="J3557"/>
    </row>
    <row r="3558" spans="9:10" x14ac:dyDescent="0.3">
      <c r="I3558"/>
      <c r="J3558"/>
    </row>
    <row r="3559" spans="9:10" x14ac:dyDescent="0.3">
      <c r="I3559"/>
      <c r="J3559"/>
    </row>
    <row r="3560" spans="9:10" x14ac:dyDescent="0.3">
      <c r="I3560"/>
      <c r="J3560"/>
    </row>
    <row r="3561" spans="9:10" x14ac:dyDescent="0.3">
      <c r="I3561"/>
      <c r="J3561"/>
    </row>
    <row r="3562" spans="9:10" x14ac:dyDescent="0.3">
      <c r="I3562"/>
      <c r="J3562"/>
    </row>
    <row r="3563" spans="9:10" x14ac:dyDescent="0.3">
      <c r="I3563"/>
      <c r="J3563"/>
    </row>
    <row r="3564" spans="9:10" x14ac:dyDescent="0.3">
      <c r="I3564"/>
      <c r="J3564"/>
    </row>
    <row r="3565" spans="9:10" x14ac:dyDescent="0.3">
      <c r="I3565"/>
      <c r="J3565"/>
    </row>
    <row r="3566" spans="9:10" x14ac:dyDescent="0.3">
      <c r="I3566"/>
      <c r="J3566"/>
    </row>
    <row r="3567" spans="9:10" x14ac:dyDescent="0.3">
      <c r="I3567"/>
      <c r="J3567"/>
    </row>
    <row r="3568" spans="9:10" x14ac:dyDescent="0.3">
      <c r="I3568"/>
      <c r="J3568"/>
    </row>
    <row r="3569" spans="9:10" x14ac:dyDescent="0.3">
      <c r="I3569"/>
      <c r="J3569"/>
    </row>
    <row r="3570" spans="9:10" x14ac:dyDescent="0.3">
      <c r="I3570"/>
      <c r="J3570"/>
    </row>
    <row r="3571" spans="9:10" x14ac:dyDescent="0.3">
      <c r="I3571"/>
      <c r="J3571"/>
    </row>
    <row r="3572" spans="9:10" x14ac:dyDescent="0.3">
      <c r="I3572"/>
      <c r="J3572"/>
    </row>
    <row r="3573" spans="9:10" x14ac:dyDescent="0.3">
      <c r="I3573"/>
      <c r="J3573"/>
    </row>
    <row r="3574" spans="9:10" x14ac:dyDescent="0.3">
      <c r="I3574"/>
      <c r="J3574"/>
    </row>
    <row r="3575" spans="9:10" x14ac:dyDescent="0.3">
      <c r="I3575"/>
      <c r="J3575"/>
    </row>
    <row r="3576" spans="9:10" x14ac:dyDescent="0.3">
      <c r="I3576"/>
      <c r="J3576"/>
    </row>
    <row r="3577" spans="9:10" x14ac:dyDescent="0.3">
      <c r="I3577"/>
      <c r="J3577"/>
    </row>
    <row r="3578" spans="9:10" x14ac:dyDescent="0.3">
      <c r="I3578"/>
      <c r="J3578"/>
    </row>
    <row r="3579" spans="9:10" x14ac:dyDescent="0.3">
      <c r="I3579"/>
      <c r="J3579"/>
    </row>
    <row r="3580" spans="9:10" x14ac:dyDescent="0.3">
      <c r="I3580"/>
      <c r="J3580"/>
    </row>
    <row r="3581" spans="9:10" x14ac:dyDescent="0.3">
      <c r="I3581"/>
      <c r="J3581"/>
    </row>
    <row r="3582" spans="9:10" x14ac:dyDescent="0.3">
      <c r="I3582"/>
      <c r="J3582"/>
    </row>
    <row r="3583" spans="9:10" x14ac:dyDescent="0.3">
      <c r="I3583"/>
      <c r="J3583"/>
    </row>
    <row r="3584" spans="9:10" x14ac:dyDescent="0.3">
      <c r="I3584"/>
      <c r="J3584"/>
    </row>
    <row r="3585" spans="9:10" x14ac:dyDescent="0.3">
      <c r="I3585"/>
      <c r="J3585"/>
    </row>
    <row r="3586" spans="9:10" x14ac:dyDescent="0.3">
      <c r="I3586"/>
      <c r="J3586"/>
    </row>
    <row r="3587" spans="9:10" x14ac:dyDescent="0.3">
      <c r="I3587"/>
      <c r="J3587"/>
    </row>
    <row r="3588" spans="9:10" x14ac:dyDescent="0.3">
      <c r="I3588"/>
      <c r="J3588"/>
    </row>
    <row r="3589" spans="9:10" x14ac:dyDescent="0.3">
      <c r="I3589"/>
      <c r="J3589"/>
    </row>
    <row r="3590" spans="9:10" x14ac:dyDescent="0.3">
      <c r="I3590"/>
      <c r="J3590"/>
    </row>
    <row r="3591" spans="9:10" x14ac:dyDescent="0.3">
      <c r="I3591"/>
      <c r="J3591"/>
    </row>
    <row r="3592" spans="9:10" x14ac:dyDescent="0.3">
      <c r="I3592"/>
      <c r="J3592"/>
    </row>
    <row r="3593" spans="9:10" x14ac:dyDescent="0.3">
      <c r="I3593"/>
      <c r="J3593"/>
    </row>
    <row r="3594" spans="9:10" x14ac:dyDescent="0.3">
      <c r="I3594"/>
      <c r="J3594"/>
    </row>
    <row r="3595" spans="9:10" x14ac:dyDescent="0.3">
      <c r="I3595"/>
      <c r="J3595"/>
    </row>
    <row r="3596" spans="9:10" x14ac:dyDescent="0.3">
      <c r="I3596"/>
      <c r="J3596"/>
    </row>
    <row r="3597" spans="9:10" x14ac:dyDescent="0.3">
      <c r="I3597"/>
      <c r="J3597"/>
    </row>
    <row r="3598" spans="9:10" x14ac:dyDescent="0.3">
      <c r="I3598"/>
      <c r="J3598"/>
    </row>
    <row r="3599" spans="9:10" x14ac:dyDescent="0.3">
      <c r="I3599"/>
      <c r="J3599"/>
    </row>
    <row r="3600" spans="9:10" x14ac:dyDescent="0.3">
      <c r="I3600"/>
      <c r="J3600"/>
    </row>
    <row r="3601" spans="9:10" x14ac:dyDescent="0.3">
      <c r="I3601"/>
      <c r="J3601"/>
    </row>
    <row r="3602" spans="9:10" x14ac:dyDescent="0.3">
      <c r="I3602"/>
      <c r="J3602"/>
    </row>
    <row r="3603" spans="9:10" x14ac:dyDescent="0.3">
      <c r="I3603"/>
      <c r="J3603"/>
    </row>
    <row r="3604" spans="9:10" x14ac:dyDescent="0.3">
      <c r="I3604"/>
      <c r="J3604"/>
    </row>
    <row r="3605" spans="9:10" x14ac:dyDescent="0.3">
      <c r="I3605"/>
      <c r="J3605"/>
    </row>
    <row r="3606" spans="9:10" x14ac:dyDescent="0.3">
      <c r="I3606"/>
      <c r="J3606"/>
    </row>
    <row r="3607" spans="9:10" x14ac:dyDescent="0.3">
      <c r="I3607"/>
      <c r="J3607"/>
    </row>
    <row r="3608" spans="9:10" x14ac:dyDescent="0.3">
      <c r="I3608"/>
      <c r="J3608"/>
    </row>
    <row r="3609" spans="9:10" x14ac:dyDescent="0.3">
      <c r="I3609"/>
      <c r="J3609"/>
    </row>
    <row r="3610" spans="9:10" x14ac:dyDescent="0.3">
      <c r="I3610"/>
      <c r="J3610"/>
    </row>
    <row r="3611" spans="9:10" x14ac:dyDescent="0.3">
      <c r="I3611"/>
      <c r="J3611"/>
    </row>
    <row r="3612" spans="9:10" x14ac:dyDescent="0.3">
      <c r="I3612"/>
      <c r="J3612"/>
    </row>
    <row r="3613" spans="9:10" x14ac:dyDescent="0.3">
      <c r="I3613"/>
      <c r="J3613"/>
    </row>
    <row r="3614" spans="9:10" x14ac:dyDescent="0.3">
      <c r="I3614"/>
      <c r="J3614"/>
    </row>
    <row r="3615" spans="9:10" x14ac:dyDescent="0.3">
      <c r="I3615"/>
      <c r="J3615"/>
    </row>
    <row r="3616" spans="9:10" x14ac:dyDescent="0.3">
      <c r="I3616"/>
      <c r="J3616"/>
    </row>
    <row r="3617" spans="9:10" x14ac:dyDescent="0.3">
      <c r="I3617"/>
      <c r="J3617"/>
    </row>
    <row r="3618" spans="9:10" x14ac:dyDescent="0.3">
      <c r="I3618"/>
      <c r="J3618"/>
    </row>
    <row r="3619" spans="9:10" x14ac:dyDescent="0.3">
      <c r="I3619"/>
      <c r="J3619"/>
    </row>
    <row r="3620" spans="9:10" x14ac:dyDescent="0.3">
      <c r="I3620"/>
      <c r="J3620"/>
    </row>
    <row r="3621" spans="9:10" x14ac:dyDescent="0.3">
      <c r="I3621"/>
      <c r="J3621"/>
    </row>
    <row r="3622" spans="9:10" x14ac:dyDescent="0.3">
      <c r="I3622"/>
      <c r="J3622"/>
    </row>
    <row r="3623" spans="9:10" x14ac:dyDescent="0.3">
      <c r="I3623"/>
      <c r="J3623"/>
    </row>
    <row r="3624" spans="9:10" x14ac:dyDescent="0.3">
      <c r="I3624"/>
      <c r="J3624"/>
    </row>
    <row r="3625" spans="9:10" x14ac:dyDescent="0.3">
      <c r="I3625"/>
      <c r="J3625"/>
    </row>
    <row r="3626" spans="9:10" x14ac:dyDescent="0.3">
      <c r="I3626"/>
      <c r="J3626"/>
    </row>
    <row r="3627" spans="9:10" x14ac:dyDescent="0.3">
      <c r="I3627"/>
      <c r="J3627"/>
    </row>
    <row r="3628" spans="9:10" x14ac:dyDescent="0.3">
      <c r="I3628"/>
      <c r="J3628"/>
    </row>
    <row r="3629" spans="9:10" x14ac:dyDescent="0.3">
      <c r="I3629"/>
      <c r="J3629"/>
    </row>
    <row r="3630" spans="9:10" x14ac:dyDescent="0.3">
      <c r="I3630"/>
      <c r="J3630"/>
    </row>
    <row r="3631" spans="9:10" x14ac:dyDescent="0.3">
      <c r="I3631"/>
      <c r="J3631"/>
    </row>
    <row r="3632" spans="9:10" x14ac:dyDescent="0.3">
      <c r="I3632"/>
      <c r="J3632"/>
    </row>
    <row r="3633" spans="9:10" x14ac:dyDescent="0.3">
      <c r="I3633"/>
      <c r="J3633"/>
    </row>
    <row r="3634" spans="9:10" x14ac:dyDescent="0.3">
      <c r="I3634"/>
      <c r="J3634"/>
    </row>
    <row r="3635" spans="9:10" x14ac:dyDescent="0.3">
      <c r="I3635"/>
      <c r="J3635"/>
    </row>
    <row r="3636" spans="9:10" x14ac:dyDescent="0.3">
      <c r="I3636"/>
      <c r="J3636"/>
    </row>
    <row r="3637" spans="9:10" x14ac:dyDescent="0.3">
      <c r="I3637"/>
      <c r="J3637"/>
    </row>
    <row r="3638" spans="9:10" x14ac:dyDescent="0.3">
      <c r="I3638"/>
      <c r="J3638"/>
    </row>
    <row r="3639" spans="9:10" x14ac:dyDescent="0.3">
      <c r="I3639"/>
      <c r="J3639"/>
    </row>
    <row r="3640" spans="9:10" x14ac:dyDescent="0.3">
      <c r="I3640"/>
      <c r="J3640"/>
    </row>
    <row r="3641" spans="9:10" x14ac:dyDescent="0.3">
      <c r="I3641"/>
      <c r="J3641"/>
    </row>
    <row r="3642" spans="9:10" x14ac:dyDescent="0.3">
      <c r="I3642"/>
      <c r="J3642"/>
    </row>
    <row r="3643" spans="9:10" x14ac:dyDescent="0.3">
      <c r="I3643"/>
      <c r="J3643"/>
    </row>
    <row r="3644" spans="9:10" x14ac:dyDescent="0.3">
      <c r="I3644"/>
      <c r="J3644"/>
    </row>
    <row r="3645" spans="9:10" x14ac:dyDescent="0.3">
      <c r="I3645"/>
      <c r="J3645"/>
    </row>
    <row r="3646" spans="9:10" x14ac:dyDescent="0.3">
      <c r="I3646"/>
      <c r="J3646"/>
    </row>
    <row r="3647" spans="9:10" x14ac:dyDescent="0.3">
      <c r="I3647"/>
      <c r="J3647"/>
    </row>
    <row r="3648" spans="9:10" x14ac:dyDescent="0.3">
      <c r="I3648"/>
      <c r="J3648"/>
    </row>
    <row r="3649" spans="9:10" x14ac:dyDescent="0.3">
      <c r="I3649"/>
      <c r="J3649"/>
    </row>
    <row r="3650" spans="9:10" x14ac:dyDescent="0.3">
      <c r="I3650"/>
      <c r="J3650"/>
    </row>
    <row r="3651" spans="9:10" x14ac:dyDescent="0.3">
      <c r="I3651"/>
      <c r="J3651"/>
    </row>
    <row r="3652" spans="9:10" x14ac:dyDescent="0.3">
      <c r="I3652"/>
      <c r="J3652"/>
    </row>
    <row r="3653" spans="9:10" x14ac:dyDescent="0.3">
      <c r="I3653"/>
      <c r="J3653"/>
    </row>
    <row r="3654" spans="9:10" x14ac:dyDescent="0.3">
      <c r="I3654"/>
      <c r="J3654"/>
    </row>
    <row r="3655" spans="9:10" x14ac:dyDescent="0.3">
      <c r="I3655"/>
      <c r="J3655"/>
    </row>
    <row r="3656" spans="9:10" x14ac:dyDescent="0.3">
      <c r="I3656"/>
      <c r="J3656"/>
    </row>
    <row r="3657" spans="9:10" x14ac:dyDescent="0.3">
      <c r="I3657"/>
      <c r="J3657"/>
    </row>
    <row r="3658" spans="9:10" x14ac:dyDescent="0.3">
      <c r="I3658"/>
      <c r="J3658"/>
    </row>
    <row r="3659" spans="9:10" x14ac:dyDescent="0.3">
      <c r="I3659"/>
      <c r="J3659"/>
    </row>
    <row r="3660" spans="9:10" x14ac:dyDescent="0.3">
      <c r="I3660"/>
      <c r="J3660"/>
    </row>
    <row r="3661" spans="9:10" x14ac:dyDescent="0.3">
      <c r="I3661"/>
      <c r="J3661"/>
    </row>
    <row r="3662" spans="9:10" x14ac:dyDescent="0.3">
      <c r="I3662"/>
      <c r="J3662"/>
    </row>
    <row r="3663" spans="9:10" x14ac:dyDescent="0.3">
      <c r="I3663"/>
      <c r="J3663"/>
    </row>
    <row r="3664" spans="9:10" x14ac:dyDescent="0.3">
      <c r="I3664"/>
      <c r="J3664"/>
    </row>
    <row r="3665" spans="9:10" x14ac:dyDescent="0.3">
      <c r="I3665"/>
      <c r="J3665"/>
    </row>
    <row r="3666" spans="9:10" x14ac:dyDescent="0.3">
      <c r="I3666"/>
      <c r="J3666"/>
    </row>
    <row r="3667" spans="9:10" x14ac:dyDescent="0.3">
      <c r="I3667"/>
      <c r="J3667"/>
    </row>
    <row r="3668" spans="9:10" x14ac:dyDescent="0.3">
      <c r="I3668"/>
      <c r="J3668"/>
    </row>
    <row r="3669" spans="9:10" x14ac:dyDescent="0.3">
      <c r="I3669"/>
      <c r="J3669"/>
    </row>
    <row r="3670" spans="9:10" x14ac:dyDescent="0.3">
      <c r="I3670"/>
      <c r="J3670"/>
    </row>
    <row r="3671" spans="9:10" x14ac:dyDescent="0.3">
      <c r="I3671"/>
      <c r="J3671"/>
    </row>
    <row r="3672" spans="9:10" x14ac:dyDescent="0.3">
      <c r="I3672"/>
      <c r="J3672"/>
    </row>
    <row r="3673" spans="9:10" x14ac:dyDescent="0.3">
      <c r="I3673"/>
      <c r="J3673"/>
    </row>
    <row r="3674" spans="9:10" x14ac:dyDescent="0.3">
      <c r="I3674"/>
      <c r="J3674"/>
    </row>
    <row r="3675" spans="9:10" x14ac:dyDescent="0.3">
      <c r="I3675"/>
      <c r="J3675"/>
    </row>
    <row r="3676" spans="9:10" x14ac:dyDescent="0.3">
      <c r="I3676"/>
      <c r="J3676"/>
    </row>
    <row r="3677" spans="9:10" x14ac:dyDescent="0.3">
      <c r="I3677"/>
      <c r="J3677"/>
    </row>
    <row r="3678" spans="9:10" x14ac:dyDescent="0.3">
      <c r="I3678"/>
      <c r="J3678"/>
    </row>
    <row r="3679" spans="9:10" x14ac:dyDescent="0.3">
      <c r="I3679"/>
      <c r="J3679"/>
    </row>
    <row r="3680" spans="9:10" x14ac:dyDescent="0.3">
      <c r="I3680"/>
      <c r="J3680"/>
    </row>
    <row r="3681" spans="9:10" x14ac:dyDescent="0.3">
      <c r="I3681"/>
      <c r="J3681"/>
    </row>
    <row r="3682" spans="9:10" x14ac:dyDescent="0.3">
      <c r="I3682"/>
      <c r="J3682"/>
    </row>
    <row r="3683" spans="9:10" x14ac:dyDescent="0.3">
      <c r="I3683"/>
      <c r="J3683"/>
    </row>
    <row r="3684" spans="9:10" x14ac:dyDescent="0.3">
      <c r="I3684"/>
      <c r="J3684"/>
    </row>
    <row r="3685" spans="9:10" x14ac:dyDescent="0.3">
      <c r="I3685"/>
      <c r="J3685"/>
    </row>
    <row r="3686" spans="9:10" x14ac:dyDescent="0.3">
      <c r="I3686"/>
      <c r="J3686"/>
    </row>
    <row r="3687" spans="9:10" x14ac:dyDescent="0.3">
      <c r="I3687"/>
      <c r="J3687"/>
    </row>
    <row r="3688" spans="9:10" x14ac:dyDescent="0.3">
      <c r="I3688"/>
      <c r="J3688"/>
    </row>
    <row r="3689" spans="9:10" x14ac:dyDescent="0.3">
      <c r="I3689"/>
      <c r="J3689"/>
    </row>
    <row r="3690" spans="9:10" x14ac:dyDescent="0.3">
      <c r="I3690"/>
      <c r="J3690"/>
    </row>
    <row r="3691" spans="9:10" x14ac:dyDescent="0.3">
      <c r="I3691"/>
      <c r="J3691"/>
    </row>
    <row r="3692" spans="9:10" x14ac:dyDescent="0.3">
      <c r="I3692"/>
      <c r="J3692"/>
    </row>
    <row r="3693" spans="9:10" x14ac:dyDescent="0.3">
      <c r="I3693"/>
      <c r="J3693"/>
    </row>
    <row r="3694" spans="9:10" x14ac:dyDescent="0.3">
      <c r="I3694"/>
      <c r="J3694"/>
    </row>
    <row r="3695" spans="9:10" x14ac:dyDescent="0.3">
      <c r="I3695"/>
      <c r="J3695"/>
    </row>
    <row r="3696" spans="9:10" x14ac:dyDescent="0.3">
      <c r="I3696"/>
      <c r="J3696"/>
    </row>
    <row r="3697" spans="9:10" x14ac:dyDescent="0.3">
      <c r="I3697"/>
      <c r="J3697"/>
    </row>
    <row r="3698" spans="9:10" x14ac:dyDescent="0.3">
      <c r="I3698"/>
      <c r="J3698"/>
    </row>
    <row r="3699" spans="9:10" x14ac:dyDescent="0.3">
      <c r="I3699"/>
      <c r="J3699"/>
    </row>
    <row r="3700" spans="9:10" x14ac:dyDescent="0.3">
      <c r="I3700"/>
      <c r="J3700"/>
    </row>
    <row r="3701" spans="9:10" x14ac:dyDescent="0.3">
      <c r="I3701"/>
      <c r="J3701"/>
    </row>
    <row r="3702" spans="9:10" x14ac:dyDescent="0.3">
      <c r="I3702"/>
      <c r="J3702"/>
    </row>
    <row r="3703" spans="9:10" x14ac:dyDescent="0.3">
      <c r="I3703"/>
      <c r="J3703"/>
    </row>
    <row r="3704" spans="9:10" x14ac:dyDescent="0.3">
      <c r="I3704"/>
      <c r="J3704"/>
    </row>
    <row r="3705" spans="9:10" x14ac:dyDescent="0.3">
      <c r="I3705"/>
      <c r="J3705"/>
    </row>
    <row r="3706" spans="9:10" x14ac:dyDescent="0.3">
      <c r="I3706"/>
      <c r="J3706"/>
    </row>
    <row r="3707" spans="9:10" x14ac:dyDescent="0.3">
      <c r="I3707"/>
      <c r="J3707"/>
    </row>
    <row r="3708" spans="9:10" x14ac:dyDescent="0.3">
      <c r="I3708"/>
      <c r="J3708"/>
    </row>
    <row r="3709" spans="9:10" x14ac:dyDescent="0.3">
      <c r="I3709"/>
      <c r="J3709"/>
    </row>
    <row r="3710" spans="9:10" x14ac:dyDescent="0.3">
      <c r="I3710"/>
      <c r="J3710"/>
    </row>
    <row r="3711" spans="9:10" x14ac:dyDescent="0.3">
      <c r="I3711"/>
      <c r="J3711"/>
    </row>
    <row r="3712" spans="9:10" x14ac:dyDescent="0.3">
      <c r="I3712"/>
      <c r="J3712"/>
    </row>
    <row r="3713" spans="9:10" x14ac:dyDescent="0.3">
      <c r="I3713"/>
      <c r="J3713"/>
    </row>
    <row r="3714" spans="9:10" x14ac:dyDescent="0.3">
      <c r="I3714"/>
      <c r="J3714"/>
    </row>
    <row r="3715" spans="9:10" x14ac:dyDescent="0.3">
      <c r="I3715"/>
      <c r="J3715"/>
    </row>
    <row r="3716" spans="9:10" x14ac:dyDescent="0.3">
      <c r="I3716"/>
      <c r="J3716"/>
    </row>
    <row r="3717" spans="9:10" x14ac:dyDescent="0.3">
      <c r="I3717"/>
      <c r="J3717"/>
    </row>
    <row r="3718" spans="9:10" x14ac:dyDescent="0.3">
      <c r="I3718"/>
      <c r="J3718"/>
    </row>
    <row r="3719" spans="9:10" x14ac:dyDescent="0.3">
      <c r="I3719"/>
      <c r="J3719"/>
    </row>
    <row r="3720" spans="9:10" x14ac:dyDescent="0.3">
      <c r="I3720"/>
      <c r="J3720"/>
    </row>
    <row r="3721" spans="9:10" x14ac:dyDescent="0.3">
      <c r="I3721"/>
      <c r="J3721"/>
    </row>
    <row r="3722" spans="9:10" x14ac:dyDescent="0.3">
      <c r="I3722"/>
      <c r="J3722"/>
    </row>
    <row r="3723" spans="9:10" x14ac:dyDescent="0.3">
      <c r="I3723"/>
      <c r="J3723"/>
    </row>
    <row r="3724" spans="9:10" x14ac:dyDescent="0.3">
      <c r="I3724"/>
      <c r="J3724"/>
    </row>
    <row r="3725" spans="9:10" x14ac:dyDescent="0.3">
      <c r="I3725"/>
      <c r="J3725"/>
    </row>
    <row r="3726" spans="9:10" x14ac:dyDescent="0.3">
      <c r="I3726"/>
      <c r="J3726"/>
    </row>
    <row r="3727" spans="9:10" x14ac:dyDescent="0.3">
      <c r="I3727"/>
      <c r="J3727"/>
    </row>
    <row r="3728" spans="9:10" x14ac:dyDescent="0.3">
      <c r="I3728"/>
      <c r="J3728"/>
    </row>
    <row r="3729" spans="9:10" x14ac:dyDescent="0.3">
      <c r="I3729"/>
      <c r="J3729"/>
    </row>
    <row r="3730" spans="9:10" x14ac:dyDescent="0.3">
      <c r="I3730"/>
      <c r="J3730"/>
    </row>
    <row r="3731" spans="9:10" x14ac:dyDescent="0.3">
      <c r="I3731"/>
      <c r="J3731"/>
    </row>
    <row r="3732" spans="9:10" x14ac:dyDescent="0.3">
      <c r="I3732"/>
      <c r="J3732"/>
    </row>
    <row r="3733" spans="9:10" x14ac:dyDescent="0.3">
      <c r="I3733"/>
      <c r="J3733"/>
    </row>
    <row r="3734" spans="9:10" x14ac:dyDescent="0.3">
      <c r="I3734"/>
      <c r="J3734"/>
    </row>
    <row r="3735" spans="9:10" x14ac:dyDescent="0.3">
      <c r="I3735"/>
      <c r="J3735"/>
    </row>
    <row r="3736" spans="9:10" x14ac:dyDescent="0.3">
      <c r="I3736"/>
      <c r="J3736"/>
    </row>
    <row r="3737" spans="9:10" x14ac:dyDescent="0.3">
      <c r="I3737"/>
      <c r="J3737"/>
    </row>
    <row r="3738" spans="9:10" x14ac:dyDescent="0.3">
      <c r="I3738"/>
      <c r="J3738"/>
    </row>
    <row r="3739" spans="9:10" x14ac:dyDescent="0.3">
      <c r="I3739"/>
      <c r="J3739"/>
    </row>
    <row r="3740" spans="9:10" x14ac:dyDescent="0.3">
      <c r="I3740"/>
      <c r="J3740"/>
    </row>
    <row r="3741" spans="9:10" x14ac:dyDescent="0.3">
      <c r="I3741"/>
      <c r="J3741"/>
    </row>
    <row r="3742" spans="9:10" x14ac:dyDescent="0.3">
      <c r="I3742"/>
      <c r="J3742"/>
    </row>
    <row r="3743" spans="9:10" x14ac:dyDescent="0.3">
      <c r="I3743"/>
      <c r="J3743"/>
    </row>
    <row r="3744" spans="9:10" x14ac:dyDescent="0.3">
      <c r="I3744"/>
      <c r="J3744"/>
    </row>
    <row r="3745" spans="9:10" x14ac:dyDescent="0.3">
      <c r="I3745"/>
      <c r="J3745"/>
    </row>
    <row r="3746" spans="9:10" x14ac:dyDescent="0.3">
      <c r="I3746"/>
      <c r="J3746"/>
    </row>
    <row r="3747" spans="9:10" x14ac:dyDescent="0.3">
      <c r="I3747"/>
      <c r="J3747"/>
    </row>
    <row r="3748" spans="9:10" x14ac:dyDescent="0.3">
      <c r="I3748"/>
      <c r="J3748"/>
    </row>
    <row r="3749" spans="9:10" x14ac:dyDescent="0.3">
      <c r="I3749"/>
      <c r="J3749"/>
    </row>
    <row r="3750" spans="9:10" x14ac:dyDescent="0.3">
      <c r="I3750"/>
      <c r="J3750"/>
    </row>
    <row r="3751" spans="9:10" x14ac:dyDescent="0.3">
      <c r="I3751"/>
      <c r="J3751"/>
    </row>
    <row r="3752" spans="9:10" x14ac:dyDescent="0.3">
      <c r="I3752"/>
      <c r="J3752"/>
    </row>
    <row r="3753" spans="9:10" x14ac:dyDescent="0.3">
      <c r="I3753"/>
      <c r="J3753"/>
    </row>
    <row r="3754" spans="9:10" x14ac:dyDescent="0.3">
      <c r="I3754"/>
      <c r="J3754"/>
    </row>
    <row r="3755" spans="9:10" x14ac:dyDescent="0.3">
      <c r="I3755"/>
      <c r="J3755"/>
    </row>
    <row r="3756" spans="9:10" x14ac:dyDescent="0.3">
      <c r="I3756"/>
      <c r="J3756"/>
    </row>
    <row r="3757" spans="9:10" x14ac:dyDescent="0.3">
      <c r="I3757"/>
      <c r="J3757"/>
    </row>
    <row r="3758" spans="9:10" x14ac:dyDescent="0.3">
      <c r="I3758"/>
      <c r="J3758"/>
    </row>
    <row r="3759" spans="9:10" x14ac:dyDescent="0.3">
      <c r="I3759"/>
      <c r="J3759"/>
    </row>
    <row r="3760" spans="9:10" x14ac:dyDescent="0.3">
      <c r="I3760"/>
      <c r="J3760"/>
    </row>
    <row r="3761" spans="9:10" x14ac:dyDescent="0.3">
      <c r="I3761"/>
      <c r="J3761"/>
    </row>
    <row r="3762" spans="9:10" x14ac:dyDescent="0.3">
      <c r="I3762"/>
      <c r="J3762"/>
    </row>
    <row r="3763" spans="9:10" x14ac:dyDescent="0.3">
      <c r="I3763"/>
      <c r="J3763"/>
    </row>
    <row r="3764" spans="9:10" x14ac:dyDescent="0.3">
      <c r="I3764"/>
      <c r="J3764"/>
    </row>
    <row r="3765" spans="9:10" x14ac:dyDescent="0.3">
      <c r="I3765"/>
      <c r="J3765"/>
    </row>
    <row r="3766" spans="9:10" x14ac:dyDescent="0.3">
      <c r="I3766"/>
      <c r="J3766"/>
    </row>
    <row r="3767" spans="9:10" x14ac:dyDescent="0.3">
      <c r="I3767"/>
      <c r="J3767"/>
    </row>
    <row r="3768" spans="9:10" x14ac:dyDescent="0.3">
      <c r="I3768"/>
      <c r="J3768"/>
    </row>
    <row r="3769" spans="9:10" x14ac:dyDescent="0.3">
      <c r="I3769"/>
      <c r="J3769"/>
    </row>
    <row r="3770" spans="9:10" x14ac:dyDescent="0.3">
      <c r="I3770"/>
      <c r="J3770"/>
    </row>
    <row r="3771" spans="9:10" x14ac:dyDescent="0.3">
      <c r="I3771"/>
      <c r="J3771"/>
    </row>
    <row r="3772" spans="9:10" x14ac:dyDescent="0.3">
      <c r="I3772"/>
      <c r="J3772"/>
    </row>
    <row r="3773" spans="9:10" x14ac:dyDescent="0.3">
      <c r="I3773"/>
      <c r="J3773"/>
    </row>
    <row r="3774" spans="9:10" x14ac:dyDescent="0.3">
      <c r="I3774"/>
      <c r="J3774"/>
    </row>
    <row r="3775" spans="9:10" x14ac:dyDescent="0.3">
      <c r="I3775"/>
      <c r="J3775"/>
    </row>
    <row r="3776" spans="9:10" x14ac:dyDescent="0.3">
      <c r="I3776"/>
      <c r="J3776"/>
    </row>
    <row r="3777" spans="9:10" x14ac:dyDescent="0.3">
      <c r="I3777"/>
      <c r="J3777"/>
    </row>
    <row r="3778" spans="9:10" x14ac:dyDescent="0.3">
      <c r="I3778"/>
      <c r="J3778"/>
    </row>
    <row r="3779" spans="9:10" x14ac:dyDescent="0.3">
      <c r="I3779"/>
      <c r="J3779"/>
    </row>
    <row r="3780" spans="9:10" x14ac:dyDescent="0.3">
      <c r="I3780"/>
      <c r="J3780"/>
    </row>
    <row r="3781" spans="9:10" x14ac:dyDescent="0.3">
      <c r="I3781"/>
      <c r="J3781"/>
    </row>
    <row r="3782" spans="9:10" x14ac:dyDescent="0.3">
      <c r="I3782"/>
      <c r="J3782"/>
    </row>
    <row r="3783" spans="9:10" x14ac:dyDescent="0.3">
      <c r="I3783"/>
      <c r="J3783"/>
    </row>
    <row r="3784" spans="9:10" x14ac:dyDescent="0.3">
      <c r="I3784"/>
      <c r="J3784"/>
    </row>
    <row r="3785" spans="9:10" x14ac:dyDescent="0.3">
      <c r="I3785"/>
      <c r="J3785"/>
    </row>
    <row r="3786" spans="9:10" x14ac:dyDescent="0.3">
      <c r="I3786"/>
      <c r="J3786"/>
    </row>
    <row r="3787" spans="9:10" x14ac:dyDescent="0.3">
      <c r="I3787"/>
      <c r="J3787"/>
    </row>
    <row r="3788" spans="9:10" x14ac:dyDescent="0.3">
      <c r="I3788"/>
      <c r="J3788"/>
    </row>
    <row r="3789" spans="9:10" x14ac:dyDescent="0.3">
      <c r="I3789"/>
      <c r="J3789"/>
    </row>
    <row r="3790" spans="9:10" x14ac:dyDescent="0.3">
      <c r="I3790"/>
      <c r="J3790"/>
    </row>
    <row r="3791" spans="9:10" x14ac:dyDescent="0.3">
      <c r="I3791"/>
      <c r="J3791"/>
    </row>
    <row r="3792" spans="9:10" x14ac:dyDescent="0.3">
      <c r="I3792"/>
      <c r="J3792"/>
    </row>
    <row r="3793" spans="9:10" x14ac:dyDescent="0.3">
      <c r="I3793"/>
      <c r="J3793"/>
    </row>
    <row r="3794" spans="9:10" x14ac:dyDescent="0.3">
      <c r="I3794"/>
      <c r="J3794"/>
    </row>
    <row r="3795" spans="9:10" x14ac:dyDescent="0.3">
      <c r="I3795"/>
      <c r="J3795"/>
    </row>
    <row r="3796" spans="9:10" x14ac:dyDescent="0.3">
      <c r="I3796"/>
      <c r="J3796"/>
    </row>
    <row r="3797" spans="9:10" x14ac:dyDescent="0.3">
      <c r="I3797"/>
      <c r="J3797"/>
    </row>
    <row r="3798" spans="9:10" x14ac:dyDescent="0.3">
      <c r="I3798"/>
      <c r="J3798"/>
    </row>
    <row r="3799" spans="9:10" x14ac:dyDescent="0.3">
      <c r="I3799"/>
      <c r="J3799"/>
    </row>
    <row r="3800" spans="9:10" x14ac:dyDescent="0.3">
      <c r="I3800"/>
      <c r="J3800"/>
    </row>
    <row r="3801" spans="9:10" x14ac:dyDescent="0.3">
      <c r="I3801"/>
      <c r="J3801"/>
    </row>
    <row r="3802" spans="9:10" x14ac:dyDescent="0.3">
      <c r="I3802"/>
      <c r="J3802"/>
    </row>
    <row r="3803" spans="9:10" x14ac:dyDescent="0.3">
      <c r="I3803"/>
      <c r="J3803"/>
    </row>
    <row r="3804" spans="9:10" x14ac:dyDescent="0.3">
      <c r="I3804"/>
      <c r="J3804"/>
    </row>
    <row r="3805" spans="9:10" x14ac:dyDescent="0.3">
      <c r="I3805"/>
      <c r="J3805"/>
    </row>
    <row r="3806" spans="9:10" x14ac:dyDescent="0.3">
      <c r="I3806"/>
      <c r="J3806"/>
    </row>
    <row r="3807" spans="9:10" x14ac:dyDescent="0.3">
      <c r="I3807"/>
      <c r="J3807"/>
    </row>
    <row r="3808" spans="9:10" x14ac:dyDescent="0.3">
      <c r="I3808"/>
      <c r="J3808"/>
    </row>
    <row r="3809" spans="9:10" x14ac:dyDescent="0.3">
      <c r="I3809"/>
      <c r="J3809"/>
    </row>
    <row r="3810" spans="9:10" x14ac:dyDescent="0.3">
      <c r="I3810"/>
      <c r="J3810"/>
    </row>
    <row r="3811" spans="9:10" x14ac:dyDescent="0.3">
      <c r="I3811"/>
      <c r="J3811"/>
    </row>
    <row r="3812" spans="9:10" x14ac:dyDescent="0.3">
      <c r="I3812"/>
      <c r="J3812"/>
    </row>
    <row r="3813" spans="9:10" x14ac:dyDescent="0.3">
      <c r="I3813"/>
      <c r="J3813"/>
    </row>
    <row r="3814" spans="9:10" x14ac:dyDescent="0.3">
      <c r="I3814"/>
      <c r="J3814"/>
    </row>
    <row r="3815" spans="9:10" x14ac:dyDescent="0.3">
      <c r="I3815"/>
      <c r="J3815"/>
    </row>
    <row r="3816" spans="9:10" x14ac:dyDescent="0.3">
      <c r="I3816"/>
      <c r="J3816"/>
    </row>
    <row r="3817" spans="9:10" x14ac:dyDescent="0.3">
      <c r="I3817"/>
      <c r="J3817"/>
    </row>
    <row r="3818" spans="9:10" x14ac:dyDescent="0.3">
      <c r="I3818"/>
      <c r="J3818"/>
    </row>
    <row r="3819" spans="9:10" x14ac:dyDescent="0.3">
      <c r="I3819"/>
      <c r="J3819"/>
    </row>
    <row r="3820" spans="9:10" x14ac:dyDescent="0.3">
      <c r="I3820"/>
      <c r="J3820"/>
    </row>
    <row r="3821" spans="9:10" x14ac:dyDescent="0.3">
      <c r="I3821"/>
      <c r="J3821"/>
    </row>
    <row r="3822" spans="9:10" x14ac:dyDescent="0.3">
      <c r="I3822"/>
      <c r="J3822"/>
    </row>
    <row r="3823" spans="9:10" x14ac:dyDescent="0.3">
      <c r="I3823"/>
      <c r="J3823"/>
    </row>
    <row r="3824" spans="9:10" x14ac:dyDescent="0.3">
      <c r="I3824"/>
      <c r="J3824"/>
    </row>
    <row r="3825" spans="9:10" x14ac:dyDescent="0.3">
      <c r="I3825"/>
      <c r="J3825"/>
    </row>
    <row r="3826" spans="9:10" x14ac:dyDescent="0.3">
      <c r="I3826"/>
      <c r="J3826"/>
    </row>
    <row r="3827" spans="9:10" x14ac:dyDescent="0.3">
      <c r="I3827"/>
      <c r="J3827"/>
    </row>
    <row r="3828" spans="9:10" x14ac:dyDescent="0.3">
      <c r="I3828"/>
      <c r="J3828"/>
    </row>
    <row r="3829" spans="9:10" x14ac:dyDescent="0.3">
      <c r="I3829"/>
      <c r="J3829"/>
    </row>
    <row r="3830" spans="9:10" x14ac:dyDescent="0.3">
      <c r="I3830"/>
      <c r="J3830"/>
    </row>
    <row r="3831" spans="9:10" x14ac:dyDescent="0.3">
      <c r="I3831"/>
      <c r="J3831"/>
    </row>
    <row r="3832" spans="9:10" x14ac:dyDescent="0.3">
      <c r="I3832"/>
      <c r="J3832"/>
    </row>
    <row r="3833" spans="9:10" x14ac:dyDescent="0.3">
      <c r="I3833"/>
      <c r="J3833"/>
    </row>
    <row r="3834" spans="9:10" x14ac:dyDescent="0.3">
      <c r="I3834"/>
      <c r="J3834"/>
    </row>
    <row r="3835" spans="9:10" x14ac:dyDescent="0.3">
      <c r="I3835"/>
      <c r="J3835"/>
    </row>
    <row r="3836" spans="9:10" x14ac:dyDescent="0.3">
      <c r="I3836"/>
      <c r="J3836"/>
    </row>
    <row r="3837" spans="9:10" x14ac:dyDescent="0.3">
      <c r="I3837"/>
      <c r="J3837"/>
    </row>
    <row r="3838" spans="9:10" x14ac:dyDescent="0.3">
      <c r="I3838"/>
      <c r="J3838"/>
    </row>
    <row r="3839" spans="9:10" x14ac:dyDescent="0.3">
      <c r="I3839"/>
      <c r="J3839"/>
    </row>
    <row r="3840" spans="9:10" x14ac:dyDescent="0.3">
      <c r="I3840"/>
      <c r="J3840"/>
    </row>
    <row r="3841" spans="9:10" x14ac:dyDescent="0.3">
      <c r="I3841"/>
      <c r="J3841"/>
    </row>
    <row r="3842" spans="9:10" x14ac:dyDescent="0.3">
      <c r="I3842"/>
      <c r="J3842"/>
    </row>
    <row r="3843" spans="9:10" x14ac:dyDescent="0.3">
      <c r="I3843"/>
      <c r="J3843"/>
    </row>
    <row r="3844" spans="9:10" x14ac:dyDescent="0.3">
      <c r="I3844"/>
      <c r="J3844"/>
    </row>
    <row r="3845" spans="9:10" x14ac:dyDescent="0.3">
      <c r="I3845"/>
      <c r="J3845"/>
    </row>
    <row r="3846" spans="9:10" x14ac:dyDescent="0.3">
      <c r="I3846"/>
      <c r="J3846"/>
    </row>
    <row r="3847" spans="9:10" x14ac:dyDescent="0.3">
      <c r="I3847"/>
      <c r="J3847"/>
    </row>
    <row r="3848" spans="9:10" x14ac:dyDescent="0.3">
      <c r="I3848"/>
      <c r="J3848"/>
    </row>
    <row r="3849" spans="9:10" x14ac:dyDescent="0.3">
      <c r="I3849"/>
      <c r="J3849"/>
    </row>
    <row r="3850" spans="9:10" x14ac:dyDescent="0.3">
      <c r="I3850"/>
      <c r="J3850"/>
    </row>
    <row r="3851" spans="9:10" x14ac:dyDescent="0.3">
      <c r="I3851"/>
      <c r="J3851"/>
    </row>
    <row r="3852" spans="9:10" x14ac:dyDescent="0.3">
      <c r="I3852"/>
      <c r="J3852"/>
    </row>
    <row r="3853" spans="9:10" x14ac:dyDescent="0.3">
      <c r="I3853"/>
      <c r="J3853"/>
    </row>
    <row r="3854" spans="9:10" x14ac:dyDescent="0.3">
      <c r="I3854"/>
      <c r="J3854"/>
    </row>
    <row r="3855" spans="9:10" x14ac:dyDescent="0.3">
      <c r="I3855"/>
      <c r="J3855"/>
    </row>
    <row r="3856" spans="9:10" x14ac:dyDescent="0.3">
      <c r="I3856"/>
      <c r="J3856"/>
    </row>
    <row r="3857" spans="9:10" x14ac:dyDescent="0.3">
      <c r="I3857"/>
      <c r="J3857"/>
    </row>
    <row r="3858" spans="9:10" x14ac:dyDescent="0.3">
      <c r="I3858"/>
      <c r="J3858"/>
    </row>
    <row r="3859" spans="9:10" x14ac:dyDescent="0.3">
      <c r="I3859"/>
      <c r="J3859"/>
    </row>
    <row r="3860" spans="9:10" x14ac:dyDescent="0.3">
      <c r="I3860"/>
      <c r="J3860"/>
    </row>
    <row r="3861" spans="9:10" x14ac:dyDescent="0.3">
      <c r="I3861"/>
      <c r="J3861"/>
    </row>
    <row r="3862" spans="9:10" x14ac:dyDescent="0.3">
      <c r="I3862"/>
      <c r="J3862"/>
    </row>
    <row r="3863" spans="9:10" x14ac:dyDescent="0.3">
      <c r="I3863"/>
      <c r="J3863"/>
    </row>
    <row r="3864" spans="9:10" x14ac:dyDescent="0.3">
      <c r="I3864"/>
      <c r="J3864"/>
    </row>
    <row r="3865" spans="9:10" x14ac:dyDescent="0.3">
      <c r="I3865"/>
      <c r="J3865"/>
    </row>
    <row r="3866" spans="9:10" x14ac:dyDescent="0.3">
      <c r="I3866"/>
      <c r="J3866"/>
    </row>
    <row r="3867" spans="9:10" x14ac:dyDescent="0.3">
      <c r="I3867"/>
      <c r="J3867"/>
    </row>
    <row r="3868" spans="9:10" x14ac:dyDescent="0.3">
      <c r="I3868"/>
      <c r="J3868"/>
    </row>
    <row r="3869" spans="9:10" x14ac:dyDescent="0.3">
      <c r="I3869"/>
      <c r="J3869"/>
    </row>
    <row r="3870" spans="9:10" x14ac:dyDescent="0.3">
      <c r="I3870"/>
      <c r="J3870"/>
    </row>
    <row r="3871" spans="9:10" x14ac:dyDescent="0.3">
      <c r="I3871"/>
      <c r="J3871"/>
    </row>
    <row r="3872" spans="9:10" x14ac:dyDescent="0.3">
      <c r="I3872"/>
      <c r="J3872"/>
    </row>
    <row r="3873" spans="9:10" x14ac:dyDescent="0.3">
      <c r="I3873"/>
      <c r="J3873"/>
    </row>
    <row r="3874" spans="9:10" x14ac:dyDescent="0.3">
      <c r="I3874"/>
      <c r="J3874"/>
    </row>
    <row r="3875" spans="9:10" x14ac:dyDescent="0.3">
      <c r="I3875"/>
      <c r="J3875"/>
    </row>
    <row r="3876" spans="9:10" x14ac:dyDescent="0.3">
      <c r="I3876"/>
      <c r="J3876"/>
    </row>
    <row r="3877" spans="9:10" x14ac:dyDescent="0.3">
      <c r="I3877"/>
      <c r="J3877"/>
    </row>
    <row r="3878" spans="9:10" x14ac:dyDescent="0.3">
      <c r="I3878"/>
      <c r="J3878"/>
    </row>
    <row r="3879" spans="9:10" x14ac:dyDescent="0.3">
      <c r="I3879"/>
      <c r="J3879"/>
    </row>
    <row r="3880" spans="9:10" x14ac:dyDescent="0.3">
      <c r="I3880"/>
      <c r="J3880"/>
    </row>
    <row r="3881" spans="9:10" x14ac:dyDescent="0.3">
      <c r="I3881"/>
      <c r="J3881"/>
    </row>
    <row r="3882" spans="9:10" x14ac:dyDescent="0.3">
      <c r="I3882"/>
      <c r="J3882"/>
    </row>
    <row r="3883" spans="9:10" x14ac:dyDescent="0.3">
      <c r="I3883"/>
      <c r="J3883"/>
    </row>
    <row r="3884" spans="9:10" x14ac:dyDescent="0.3">
      <c r="I3884"/>
      <c r="J3884"/>
    </row>
    <row r="3885" spans="9:10" x14ac:dyDescent="0.3">
      <c r="I3885"/>
      <c r="J3885"/>
    </row>
    <row r="3886" spans="9:10" x14ac:dyDescent="0.3">
      <c r="I3886"/>
      <c r="J3886"/>
    </row>
    <row r="3887" spans="9:10" x14ac:dyDescent="0.3">
      <c r="I3887"/>
      <c r="J3887"/>
    </row>
    <row r="3888" spans="9:10" x14ac:dyDescent="0.3">
      <c r="I3888"/>
      <c r="J3888"/>
    </row>
    <row r="3889" spans="9:10" x14ac:dyDescent="0.3">
      <c r="I3889"/>
      <c r="J3889"/>
    </row>
    <row r="3890" spans="9:10" x14ac:dyDescent="0.3">
      <c r="I3890"/>
      <c r="J3890"/>
    </row>
    <row r="3891" spans="9:10" x14ac:dyDescent="0.3">
      <c r="I3891"/>
      <c r="J3891"/>
    </row>
    <row r="3892" spans="9:10" x14ac:dyDescent="0.3">
      <c r="I3892"/>
      <c r="J3892"/>
    </row>
    <row r="3893" spans="9:10" x14ac:dyDescent="0.3">
      <c r="I3893"/>
      <c r="J3893"/>
    </row>
    <row r="3894" spans="9:10" x14ac:dyDescent="0.3">
      <c r="I3894"/>
      <c r="J3894"/>
    </row>
    <row r="3895" spans="9:10" x14ac:dyDescent="0.3">
      <c r="I3895"/>
      <c r="J3895"/>
    </row>
    <row r="3896" spans="9:10" x14ac:dyDescent="0.3">
      <c r="I3896"/>
      <c r="J3896"/>
    </row>
    <row r="3897" spans="9:10" x14ac:dyDescent="0.3">
      <c r="I3897"/>
      <c r="J3897"/>
    </row>
    <row r="3898" spans="9:10" x14ac:dyDescent="0.3">
      <c r="I3898"/>
      <c r="J3898"/>
    </row>
    <row r="3899" spans="9:10" x14ac:dyDescent="0.3">
      <c r="I3899"/>
      <c r="J3899"/>
    </row>
    <row r="3900" spans="9:10" x14ac:dyDescent="0.3">
      <c r="I3900"/>
      <c r="J3900"/>
    </row>
    <row r="3901" spans="9:10" x14ac:dyDescent="0.3">
      <c r="I3901"/>
      <c r="J3901"/>
    </row>
    <row r="3902" spans="9:10" x14ac:dyDescent="0.3">
      <c r="I3902"/>
      <c r="J3902"/>
    </row>
    <row r="3903" spans="9:10" x14ac:dyDescent="0.3">
      <c r="I3903"/>
      <c r="J3903"/>
    </row>
    <row r="3904" spans="9:10" x14ac:dyDescent="0.3">
      <c r="I3904"/>
      <c r="J3904"/>
    </row>
    <row r="3905" spans="9:10" x14ac:dyDescent="0.3">
      <c r="I3905"/>
      <c r="J3905"/>
    </row>
    <row r="3906" spans="9:10" x14ac:dyDescent="0.3">
      <c r="I3906"/>
      <c r="J3906"/>
    </row>
    <row r="3907" spans="9:10" x14ac:dyDescent="0.3">
      <c r="I3907"/>
      <c r="J3907"/>
    </row>
    <row r="3908" spans="9:10" x14ac:dyDescent="0.3">
      <c r="I3908"/>
      <c r="J3908"/>
    </row>
    <row r="3909" spans="9:10" x14ac:dyDescent="0.3">
      <c r="I3909"/>
      <c r="J3909"/>
    </row>
    <row r="3910" spans="9:10" x14ac:dyDescent="0.3">
      <c r="I3910"/>
      <c r="J3910"/>
    </row>
    <row r="3911" spans="9:10" x14ac:dyDescent="0.3">
      <c r="I3911"/>
      <c r="J3911"/>
    </row>
    <row r="3912" spans="9:10" x14ac:dyDescent="0.3">
      <c r="I3912"/>
      <c r="J3912"/>
    </row>
    <row r="3913" spans="9:10" x14ac:dyDescent="0.3">
      <c r="I3913"/>
      <c r="J3913"/>
    </row>
    <row r="3914" spans="9:10" x14ac:dyDescent="0.3">
      <c r="I3914"/>
      <c r="J3914"/>
    </row>
    <row r="3915" spans="9:10" x14ac:dyDescent="0.3">
      <c r="I3915"/>
      <c r="J3915"/>
    </row>
    <row r="3916" spans="9:10" x14ac:dyDescent="0.3">
      <c r="I3916"/>
      <c r="J3916"/>
    </row>
    <row r="3917" spans="9:10" x14ac:dyDescent="0.3">
      <c r="I3917"/>
      <c r="J3917"/>
    </row>
    <row r="3918" spans="9:10" x14ac:dyDescent="0.3">
      <c r="I3918"/>
      <c r="J3918"/>
    </row>
    <row r="3919" spans="9:10" x14ac:dyDescent="0.3">
      <c r="I3919"/>
      <c r="J3919"/>
    </row>
    <row r="3920" spans="9:10" x14ac:dyDescent="0.3">
      <c r="I3920"/>
      <c r="J3920"/>
    </row>
    <row r="3921" spans="9:10" x14ac:dyDescent="0.3">
      <c r="I3921"/>
      <c r="J3921"/>
    </row>
    <row r="3922" spans="9:10" x14ac:dyDescent="0.3">
      <c r="I3922"/>
      <c r="J3922"/>
    </row>
    <row r="3923" spans="9:10" x14ac:dyDescent="0.3">
      <c r="I3923"/>
      <c r="J3923"/>
    </row>
    <row r="3924" spans="9:10" x14ac:dyDescent="0.3">
      <c r="I3924"/>
      <c r="J3924"/>
    </row>
    <row r="3925" spans="9:10" x14ac:dyDescent="0.3">
      <c r="I3925"/>
      <c r="J3925"/>
    </row>
    <row r="3926" spans="9:10" x14ac:dyDescent="0.3">
      <c r="I3926"/>
      <c r="J3926"/>
    </row>
    <row r="3927" spans="9:10" x14ac:dyDescent="0.3">
      <c r="I3927"/>
      <c r="J3927"/>
    </row>
    <row r="3928" spans="9:10" x14ac:dyDescent="0.3">
      <c r="I3928"/>
      <c r="J3928"/>
    </row>
    <row r="3929" spans="9:10" x14ac:dyDescent="0.3">
      <c r="I3929"/>
      <c r="J3929"/>
    </row>
    <row r="3930" spans="9:10" x14ac:dyDescent="0.3">
      <c r="I3930"/>
      <c r="J3930"/>
    </row>
    <row r="3931" spans="9:10" x14ac:dyDescent="0.3">
      <c r="I3931"/>
      <c r="J3931"/>
    </row>
    <row r="3932" spans="9:10" x14ac:dyDescent="0.3">
      <c r="I3932"/>
      <c r="J3932"/>
    </row>
    <row r="3933" spans="9:10" x14ac:dyDescent="0.3">
      <c r="I3933"/>
      <c r="J3933"/>
    </row>
    <row r="3934" spans="9:10" x14ac:dyDescent="0.3">
      <c r="I3934"/>
      <c r="J3934"/>
    </row>
    <row r="3935" spans="9:10" x14ac:dyDescent="0.3">
      <c r="I3935"/>
      <c r="J3935"/>
    </row>
    <row r="3936" spans="9:10" x14ac:dyDescent="0.3">
      <c r="I3936"/>
      <c r="J3936"/>
    </row>
    <row r="3937" spans="9:10" x14ac:dyDescent="0.3">
      <c r="I3937"/>
      <c r="J3937"/>
    </row>
    <row r="3938" spans="9:10" x14ac:dyDescent="0.3">
      <c r="I3938"/>
      <c r="J3938"/>
    </row>
    <row r="3939" spans="9:10" x14ac:dyDescent="0.3">
      <c r="I3939"/>
      <c r="J3939"/>
    </row>
    <row r="3940" spans="9:10" x14ac:dyDescent="0.3">
      <c r="I3940"/>
      <c r="J3940"/>
    </row>
    <row r="3941" spans="9:10" x14ac:dyDescent="0.3">
      <c r="I3941"/>
      <c r="J3941"/>
    </row>
    <row r="3942" spans="9:10" x14ac:dyDescent="0.3">
      <c r="I3942"/>
      <c r="J3942"/>
    </row>
    <row r="3943" spans="9:10" x14ac:dyDescent="0.3">
      <c r="I3943"/>
      <c r="J3943"/>
    </row>
    <row r="3944" spans="9:10" x14ac:dyDescent="0.3">
      <c r="I3944"/>
      <c r="J3944"/>
    </row>
    <row r="3945" spans="9:10" x14ac:dyDescent="0.3">
      <c r="I3945"/>
      <c r="J3945"/>
    </row>
    <row r="3946" spans="9:10" x14ac:dyDescent="0.3">
      <c r="I3946"/>
      <c r="J3946"/>
    </row>
    <row r="3947" spans="9:10" x14ac:dyDescent="0.3">
      <c r="I3947"/>
      <c r="J3947"/>
    </row>
    <row r="3948" spans="9:10" x14ac:dyDescent="0.3">
      <c r="I3948"/>
      <c r="J3948"/>
    </row>
    <row r="3949" spans="9:10" x14ac:dyDescent="0.3">
      <c r="I3949"/>
      <c r="J3949"/>
    </row>
    <row r="3950" spans="9:10" x14ac:dyDescent="0.3">
      <c r="I3950"/>
      <c r="J3950"/>
    </row>
    <row r="3951" spans="9:10" x14ac:dyDescent="0.3">
      <c r="I3951"/>
      <c r="J3951"/>
    </row>
    <row r="3952" spans="9:10" x14ac:dyDescent="0.3">
      <c r="I3952"/>
      <c r="J3952"/>
    </row>
    <row r="3953" spans="9:10" x14ac:dyDescent="0.3">
      <c r="I3953"/>
      <c r="J3953"/>
    </row>
    <row r="3954" spans="9:10" x14ac:dyDescent="0.3">
      <c r="I3954"/>
      <c r="J3954"/>
    </row>
    <row r="3955" spans="9:10" x14ac:dyDescent="0.3">
      <c r="I3955"/>
      <c r="J3955"/>
    </row>
    <row r="3956" spans="9:10" x14ac:dyDescent="0.3">
      <c r="I3956"/>
      <c r="J3956"/>
    </row>
    <row r="3957" spans="9:10" x14ac:dyDescent="0.3">
      <c r="I3957"/>
      <c r="J3957"/>
    </row>
    <row r="3958" spans="9:10" x14ac:dyDescent="0.3">
      <c r="I3958"/>
      <c r="J3958"/>
    </row>
    <row r="3959" spans="9:10" x14ac:dyDescent="0.3">
      <c r="I3959"/>
      <c r="J3959"/>
    </row>
    <row r="3960" spans="9:10" x14ac:dyDescent="0.3">
      <c r="I3960"/>
      <c r="J3960"/>
    </row>
    <row r="3961" spans="9:10" x14ac:dyDescent="0.3">
      <c r="I3961"/>
      <c r="J3961"/>
    </row>
    <row r="3962" spans="9:10" x14ac:dyDescent="0.3">
      <c r="I3962"/>
      <c r="J3962"/>
    </row>
    <row r="3963" spans="9:10" x14ac:dyDescent="0.3">
      <c r="I3963"/>
      <c r="J3963"/>
    </row>
    <row r="3964" spans="9:10" x14ac:dyDescent="0.3">
      <c r="I3964"/>
      <c r="J3964"/>
    </row>
    <row r="3965" spans="9:10" x14ac:dyDescent="0.3">
      <c r="I3965"/>
      <c r="J3965"/>
    </row>
    <row r="3966" spans="9:10" x14ac:dyDescent="0.3">
      <c r="I3966"/>
      <c r="J3966"/>
    </row>
    <row r="3967" spans="9:10" x14ac:dyDescent="0.3">
      <c r="I3967"/>
      <c r="J3967"/>
    </row>
    <row r="3968" spans="9:10" x14ac:dyDescent="0.3">
      <c r="I3968"/>
      <c r="J3968"/>
    </row>
    <row r="3969" spans="9:10" x14ac:dyDescent="0.3">
      <c r="I3969"/>
      <c r="J3969"/>
    </row>
    <row r="3970" spans="9:10" x14ac:dyDescent="0.3">
      <c r="I3970"/>
      <c r="J3970"/>
    </row>
    <row r="3971" spans="9:10" x14ac:dyDescent="0.3">
      <c r="I3971"/>
      <c r="J3971"/>
    </row>
    <row r="3972" spans="9:10" x14ac:dyDescent="0.3">
      <c r="I3972"/>
      <c r="J3972"/>
    </row>
    <row r="3973" spans="9:10" x14ac:dyDescent="0.3">
      <c r="I3973"/>
      <c r="J3973"/>
    </row>
    <row r="3974" spans="9:10" x14ac:dyDescent="0.3">
      <c r="I3974"/>
      <c r="J3974"/>
    </row>
    <row r="3975" spans="9:10" x14ac:dyDescent="0.3">
      <c r="I3975"/>
      <c r="J3975"/>
    </row>
    <row r="3976" spans="9:10" x14ac:dyDescent="0.3">
      <c r="I3976"/>
      <c r="J3976"/>
    </row>
    <row r="3977" spans="9:10" x14ac:dyDescent="0.3">
      <c r="I3977"/>
      <c r="J3977"/>
    </row>
    <row r="3978" spans="9:10" x14ac:dyDescent="0.3">
      <c r="I3978"/>
      <c r="J3978"/>
    </row>
    <row r="3979" spans="9:10" x14ac:dyDescent="0.3">
      <c r="I3979"/>
      <c r="J3979"/>
    </row>
    <row r="3980" spans="9:10" x14ac:dyDescent="0.3">
      <c r="I3980"/>
      <c r="J3980"/>
    </row>
    <row r="3981" spans="9:10" x14ac:dyDescent="0.3">
      <c r="I3981"/>
      <c r="J3981"/>
    </row>
    <row r="3982" spans="9:10" x14ac:dyDescent="0.3">
      <c r="I3982"/>
      <c r="J3982"/>
    </row>
    <row r="3983" spans="9:10" x14ac:dyDescent="0.3">
      <c r="I3983"/>
      <c r="J3983"/>
    </row>
    <row r="3984" spans="9:10" x14ac:dyDescent="0.3">
      <c r="I3984"/>
      <c r="J3984"/>
    </row>
    <row r="3985" spans="9:10" x14ac:dyDescent="0.3">
      <c r="I3985"/>
      <c r="J3985"/>
    </row>
    <row r="3986" spans="9:10" x14ac:dyDescent="0.3">
      <c r="I3986"/>
      <c r="J3986"/>
    </row>
    <row r="3987" spans="9:10" x14ac:dyDescent="0.3">
      <c r="I3987"/>
      <c r="J3987"/>
    </row>
    <row r="3988" spans="9:10" x14ac:dyDescent="0.3">
      <c r="I3988"/>
      <c r="J3988"/>
    </row>
    <row r="3989" spans="9:10" x14ac:dyDescent="0.3">
      <c r="I3989"/>
      <c r="J3989"/>
    </row>
    <row r="3990" spans="9:10" x14ac:dyDescent="0.3">
      <c r="I3990"/>
      <c r="J3990"/>
    </row>
    <row r="3991" spans="9:10" x14ac:dyDescent="0.3">
      <c r="I3991"/>
      <c r="J3991"/>
    </row>
    <row r="3992" spans="9:10" x14ac:dyDescent="0.3">
      <c r="I3992"/>
      <c r="J3992"/>
    </row>
    <row r="3993" spans="9:10" x14ac:dyDescent="0.3">
      <c r="I3993"/>
      <c r="J3993"/>
    </row>
    <row r="3994" spans="9:10" x14ac:dyDescent="0.3">
      <c r="I3994"/>
      <c r="J3994"/>
    </row>
    <row r="3995" spans="9:10" x14ac:dyDescent="0.3">
      <c r="I3995"/>
      <c r="J3995"/>
    </row>
    <row r="3996" spans="9:10" x14ac:dyDescent="0.3">
      <c r="I3996"/>
      <c r="J3996"/>
    </row>
    <row r="3997" spans="9:10" x14ac:dyDescent="0.3">
      <c r="I3997"/>
      <c r="J3997"/>
    </row>
    <row r="3998" spans="9:10" x14ac:dyDescent="0.3">
      <c r="I3998"/>
      <c r="J3998"/>
    </row>
    <row r="3999" spans="9:10" x14ac:dyDescent="0.3">
      <c r="I3999"/>
      <c r="J3999"/>
    </row>
    <row r="4000" spans="9:10" x14ac:dyDescent="0.3">
      <c r="I4000"/>
      <c r="J4000"/>
    </row>
    <row r="4001" spans="9:10" x14ac:dyDescent="0.3">
      <c r="I4001"/>
      <c r="J4001"/>
    </row>
    <row r="4002" spans="9:10" x14ac:dyDescent="0.3">
      <c r="I4002"/>
      <c r="J4002"/>
    </row>
    <row r="4003" spans="9:10" x14ac:dyDescent="0.3">
      <c r="I4003"/>
      <c r="J4003"/>
    </row>
    <row r="4004" spans="9:10" x14ac:dyDescent="0.3">
      <c r="I4004"/>
      <c r="J4004"/>
    </row>
    <row r="4005" spans="9:10" x14ac:dyDescent="0.3">
      <c r="I4005"/>
      <c r="J4005"/>
    </row>
    <row r="4006" spans="9:10" x14ac:dyDescent="0.3">
      <c r="I4006"/>
      <c r="J4006"/>
    </row>
    <row r="4007" spans="9:10" x14ac:dyDescent="0.3">
      <c r="I4007"/>
      <c r="J4007"/>
    </row>
    <row r="4008" spans="9:10" x14ac:dyDescent="0.3">
      <c r="I4008"/>
      <c r="J4008"/>
    </row>
    <row r="4009" spans="9:10" x14ac:dyDescent="0.3">
      <c r="I4009"/>
      <c r="J4009"/>
    </row>
    <row r="4010" spans="9:10" x14ac:dyDescent="0.3">
      <c r="I4010"/>
      <c r="J4010"/>
    </row>
    <row r="4011" spans="9:10" x14ac:dyDescent="0.3">
      <c r="I4011"/>
      <c r="J4011"/>
    </row>
    <row r="4012" spans="9:10" x14ac:dyDescent="0.3">
      <c r="I4012"/>
      <c r="J4012"/>
    </row>
    <row r="4013" spans="9:10" x14ac:dyDescent="0.3">
      <c r="I4013"/>
      <c r="J4013"/>
    </row>
    <row r="4014" spans="9:10" x14ac:dyDescent="0.3">
      <c r="I4014"/>
      <c r="J4014"/>
    </row>
    <row r="4015" spans="9:10" x14ac:dyDescent="0.3">
      <c r="I4015"/>
      <c r="J4015"/>
    </row>
    <row r="4016" spans="9:10" x14ac:dyDescent="0.3">
      <c r="I4016"/>
      <c r="J4016"/>
    </row>
    <row r="4017" spans="9:10" x14ac:dyDescent="0.3">
      <c r="I4017"/>
      <c r="J4017"/>
    </row>
    <row r="4018" spans="9:10" x14ac:dyDescent="0.3">
      <c r="I4018"/>
      <c r="J4018"/>
    </row>
    <row r="4019" spans="9:10" x14ac:dyDescent="0.3">
      <c r="I4019"/>
      <c r="J4019"/>
    </row>
    <row r="4020" spans="9:10" x14ac:dyDescent="0.3">
      <c r="I4020"/>
      <c r="J4020"/>
    </row>
    <row r="4021" spans="9:10" x14ac:dyDescent="0.3">
      <c r="I4021"/>
      <c r="J4021"/>
    </row>
    <row r="4022" spans="9:10" x14ac:dyDescent="0.3">
      <c r="I4022"/>
      <c r="J4022"/>
    </row>
    <row r="4023" spans="9:10" x14ac:dyDescent="0.3">
      <c r="I4023"/>
      <c r="J4023"/>
    </row>
    <row r="4024" spans="9:10" x14ac:dyDescent="0.3">
      <c r="I4024"/>
      <c r="J4024"/>
    </row>
    <row r="4025" spans="9:10" x14ac:dyDescent="0.3">
      <c r="I4025"/>
      <c r="J4025"/>
    </row>
    <row r="4026" spans="9:10" x14ac:dyDescent="0.3">
      <c r="I4026"/>
      <c r="J4026"/>
    </row>
    <row r="4027" spans="9:10" x14ac:dyDescent="0.3">
      <c r="I4027"/>
      <c r="J4027"/>
    </row>
    <row r="4028" spans="9:10" x14ac:dyDescent="0.3">
      <c r="I4028"/>
      <c r="J4028"/>
    </row>
    <row r="4029" spans="9:10" x14ac:dyDescent="0.3">
      <c r="I4029"/>
      <c r="J4029"/>
    </row>
    <row r="4030" spans="9:10" x14ac:dyDescent="0.3">
      <c r="I4030"/>
      <c r="J4030"/>
    </row>
    <row r="4031" spans="9:10" x14ac:dyDescent="0.3">
      <c r="I4031"/>
      <c r="J4031"/>
    </row>
    <row r="4032" spans="9:10" x14ac:dyDescent="0.3">
      <c r="I4032"/>
      <c r="J4032"/>
    </row>
    <row r="4033" spans="9:10" x14ac:dyDescent="0.3">
      <c r="I4033"/>
      <c r="J4033"/>
    </row>
    <row r="4034" spans="9:10" x14ac:dyDescent="0.3">
      <c r="I4034"/>
      <c r="J4034"/>
    </row>
    <row r="4035" spans="9:10" x14ac:dyDescent="0.3">
      <c r="I4035"/>
      <c r="J4035"/>
    </row>
    <row r="4036" spans="9:10" x14ac:dyDescent="0.3">
      <c r="I4036"/>
      <c r="J4036"/>
    </row>
    <row r="4037" spans="9:10" x14ac:dyDescent="0.3">
      <c r="I4037"/>
      <c r="J4037"/>
    </row>
    <row r="4038" spans="9:10" x14ac:dyDescent="0.3">
      <c r="I4038"/>
      <c r="J4038"/>
    </row>
    <row r="4039" spans="9:10" x14ac:dyDescent="0.3">
      <c r="I4039"/>
      <c r="J4039"/>
    </row>
    <row r="4040" spans="9:10" x14ac:dyDescent="0.3">
      <c r="I4040"/>
      <c r="J4040"/>
    </row>
    <row r="4041" spans="9:10" x14ac:dyDescent="0.3">
      <c r="I4041"/>
      <c r="J4041"/>
    </row>
    <row r="4042" spans="9:10" x14ac:dyDescent="0.3">
      <c r="I4042"/>
      <c r="J4042"/>
    </row>
    <row r="4043" spans="9:10" x14ac:dyDescent="0.3">
      <c r="I4043"/>
      <c r="J4043"/>
    </row>
    <row r="4044" spans="9:10" x14ac:dyDescent="0.3">
      <c r="I4044"/>
      <c r="J4044"/>
    </row>
    <row r="4045" spans="9:10" x14ac:dyDescent="0.3">
      <c r="I4045"/>
      <c r="J4045"/>
    </row>
    <row r="4046" spans="9:10" x14ac:dyDescent="0.3">
      <c r="I4046"/>
      <c r="J4046"/>
    </row>
    <row r="4047" spans="9:10" x14ac:dyDescent="0.3">
      <c r="I4047"/>
      <c r="J4047"/>
    </row>
    <row r="4048" spans="9:10" x14ac:dyDescent="0.3">
      <c r="I4048"/>
      <c r="J4048"/>
    </row>
    <row r="4049" spans="9:10" x14ac:dyDescent="0.3">
      <c r="I4049"/>
      <c r="J4049"/>
    </row>
    <row r="4050" spans="9:10" x14ac:dyDescent="0.3">
      <c r="I4050"/>
      <c r="J4050"/>
    </row>
    <row r="4051" spans="9:10" x14ac:dyDescent="0.3">
      <c r="I4051"/>
      <c r="J4051"/>
    </row>
    <row r="4052" spans="9:10" x14ac:dyDescent="0.3">
      <c r="I4052"/>
      <c r="J4052"/>
    </row>
    <row r="4053" spans="9:10" x14ac:dyDescent="0.3">
      <c r="I4053"/>
      <c r="J4053"/>
    </row>
    <row r="4054" spans="9:10" x14ac:dyDescent="0.3">
      <c r="I4054"/>
      <c r="J4054"/>
    </row>
    <row r="4055" spans="9:10" x14ac:dyDescent="0.3">
      <c r="I4055"/>
      <c r="J4055"/>
    </row>
    <row r="4056" spans="9:10" x14ac:dyDescent="0.3">
      <c r="I4056"/>
      <c r="J4056"/>
    </row>
    <row r="4057" spans="9:10" x14ac:dyDescent="0.3">
      <c r="I4057"/>
      <c r="J4057"/>
    </row>
    <row r="4058" spans="9:10" x14ac:dyDescent="0.3">
      <c r="I4058"/>
      <c r="J4058"/>
    </row>
    <row r="4059" spans="9:10" x14ac:dyDescent="0.3">
      <c r="I4059"/>
      <c r="J4059"/>
    </row>
    <row r="4060" spans="9:10" x14ac:dyDescent="0.3">
      <c r="I4060"/>
      <c r="J4060"/>
    </row>
    <row r="4061" spans="9:10" x14ac:dyDescent="0.3">
      <c r="I4061"/>
      <c r="J4061"/>
    </row>
    <row r="4062" spans="9:10" x14ac:dyDescent="0.3">
      <c r="I4062"/>
      <c r="J4062"/>
    </row>
    <row r="4063" spans="9:10" x14ac:dyDescent="0.3">
      <c r="I4063"/>
      <c r="J4063"/>
    </row>
    <row r="4064" spans="9:10" x14ac:dyDescent="0.3">
      <c r="I4064"/>
      <c r="J4064"/>
    </row>
    <row r="4065" spans="9:10" x14ac:dyDescent="0.3">
      <c r="I4065"/>
      <c r="J4065"/>
    </row>
    <row r="4066" spans="9:10" x14ac:dyDescent="0.3">
      <c r="I4066"/>
      <c r="J4066"/>
    </row>
    <row r="4067" spans="9:10" x14ac:dyDescent="0.3">
      <c r="I4067"/>
      <c r="J4067"/>
    </row>
    <row r="4068" spans="9:10" x14ac:dyDescent="0.3">
      <c r="I4068"/>
      <c r="J4068"/>
    </row>
    <row r="4069" spans="9:10" x14ac:dyDescent="0.3">
      <c r="I4069"/>
      <c r="J4069"/>
    </row>
    <row r="4070" spans="9:10" x14ac:dyDescent="0.3">
      <c r="I4070"/>
      <c r="J4070"/>
    </row>
    <row r="4071" spans="9:10" x14ac:dyDescent="0.3">
      <c r="I4071"/>
      <c r="J4071"/>
    </row>
    <row r="4072" spans="9:10" x14ac:dyDescent="0.3">
      <c r="I4072"/>
      <c r="J4072"/>
    </row>
    <row r="4073" spans="9:10" x14ac:dyDescent="0.3">
      <c r="I4073"/>
      <c r="J4073"/>
    </row>
    <row r="4074" spans="9:10" x14ac:dyDescent="0.3">
      <c r="I4074"/>
      <c r="J4074"/>
    </row>
    <row r="4075" spans="9:10" x14ac:dyDescent="0.3">
      <c r="I4075"/>
      <c r="J4075"/>
    </row>
    <row r="4076" spans="9:10" x14ac:dyDescent="0.3">
      <c r="I4076"/>
      <c r="J4076"/>
    </row>
    <row r="4077" spans="9:10" x14ac:dyDescent="0.3">
      <c r="I4077"/>
      <c r="J4077"/>
    </row>
    <row r="4078" spans="9:10" x14ac:dyDescent="0.3">
      <c r="I4078"/>
      <c r="J4078"/>
    </row>
    <row r="4079" spans="9:10" x14ac:dyDescent="0.3">
      <c r="I4079"/>
      <c r="J4079"/>
    </row>
    <row r="4080" spans="9:10" x14ac:dyDescent="0.3">
      <c r="I4080"/>
      <c r="J4080"/>
    </row>
    <row r="4081" spans="9:10" x14ac:dyDescent="0.3">
      <c r="I4081"/>
      <c r="J4081"/>
    </row>
    <row r="4082" spans="9:10" x14ac:dyDescent="0.3">
      <c r="I4082"/>
      <c r="J4082"/>
    </row>
    <row r="4083" spans="9:10" x14ac:dyDescent="0.3">
      <c r="I4083"/>
      <c r="J4083"/>
    </row>
    <row r="4084" spans="9:10" x14ac:dyDescent="0.3">
      <c r="I4084"/>
      <c r="J4084"/>
    </row>
    <row r="4085" spans="9:10" x14ac:dyDescent="0.3">
      <c r="I4085"/>
      <c r="J4085"/>
    </row>
    <row r="4086" spans="9:10" x14ac:dyDescent="0.3">
      <c r="I4086"/>
      <c r="J4086"/>
    </row>
    <row r="4087" spans="9:10" x14ac:dyDescent="0.3">
      <c r="I4087"/>
      <c r="J4087"/>
    </row>
    <row r="4088" spans="9:10" x14ac:dyDescent="0.3">
      <c r="I4088"/>
      <c r="J4088"/>
    </row>
    <row r="4089" spans="9:10" x14ac:dyDescent="0.3">
      <c r="I4089"/>
      <c r="J4089"/>
    </row>
    <row r="4090" spans="9:10" x14ac:dyDescent="0.3">
      <c r="I4090"/>
      <c r="J4090"/>
    </row>
    <row r="4091" spans="9:10" x14ac:dyDescent="0.3">
      <c r="I4091"/>
      <c r="J4091"/>
    </row>
    <row r="4092" spans="9:10" x14ac:dyDescent="0.3">
      <c r="I4092"/>
      <c r="J4092"/>
    </row>
    <row r="4093" spans="9:10" x14ac:dyDescent="0.3">
      <c r="I4093"/>
      <c r="J4093"/>
    </row>
    <row r="4094" spans="9:10" x14ac:dyDescent="0.3">
      <c r="I4094"/>
      <c r="J4094"/>
    </row>
    <row r="4095" spans="9:10" x14ac:dyDescent="0.3">
      <c r="I4095"/>
      <c r="J4095"/>
    </row>
    <row r="4096" spans="9:10" x14ac:dyDescent="0.3">
      <c r="I4096"/>
      <c r="J4096"/>
    </row>
    <row r="4097" spans="9:10" x14ac:dyDescent="0.3">
      <c r="I4097"/>
      <c r="J4097"/>
    </row>
    <row r="4098" spans="9:10" x14ac:dyDescent="0.3">
      <c r="I4098"/>
      <c r="J4098"/>
    </row>
    <row r="4099" spans="9:10" x14ac:dyDescent="0.3">
      <c r="I4099"/>
      <c r="J4099"/>
    </row>
    <row r="4100" spans="9:10" x14ac:dyDescent="0.3">
      <c r="I4100"/>
      <c r="J4100"/>
    </row>
    <row r="4101" spans="9:10" x14ac:dyDescent="0.3">
      <c r="I4101"/>
      <c r="J4101"/>
    </row>
    <row r="4102" spans="9:10" x14ac:dyDescent="0.3">
      <c r="I4102"/>
      <c r="J4102"/>
    </row>
    <row r="4103" spans="9:10" x14ac:dyDescent="0.3">
      <c r="I4103"/>
      <c r="J4103"/>
    </row>
    <row r="4104" spans="9:10" x14ac:dyDescent="0.3">
      <c r="I4104"/>
      <c r="J4104"/>
    </row>
    <row r="4105" spans="9:10" x14ac:dyDescent="0.3">
      <c r="I4105"/>
      <c r="J4105"/>
    </row>
    <row r="4106" spans="9:10" x14ac:dyDescent="0.3">
      <c r="I4106"/>
      <c r="J4106"/>
    </row>
    <row r="4107" spans="9:10" x14ac:dyDescent="0.3">
      <c r="I4107"/>
      <c r="J4107"/>
    </row>
    <row r="4108" spans="9:10" x14ac:dyDescent="0.3">
      <c r="I4108"/>
      <c r="J4108"/>
    </row>
    <row r="4109" spans="9:10" x14ac:dyDescent="0.3">
      <c r="I4109"/>
      <c r="J4109"/>
    </row>
    <row r="4110" spans="9:10" x14ac:dyDescent="0.3">
      <c r="I4110"/>
      <c r="J4110"/>
    </row>
    <row r="4111" spans="9:10" x14ac:dyDescent="0.3">
      <c r="I4111"/>
      <c r="J4111"/>
    </row>
    <row r="4112" spans="9:10" x14ac:dyDescent="0.3">
      <c r="I4112"/>
      <c r="J4112"/>
    </row>
    <row r="4113" spans="9:10" x14ac:dyDescent="0.3">
      <c r="I4113"/>
      <c r="J4113"/>
    </row>
    <row r="4114" spans="9:10" x14ac:dyDescent="0.3">
      <c r="I4114"/>
      <c r="J4114"/>
    </row>
    <row r="4115" spans="9:10" x14ac:dyDescent="0.3">
      <c r="I4115"/>
      <c r="J4115"/>
    </row>
    <row r="4116" spans="9:10" x14ac:dyDescent="0.3">
      <c r="I4116"/>
      <c r="J4116"/>
    </row>
    <row r="4117" spans="9:10" x14ac:dyDescent="0.3">
      <c r="I4117"/>
      <c r="J4117"/>
    </row>
    <row r="4118" spans="9:10" x14ac:dyDescent="0.3">
      <c r="I4118"/>
      <c r="J4118"/>
    </row>
    <row r="4119" spans="9:10" x14ac:dyDescent="0.3">
      <c r="I4119"/>
      <c r="J4119"/>
    </row>
    <row r="4120" spans="9:10" x14ac:dyDescent="0.3">
      <c r="I4120"/>
      <c r="J4120"/>
    </row>
    <row r="4121" spans="9:10" x14ac:dyDescent="0.3">
      <c r="I4121"/>
      <c r="J4121"/>
    </row>
    <row r="4122" spans="9:10" x14ac:dyDescent="0.3">
      <c r="I4122"/>
      <c r="J4122"/>
    </row>
    <row r="4123" spans="9:10" x14ac:dyDescent="0.3">
      <c r="I4123"/>
      <c r="J4123"/>
    </row>
    <row r="4124" spans="9:10" x14ac:dyDescent="0.3">
      <c r="I4124"/>
      <c r="J4124"/>
    </row>
    <row r="4125" spans="9:10" x14ac:dyDescent="0.3">
      <c r="I4125"/>
      <c r="J4125"/>
    </row>
    <row r="4126" spans="9:10" x14ac:dyDescent="0.3">
      <c r="I4126"/>
      <c r="J4126"/>
    </row>
    <row r="4127" spans="9:10" x14ac:dyDescent="0.3">
      <c r="I4127"/>
      <c r="J4127"/>
    </row>
    <row r="4128" spans="9:10" x14ac:dyDescent="0.3">
      <c r="I4128"/>
      <c r="J4128"/>
    </row>
    <row r="4129" spans="9:10" x14ac:dyDescent="0.3">
      <c r="I4129"/>
      <c r="J4129"/>
    </row>
    <row r="4130" spans="9:10" x14ac:dyDescent="0.3">
      <c r="I4130"/>
      <c r="J4130"/>
    </row>
    <row r="4131" spans="9:10" x14ac:dyDescent="0.3">
      <c r="I4131"/>
      <c r="J4131"/>
    </row>
    <row r="4132" spans="9:10" x14ac:dyDescent="0.3">
      <c r="I4132"/>
      <c r="J4132"/>
    </row>
    <row r="4133" spans="9:10" x14ac:dyDescent="0.3">
      <c r="I4133"/>
      <c r="J4133"/>
    </row>
    <row r="4134" spans="9:10" x14ac:dyDescent="0.3">
      <c r="I4134"/>
      <c r="J4134"/>
    </row>
    <row r="4135" spans="9:10" x14ac:dyDescent="0.3">
      <c r="I4135"/>
      <c r="J4135"/>
    </row>
    <row r="4136" spans="9:10" x14ac:dyDescent="0.3">
      <c r="I4136"/>
      <c r="J4136"/>
    </row>
    <row r="4137" spans="9:10" x14ac:dyDescent="0.3">
      <c r="I4137"/>
      <c r="J4137"/>
    </row>
    <row r="4138" spans="9:10" x14ac:dyDescent="0.3">
      <c r="I4138"/>
      <c r="J4138"/>
    </row>
    <row r="4139" spans="9:10" x14ac:dyDescent="0.3">
      <c r="I4139"/>
      <c r="J4139"/>
    </row>
    <row r="4140" spans="9:10" x14ac:dyDescent="0.3">
      <c r="I4140"/>
      <c r="J4140"/>
    </row>
    <row r="4141" spans="9:10" x14ac:dyDescent="0.3">
      <c r="I4141"/>
      <c r="J4141"/>
    </row>
    <row r="4142" spans="9:10" x14ac:dyDescent="0.3">
      <c r="I4142"/>
      <c r="J4142"/>
    </row>
    <row r="4143" spans="9:10" x14ac:dyDescent="0.3">
      <c r="I4143"/>
      <c r="J4143"/>
    </row>
    <row r="4144" spans="9:10" x14ac:dyDescent="0.3">
      <c r="I4144"/>
      <c r="J4144"/>
    </row>
    <row r="4145" spans="9:10" x14ac:dyDescent="0.3">
      <c r="I4145"/>
      <c r="J4145"/>
    </row>
    <row r="4146" spans="9:10" x14ac:dyDescent="0.3">
      <c r="I4146"/>
      <c r="J4146"/>
    </row>
    <row r="4147" spans="9:10" x14ac:dyDescent="0.3">
      <c r="I4147"/>
      <c r="J4147"/>
    </row>
    <row r="4148" spans="9:10" x14ac:dyDescent="0.3">
      <c r="I4148"/>
      <c r="J4148"/>
    </row>
    <row r="4149" spans="9:10" x14ac:dyDescent="0.3">
      <c r="I4149"/>
      <c r="J4149"/>
    </row>
    <row r="4150" spans="9:10" x14ac:dyDescent="0.3">
      <c r="I4150"/>
      <c r="J4150"/>
    </row>
    <row r="4151" spans="9:10" x14ac:dyDescent="0.3">
      <c r="I4151"/>
      <c r="J4151"/>
    </row>
    <row r="4152" spans="9:10" x14ac:dyDescent="0.3">
      <c r="I4152"/>
      <c r="J4152"/>
    </row>
    <row r="4153" spans="9:10" x14ac:dyDescent="0.3">
      <c r="I4153"/>
      <c r="J4153"/>
    </row>
    <row r="4154" spans="9:10" x14ac:dyDescent="0.3">
      <c r="I4154"/>
      <c r="J4154"/>
    </row>
    <row r="4155" spans="9:10" x14ac:dyDescent="0.3">
      <c r="I4155"/>
      <c r="J4155"/>
    </row>
    <row r="4156" spans="9:10" x14ac:dyDescent="0.3">
      <c r="I4156"/>
      <c r="J4156"/>
    </row>
    <row r="4157" spans="9:10" x14ac:dyDescent="0.3">
      <c r="I4157"/>
      <c r="J4157"/>
    </row>
    <row r="4158" spans="9:10" x14ac:dyDescent="0.3">
      <c r="I4158"/>
      <c r="J4158"/>
    </row>
    <row r="4159" spans="9:10" x14ac:dyDescent="0.3">
      <c r="I4159"/>
      <c r="J4159"/>
    </row>
    <row r="4160" spans="9:10" x14ac:dyDescent="0.3">
      <c r="I4160"/>
      <c r="J4160"/>
    </row>
    <row r="4161" spans="9:10" x14ac:dyDescent="0.3">
      <c r="I4161"/>
      <c r="J4161"/>
    </row>
    <row r="4162" spans="9:10" x14ac:dyDescent="0.3">
      <c r="I4162"/>
      <c r="J4162"/>
    </row>
    <row r="4163" spans="9:10" x14ac:dyDescent="0.3">
      <c r="I4163"/>
      <c r="J4163"/>
    </row>
    <row r="4164" spans="9:10" x14ac:dyDescent="0.3">
      <c r="I4164"/>
      <c r="J4164"/>
    </row>
    <row r="4165" spans="9:10" x14ac:dyDescent="0.3">
      <c r="I4165"/>
      <c r="J4165"/>
    </row>
    <row r="4166" spans="9:10" x14ac:dyDescent="0.3">
      <c r="I4166"/>
      <c r="J4166"/>
    </row>
    <row r="4167" spans="9:10" x14ac:dyDescent="0.3">
      <c r="I4167"/>
      <c r="J4167"/>
    </row>
    <row r="4168" spans="9:10" x14ac:dyDescent="0.3">
      <c r="I4168"/>
      <c r="J4168"/>
    </row>
    <row r="4169" spans="9:10" x14ac:dyDescent="0.3">
      <c r="I4169"/>
      <c r="J4169"/>
    </row>
    <row r="4170" spans="9:10" x14ac:dyDescent="0.3">
      <c r="I4170"/>
      <c r="J4170"/>
    </row>
    <row r="4171" spans="9:10" x14ac:dyDescent="0.3">
      <c r="I4171"/>
      <c r="J4171"/>
    </row>
    <row r="4172" spans="9:10" x14ac:dyDescent="0.3">
      <c r="I4172"/>
      <c r="J4172"/>
    </row>
    <row r="4173" spans="9:10" x14ac:dyDescent="0.3">
      <c r="I4173"/>
      <c r="J4173"/>
    </row>
    <row r="4174" spans="9:10" x14ac:dyDescent="0.3">
      <c r="I4174"/>
      <c r="J4174"/>
    </row>
    <row r="4175" spans="9:10" x14ac:dyDescent="0.3">
      <c r="I4175"/>
      <c r="J4175"/>
    </row>
    <row r="4176" spans="9:10" x14ac:dyDescent="0.3">
      <c r="I4176"/>
      <c r="J4176"/>
    </row>
    <row r="4177" spans="9:10" x14ac:dyDescent="0.3">
      <c r="I4177"/>
      <c r="J4177"/>
    </row>
    <row r="4178" spans="9:10" x14ac:dyDescent="0.3">
      <c r="I4178"/>
      <c r="J4178"/>
    </row>
    <row r="4179" spans="9:10" x14ac:dyDescent="0.3">
      <c r="I4179"/>
      <c r="J4179"/>
    </row>
    <row r="4180" spans="9:10" x14ac:dyDescent="0.3">
      <c r="I4180"/>
      <c r="J4180"/>
    </row>
    <row r="4181" spans="9:10" x14ac:dyDescent="0.3">
      <c r="I4181"/>
      <c r="J4181"/>
    </row>
    <row r="4182" spans="9:10" x14ac:dyDescent="0.3">
      <c r="I4182"/>
      <c r="J4182"/>
    </row>
    <row r="4183" spans="9:10" x14ac:dyDescent="0.3">
      <c r="I4183"/>
      <c r="J4183"/>
    </row>
    <row r="4184" spans="9:10" x14ac:dyDescent="0.3">
      <c r="I4184"/>
      <c r="J4184"/>
    </row>
    <row r="4185" spans="9:10" x14ac:dyDescent="0.3">
      <c r="I4185"/>
      <c r="J4185"/>
    </row>
    <row r="4186" spans="9:10" x14ac:dyDescent="0.3">
      <c r="I4186"/>
      <c r="J4186"/>
    </row>
    <row r="4187" spans="9:10" x14ac:dyDescent="0.3">
      <c r="I4187"/>
      <c r="J4187"/>
    </row>
    <row r="4188" spans="9:10" x14ac:dyDescent="0.3">
      <c r="I4188"/>
      <c r="J4188"/>
    </row>
    <row r="4189" spans="9:10" x14ac:dyDescent="0.3">
      <c r="I4189"/>
      <c r="J4189"/>
    </row>
    <row r="4190" spans="9:10" x14ac:dyDescent="0.3">
      <c r="I4190"/>
      <c r="J4190"/>
    </row>
    <row r="4191" spans="9:10" x14ac:dyDescent="0.3">
      <c r="I4191"/>
      <c r="J4191"/>
    </row>
    <row r="4192" spans="9:10" x14ac:dyDescent="0.3">
      <c r="I4192"/>
      <c r="J4192"/>
    </row>
    <row r="4193" spans="9:10" x14ac:dyDescent="0.3">
      <c r="I4193"/>
      <c r="J4193"/>
    </row>
    <row r="4194" spans="9:10" x14ac:dyDescent="0.3">
      <c r="I4194"/>
      <c r="J4194"/>
    </row>
    <row r="4195" spans="9:10" x14ac:dyDescent="0.3">
      <c r="I4195"/>
      <c r="J4195"/>
    </row>
    <row r="4196" spans="9:10" x14ac:dyDescent="0.3">
      <c r="I4196"/>
      <c r="J4196"/>
    </row>
    <row r="4197" spans="9:10" x14ac:dyDescent="0.3">
      <c r="I4197"/>
      <c r="J4197"/>
    </row>
    <row r="4198" spans="9:10" x14ac:dyDescent="0.3">
      <c r="I4198"/>
      <c r="J4198"/>
    </row>
    <row r="4199" spans="9:10" x14ac:dyDescent="0.3">
      <c r="I4199"/>
      <c r="J4199"/>
    </row>
    <row r="4200" spans="9:10" x14ac:dyDescent="0.3">
      <c r="I4200"/>
      <c r="J4200"/>
    </row>
    <row r="4201" spans="9:10" x14ac:dyDescent="0.3">
      <c r="I4201"/>
      <c r="J4201"/>
    </row>
    <row r="4202" spans="9:10" x14ac:dyDescent="0.3">
      <c r="I4202"/>
      <c r="J4202"/>
    </row>
    <row r="4203" spans="9:10" x14ac:dyDescent="0.3">
      <c r="I4203"/>
      <c r="J4203"/>
    </row>
    <row r="4204" spans="9:10" x14ac:dyDescent="0.3">
      <c r="I4204"/>
      <c r="J4204"/>
    </row>
    <row r="4205" spans="9:10" x14ac:dyDescent="0.3">
      <c r="I4205"/>
      <c r="J4205"/>
    </row>
    <row r="4206" spans="9:10" x14ac:dyDescent="0.3">
      <c r="I4206"/>
      <c r="J4206"/>
    </row>
    <row r="4207" spans="9:10" x14ac:dyDescent="0.3">
      <c r="I4207"/>
      <c r="J4207"/>
    </row>
    <row r="4208" spans="9:10" x14ac:dyDescent="0.3">
      <c r="I4208"/>
      <c r="J4208"/>
    </row>
    <row r="4209" spans="9:10" x14ac:dyDescent="0.3">
      <c r="I4209"/>
      <c r="J4209"/>
    </row>
    <row r="4210" spans="9:10" x14ac:dyDescent="0.3">
      <c r="I4210"/>
      <c r="J4210"/>
    </row>
    <row r="4211" spans="9:10" x14ac:dyDescent="0.3">
      <c r="I4211"/>
      <c r="J4211"/>
    </row>
    <row r="4212" spans="9:10" x14ac:dyDescent="0.3">
      <c r="I4212"/>
      <c r="J4212"/>
    </row>
    <row r="4213" spans="9:10" x14ac:dyDescent="0.3">
      <c r="I4213"/>
      <c r="J4213"/>
    </row>
    <row r="4214" spans="9:10" x14ac:dyDescent="0.3">
      <c r="I4214"/>
      <c r="J4214"/>
    </row>
    <row r="4215" spans="9:10" x14ac:dyDescent="0.3">
      <c r="I4215"/>
      <c r="J4215"/>
    </row>
    <row r="4216" spans="9:10" x14ac:dyDescent="0.3">
      <c r="I4216"/>
      <c r="J4216"/>
    </row>
    <row r="4217" spans="9:10" x14ac:dyDescent="0.3">
      <c r="I4217"/>
      <c r="J4217"/>
    </row>
    <row r="4218" spans="9:10" x14ac:dyDescent="0.3">
      <c r="I4218"/>
      <c r="J4218"/>
    </row>
    <row r="4219" spans="9:10" x14ac:dyDescent="0.3">
      <c r="I4219"/>
      <c r="J4219"/>
    </row>
    <row r="4220" spans="9:10" x14ac:dyDescent="0.3">
      <c r="I4220"/>
      <c r="J4220"/>
    </row>
    <row r="4221" spans="9:10" x14ac:dyDescent="0.3">
      <c r="I4221"/>
      <c r="J4221"/>
    </row>
    <row r="4222" spans="9:10" x14ac:dyDescent="0.3">
      <c r="I4222"/>
      <c r="J4222"/>
    </row>
    <row r="4223" spans="9:10" x14ac:dyDescent="0.3">
      <c r="I4223"/>
      <c r="J4223"/>
    </row>
    <row r="4224" spans="9:10" x14ac:dyDescent="0.3">
      <c r="I4224"/>
      <c r="J4224"/>
    </row>
    <row r="4225" spans="9:10" x14ac:dyDescent="0.3">
      <c r="I4225"/>
      <c r="J4225"/>
    </row>
    <row r="4226" spans="9:10" x14ac:dyDescent="0.3">
      <c r="I4226"/>
      <c r="J4226"/>
    </row>
    <row r="4227" spans="9:10" x14ac:dyDescent="0.3">
      <c r="I4227"/>
      <c r="J4227"/>
    </row>
    <row r="4228" spans="9:10" x14ac:dyDescent="0.3">
      <c r="I4228"/>
      <c r="J4228"/>
    </row>
    <row r="4229" spans="9:10" x14ac:dyDescent="0.3">
      <c r="I4229"/>
      <c r="J4229"/>
    </row>
    <row r="4230" spans="9:10" x14ac:dyDescent="0.3">
      <c r="I4230"/>
      <c r="J4230"/>
    </row>
    <row r="4231" spans="9:10" x14ac:dyDescent="0.3">
      <c r="I4231"/>
      <c r="J4231"/>
    </row>
    <row r="4232" spans="9:10" x14ac:dyDescent="0.3">
      <c r="I4232"/>
      <c r="J4232"/>
    </row>
    <row r="4233" spans="9:10" x14ac:dyDescent="0.3">
      <c r="I4233"/>
      <c r="J4233"/>
    </row>
    <row r="4234" spans="9:10" x14ac:dyDescent="0.3">
      <c r="I4234"/>
      <c r="J4234"/>
    </row>
    <row r="4235" spans="9:10" x14ac:dyDescent="0.3">
      <c r="I4235"/>
      <c r="J4235"/>
    </row>
    <row r="4236" spans="9:10" x14ac:dyDescent="0.3">
      <c r="I4236"/>
      <c r="J4236"/>
    </row>
    <row r="4237" spans="9:10" x14ac:dyDescent="0.3">
      <c r="I4237"/>
      <c r="J4237"/>
    </row>
    <row r="4238" spans="9:10" x14ac:dyDescent="0.3">
      <c r="I4238"/>
      <c r="J4238"/>
    </row>
    <row r="4239" spans="9:10" x14ac:dyDescent="0.3">
      <c r="I4239"/>
      <c r="J4239"/>
    </row>
    <row r="4240" spans="9:10" x14ac:dyDescent="0.3">
      <c r="I4240"/>
      <c r="J4240"/>
    </row>
    <row r="4241" spans="9:10" x14ac:dyDescent="0.3">
      <c r="I4241"/>
      <c r="J4241"/>
    </row>
    <row r="4242" spans="9:10" x14ac:dyDescent="0.3">
      <c r="I4242"/>
      <c r="J4242"/>
    </row>
    <row r="4243" spans="9:10" x14ac:dyDescent="0.3">
      <c r="I4243"/>
      <c r="J4243"/>
    </row>
    <row r="4244" spans="9:10" x14ac:dyDescent="0.3">
      <c r="I4244"/>
      <c r="J4244"/>
    </row>
    <row r="4245" spans="9:10" x14ac:dyDescent="0.3">
      <c r="I4245"/>
      <c r="J4245"/>
    </row>
    <row r="4246" spans="9:10" x14ac:dyDescent="0.3">
      <c r="I4246"/>
      <c r="J4246"/>
    </row>
    <row r="4247" spans="9:10" x14ac:dyDescent="0.3">
      <c r="I4247"/>
      <c r="J4247"/>
    </row>
    <row r="4248" spans="9:10" x14ac:dyDescent="0.3">
      <c r="I4248"/>
      <c r="J4248"/>
    </row>
    <row r="4249" spans="9:10" x14ac:dyDescent="0.3">
      <c r="I4249"/>
      <c r="J4249"/>
    </row>
    <row r="4250" spans="9:10" x14ac:dyDescent="0.3">
      <c r="I4250"/>
      <c r="J4250"/>
    </row>
    <row r="4251" spans="9:10" x14ac:dyDescent="0.3">
      <c r="I4251"/>
      <c r="J4251"/>
    </row>
    <row r="4252" spans="9:10" x14ac:dyDescent="0.3">
      <c r="I4252"/>
      <c r="J4252"/>
    </row>
    <row r="4253" spans="9:10" x14ac:dyDescent="0.3">
      <c r="I4253"/>
      <c r="J4253"/>
    </row>
    <row r="4254" spans="9:10" x14ac:dyDescent="0.3">
      <c r="I4254"/>
      <c r="J4254"/>
    </row>
    <row r="4255" spans="9:10" x14ac:dyDescent="0.3">
      <c r="I4255"/>
      <c r="J4255"/>
    </row>
    <row r="4256" spans="9:10" x14ac:dyDescent="0.3">
      <c r="I4256"/>
      <c r="J4256"/>
    </row>
    <row r="4257" spans="9:10" x14ac:dyDescent="0.3">
      <c r="I4257"/>
      <c r="J4257"/>
    </row>
    <row r="4258" spans="9:10" x14ac:dyDescent="0.3">
      <c r="I4258"/>
      <c r="J4258"/>
    </row>
    <row r="4259" spans="9:10" x14ac:dyDescent="0.3">
      <c r="I4259"/>
      <c r="J4259"/>
    </row>
    <row r="4260" spans="9:10" x14ac:dyDescent="0.3">
      <c r="I4260"/>
      <c r="J4260"/>
    </row>
    <row r="4261" spans="9:10" x14ac:dyDescent="0.3">
      <c r="I4261"/>
      <c r="J4261"/>
    </row>
    <row r="4262" spans="9:10" x14ac:dyDescent="0.3">
      <c r="I4262"/>
      <c r="J4262"/>
    </row>
    <row r="4263" spans="9:10" x14ac:dyDescent="0.3">
      <c r="I4263"/>
      <c r="J4263"/>
    </row>
    <row r="4264" spans="9:10" x14ac:dyDescent="0.3">
      <c r="I4264"/>
      <c r="J4264"/>
    </row>
    <row r="4265" spans="9:10" x14ac:dyDescent="0.3">
      <c r="I4265"/>
      <c r="J4265"/>
    </row>
    <row r="4266" spans="9:10" x14ac:dyDescent="0.3">
      <c r="I4266"/>
      <c r="J4266"/>
    </row>
    <row r="4267" spans="9:10" x14ac:dyDescent="0.3">
      <c r="I4267"/>
      <c r="J4267"/>
    </row>
    <row r="4268" spans="9:10" x14ac:dyDescent="0.3">
      <c r="I4268"/>
      <c r="J4268"/>
    </row>
    <row r="4269" spans="9:10" x14ac:dyDescent="0.3">
      <c r="I4269"/>
      <c r="J4269"/>
    </row>
    <row r="4270" spans="9:10" x14ac:dyDescent="0.3">
      <c r="I4270"/>
      <c r="J4270"/>
    </row>
    <row r="4271" spans="9:10" x14ac:dyDescent="0.3">
      <c r="I4271"/>
      <c r="J4271"/>
    </row>
    <row r="4272" spans="9:10" x14ac:dyDescent="0.3">
      <c r="I4272"/>
      <c r="J4272"/>
    </row>
    <row r="4273" spans="9:10" x14ac:dyDescent="0.3">
      <c r="I4273"/>
      <c r="J4273"/>
    </row>
    <row r="4274" spans="9:10" x14ac:dyDescent="0.3">
      <c r="I4274"/>
      <c r="J4274"/>
    </row>
    <row r="4275" spans="9:10" x14ac:dyDescent="0.3">
      <c r="I4275"/>
      <c r="J4275"/>
    </row>
    <row r="4276" spans="9:10" x14ac:dyDescent="0.3">
      <c r="I4276"/>
      <c r="J4276"/>
    </row>
    <row r="4277" spans="9:10" x14ac:dyDescent="0.3">
      <c r="I4277"/>
      <c r="J4277"/>
    </row>
    <row r="4278" spans="9:10" x14ac:dyDescent="0.3">
      <c r="I4278"/>
      <c r="J4278"/>
    </row>
    <row r="4279" spans="9:10" x14ac:dyDescent="0.3">
      <c r="I4279"/>
      <c r="J4279"/>
    </row>
    <row r="4280" spans="9:10" x14ac:dyDescent="0.3">
      <c r="I4280"/>
      <c r="J4280"/>
    </row>
    <row r="4281" spans="9:10" x14ac:dyDescent="0.3">
      <c r="I4281"/>
      <c r="J4281"/>
    </row>
    <row r="4282" spans="9:10" x14ac:dyDescent="0.3">
      <c r="I4282"/>
      <c r="J4282"/>
    </row>
    <row r="4283" spans="9:10" x14ac:dyDescent="0.3">
      <c r="I4283"/>
      <c r="J4283"/>
    </row>
    <row r="4284" spans="9:10" x14ac:dyDescent="0.3">
      <c r="I4284"/>
      <c r="J4284"/>
    </row>
    <row r="4285" spans="9:10" x14ac:dyDescent="0.3">
      <c r="I4285"/>
      <c r="J4285"/>
    </row>
    <row r="4286" spans="9:10" x14ac:dyDescent="0.3">
      <c r="I4286"/>
      <c r="J4286"/>
    </row>
    <row r="4287" spans="9:10" x14ac:dyDescent="0.3">
      <c r="I4287"/>
      <c r="J4287"/>
    </row>
    <row r="4288" spans="9:10" x14ac:dyDescent="0.3">
      <c r="I4288"/>
      <c r="J4288"/>
    </row>
    <row r="4289" spans="9:10" x14ac:dyDescent="0.3">
      <c r="I4289"/>
      <c r="J4289"/>
    </row>
    <row r="4290" spans="9:10" x14ac:dyDescent="0.3">
      <c r="I4290"/>
      <c r="J4290"/>
    </row>
    <row r="4291" spans="9:10" x14ac:dyDescent="0.3">
      <c r="I4291"/>
      <c r="J4291"/>
    </row>
    <row r="4292" spans="9:10" x14ac:dyDescent="0.3">
      <c r="I4292"/>
      <c r="J4292"/>
    </row>
    <row r="4293" spans="9:10" x14ac:dyDescent="0.3">
      <c r="I4293"/>
      <c r="J4293"/>
    </row>
    <row r="4294" spans="9:10" x14ac:dyDescent="0.3">
      <c r="I4294"/>
      <c r="J4294"/>
    </row>
    <row r="4295" spans="9:10" x14ac:dyDescent="0.3">
      <c r="I4295"/>
      <c r="J4295"/>
    </row>
    <row r="4296" spans="9:10" x14ac:dyDescent="0.3">
      <c r="I4296"/>
      <c r="J4296"/>
    </row>
    <row r="4297" spans="9:10" x14ac:dyDescent="0.3">
      <c r="I4297"/>
      <c r="J4297"/>
    </row>
    <row r="4298" spans="9:10" x14ac:dyDescent="0.3">
      <c r="I4298"/>
      <c r="J4298"/>
    </row>
    <row r="4299" spans="9:10" x14ac:dyDescent="0.3">
      <c r="I4299"/>
      <c r="J4299"/>
    </row>
    <row r="4300" spans="9:10" x14ac:dyDescent="0.3">
      <c r="I4300"/>
      <c r="J4300"/>
    </row>
    <row r="4301" spans="9:10" x14ac:dyDescent="0.3">
      <c r="I4301"/>
      <c r="J4301"/>
    </row>
    <row r="4302" spans="9:10" x14ac:dyDescent="0.3">
      <c r="I4302"/>
      <c r="J4302"/>
    </row>
    <row r="4303" spans="9:10" x14ac:dyDescent="0.3">
      <c r="I4303"/>
      <c r="J4303"/>
    </row>
    <row r="4304" spans="9:10" x14ac:dyDescent="0.3">
      <c r="I4304"/>
      <c r="J4304"/>
    </row>
    <row r="4305" spans="9:10" x14ac:dyDescent="0.3">
      <c r="I4305"/>
      <c r="J4305"/>
    </row>
    <row r="4306" spans="9:10" x14ac:dyDescent="0.3">
      <c r="I4306"/>
      <c r="J4306"/>
    </row>
    <row r="4307" spans="9:10" x14ac:dyDescent="0.3">
      <c r="I4307"/>
      <c r="J4307"/>
    </row>
    <row r="4308" spans="9:10" x14ac:dyDescent="0.3">
      <c r="I4308"/>
      <c r="J4308"/>
    </row>
    <row r="4309" spans="9:10" x14ac:dyDescent="0.3">
      <c r="I4309"/>
      <c r="J4309"/>
    </row>
    <row r="4310" spans="9:10" x14ac:dyDescent="0.3">
      <c r="I4310"/>
      <c r="J4310"/>
    </row>
    <row r="4311" spans="9:10" x14ac:dyDescent="0.3">
      <c r="I4311"/>
      <c r="J4311"/>
    </row>
    <row r="4312" spans="9:10" x14ac:dyDescent="0.3">
      <c r="I4312"/>
      <c r="J4312"/>
    </row>
    <row r="4313" spans="9:10" x14ac:dyDescent="0.3">
      <c r="I4313"/>
      <c r="J4313"/>
    </row>
    <row r="4314" spans="9:10" x14ac:dyDescent="0.3">
      <c r="I4314"/>
      <c r="J4314"/>
    </row>
    <row r="4315" spans="9:10" x14ac:dyDescent="0.3">
      <c r="I4315"/>
      <c r="J4315"/>
    </row>
    <row r="4316" spans="9:10" x14ac:dyDescent="0.3">
      <c r="I4316"/>
      <c r="J4316"/>
    </row>
    <row r="4317" spans="9:10" x14ac:dyDescent="0.3">
      <c r="I4317"/>
      <c r="J4317"/>
    </row>
    <row r="4318" spans="9:10" x14ac:dyDescent="0.3">
      <c r="I4318"/>
      <c r="J4318"/>
    </row>
    <row r="4319" spans="9:10" x14ac:dyDescent="0.3">
      <c r="I4319"/>
      <c r="J4319"/>
    </row>
    <row r="4320" spans="9:10" x14ac:dyDescent="0.3">
      <c r="I4320"/>
      <c r="J4320"/>
    </row>
    <row r="4321" spans="9:10" x14ac:dyDescent="0.3">
      <c r="I4321"/>
      <c r="J4321"/>
    </row>
    <row r="4322" spans="9:10" x14ac:dyDescent="0.3">
      <c r="I4322"/>
      <c r="J4322"/>
    </row>
    <row r="4323" spans="9:10" x14ac:dyDescent="0.3">
      <c r="I4323"/>
      <c r="J4323"/>
    </row>
    <row r="4324" spans="9:10" x14ac:dyDescent="0.3">
      <c r="I4324"/>
      <c r="J4324"/>
    </row>
    <row r="4325" spans="9:10" x14ac:dyDescent="0.3">
      <c r="I4325"/>
      <c r="J4325"/>
    </row>
    <row r="4326" spans="9:10" x14ac:dyDescent="0.3">
      <c r="I4326"/>
      <c r="J4326"/>
    </row>
    <row r="4327" spans="9:10" x14ac:dyDescent="0.3">
      <c r="I4327"/>
      <c r="J4327"/>
    </row>
    <row r="4328" spans="9:10" x14ac:dyDescent="0.3">
      <c r="I4328"/>
      <c r="J4328"/>
    </row>
    <row r="4329" spans="9:10" x14ac:dyDescent="0.3">
      <c r="I4329"/>
      <c r="J4329"/>
    </row>
    <row r="4330" spans="9:10" x14ac:dyDescent="0.3">
      <c r="I4330"/>
      <c r="J4330"/>
    </row>
    <row r="4331" spans="9:10" x14ac:dyDescent="0.3">
      <c r="I4331"/>
      <c r="J4331"/>
    </row>
    <row r="4332" spans="9:10" x14ac:dyDescent="0.3">
      <c r="I4332"/>
      <c r="J4332"/>
    </row>
    <row r="4333" spans="9:10" x14ac:dyDescent="0.3">
      <c r="I4333"/>
      <c r="J4333"/>
    </row>
    <row r="4334" spans="9:10" x14ac:dyDescent="0.3">
      <c r="I4334"/>
      <c r="J4334"/>
    </row>
    <row r="4335" spans="9:10" x14ac:dyDescent="0.3">
      <c r="I4335"/>
      <c r="J4335"/>
    </row>
    <row r="4336" spans="9:10" x14ac:dyDescent="0.3">
      <c r="I4336"/>
      <c r="J4336"/>
    </row>
    <row r="4337" spans="9:10" x14ac:dyDescent="0.3">
      <c r="I4337"/>
      <c r="J4337"/>
    </row>
    <row r="4338" spans="9:10" x14ac:dyDescent="0.3">
      <c r="I4338"/>
      <c r="J4338"/>
    </row>
    <row r="4339" spans="9:10" x14ac:dyDescent="0.3">
      <c r="I4339"/>
      <c r="J4339"/>
    </row>
    <row r="4340" spans="9:10" x14ac:dyDescent="0.3">
      <c r="I4340"/>
      <c r="J4340"/>
    </row>
    <row r="4341" spans="9:10" x14ac:dyDescent="0.3">
      <c r="I4341"/>
      <c r="J4341"/>
    </row>
    <row r="4342" spans="9:10" x14ac:dyDescent="0.3">
      <c r="I4342"/>
      <c r="J4342"/>
    </row>
    <row r="4343" spans="9:10" x14ac:dyDescent="0.3">
      <c r="I4343"/>
      <c r="J4343"/>
    </row>
    <row r="4344" spans="9:10" x14ac:dyDescent="0.3">
      <c r="I4344"/>
      <c r="J4344"/>
    </row>
    <row r="4345" spans="9:10" x14ac:dyDescent="0.3">
      <c r="I4345"/>
      <c r="J4345"/>
    </row>
    <row r="4346" spans="9:10" x14ac:dyDescent="0.3">
      <c r="I4346"/>
      <c r="J4346"/>
    </row>
    <row r="4347" spans="9:10" x14ac:dyDescent="0.3">
      <c r="I4347"/>
      <c r="J4347"/>
    </row>
    <row r="4348" spans="9:10" x14ac:dyDescent="0.3">
      <c r="I4348"/>
      <c r="J4348"/>
    </row>
    <row r="4349" spans="9:10" x14ac:dyDescent="0.3">
      <c r="I4349"/>
      <c r="J4349"/>
    </row>
    <row r="4350" spans="9:10" x14ac:dyDescent="0.3">
      <c r="I4350"/>
      <c r="J4350"/>
    </row>
    <row r="4351" spans="9:10" x14ac:dyDescent="0.3">
      <c r="I4351"/>
      <c r="J4351"/>
    </row>
    <row r="4352" spans="9:10" x14ac:dyDescent="0.3">
      <c r="I4352"/>
      <c r="J4352"/>
    </row>
    <row r="4353" spans="9:10" x14ac:dyDescent="0.3">
      <c r="I4353"/>
      <c r="J4353"/>
    </row>
    <row r="4354" spans="9:10" x14ac:dyDescent="0.3">
      <c r="I4354"/>
      <c r="J4354"/>
    </row>
    <row r="4355" spans="9:10" x14ac:dyDescent="0.3">
      <c r="I4355"/>
      <c r="J4355"/>
    </row>
    <row r="4356" spans="9:10" x14ac:dyDescent="0.3">
      <c r="I4356"/>
      <c r="J4356"/>
    </row>
    <row r="4357" spans="9:10" x14ac:dyDescent="0.3">
      <c r="I4357"/>
      <c r="J4357"/>
    </row>
    <row r="4358" spans="9:10" x14ac:dyDescent="0.3">
      <c r="I4358"/>
      <c r="J4358"/>
    </row>
    <row r="4359" spans="9:10" x14ac:dyDescent="0.3">
      <c r="I4359"/>
      <c r="J4359"/>
    </row>
    <row r="4360" spans="9:10" x14ac:dyDescent="0.3">
      <c r="I4360"/>
      <c r="J4360"/>
    </row>
    <row r="4361" spans="9:10" x14ac:dyDescent="0.3">
      <c r="I4361"/>
      <c r="J4361"/>
    </row>
    <row r="4362" spans="9:10" x14ac:dyDescent="0.3">
      <c r="I4362"/>
      <c r="J4362"/>
    </row>
    <row r="4363" spans="9:10" x14ac:dyDescent="0.3">
      <c r="I4363"/>
      <c r="J4363"/>
    </row>
    <row r="4364" spans="9:10" x14ac:dyDescent="0.3">
      <c r="I4364"/>
      <c r="J4364"/>
    </row>
    <row r="4365" spans="9:10" x14ac:dyDescent="0.3">
      <c r="I4365"/>
      <c r="J4365"/>
    </row>
    <row r="4366" spans="9:10" x14ac:dyDescent="0.3">
      <c r="I4366"/>
      <c r="J4366"/>
    </row>
    <row r="4367" spans="9:10" x14ac:dyDescent="0.3">
      <c r="I4367"/>
      <c r="J4367"/>
    </row>
    <row r="4368" spans="9:10" x14ac:dyDescent="0.3">
      <c r="I4368"/>
      <c r="J4368"/>
    </row>
    <row r="4369" spans="9:10" x14ac:dyDescent="0.3">
      <c r="I4369"/>
      <c r="J4369"/>
    </row>
    <row r="4370" spans="9:10" x14ac:dyDescent="0.3">
      <c r="I4370"/>
      <c r="J4370"/>
    </row>
    <row r="4371" spans="9:10" x14ac:dyDescent="0.3">
      <c r="I4371"/>
      <c r="J4371"/>
    </row>
    <row r="4372" spans="9:10" x14ac:dyDescent="0.3">
      <c r="I4372"/>
      <c r="J4372"/>
    </row>
    <row r="4373" spans="9:10" x14ac:dyDescent="0.3">
      <c r="I4373"/>
      <c r="J4373"/>
    </row>
    <row r="4374" spans="9:10" x14ac:dyDescent="0.3">
      <c r="I4374"/>
      <c r="J4374"/>
    </row>
    <row r="4375" spans="9:10" x14ac:dyDescent="0.3">
      <c r="I4375"/>
      <c r="J4375"/>
    </row>
    <row r="4376" spans="9:10" x14ac:dyDescent="0.3">
      <c r="I4376"/>
      <c r="J4376"/>
    </row>
    <row r="4377" spans="9:10" x14ac:dyDescent="0.3">
      <c r="I4377"/>
      <c r="J4377"/>
    </row>
    <row r="4378" spans="9:10" x14ac:dyDescent="0.3">
      <c r="I4378"/>
      <c r="J4378"/>
    </row>
    <row r="4379" spans="9:10" x14ac:dyDescent="0.3">
      <c r="I4379"/>
      <c r="J4379"/>
    </row>
    <row r="4380" spans="9:10" x14ac:dyDescent="0.3">
      <c r="I4380"/>
      <c r="J4380"/>
    </row>
    <row r="4381" spans="9:10" x14ac:dyDescent="0.3">
      <c r="I4381"/>
      <c r="J4381"/>
    </row>
    <row r="4382" spans="9:10" x14ac:dyDescent="0.3">
      <c r="I4382"/>
      <c r="J4382"/>
    </row>
    <row r="4383" spans="9:10" x14ac:dyDescent="0.3">
      <c r="I4383"/>
      <c r="J4383"/>
    </row>
    <row r="4384" spans="9:10" x14ac:dyDescent="0.3">
      <c r="I4384"/>
      <c r="J4384"/>
    </row>
    <row r="4385" spans="9:10" x14ac:dyDescent="0.3">
      <c r="I4385"/>
      <c r="J4385"/>
    </row>
    <row r="4386" spans="9:10" x14ac:dyDescent="0.3">
      <c r="I4386"/>
      <c r="J4386"/>
    </row>
    <row r="4387" spans="9:10" x14ac:dyDescent="0.3">
      <c r="I4387"/>
      <c r="J4387"/>
    </row>
    <row r="4388" spans="9:10" x14ac:dyDescent="0.3">
      <c r="I4388"/>
      <c r="J4388"/>
    </row>
    <row r="4389" spans="9:10" x14ac:dyDescent="0.3">
      <c r="I4389"/>
      <c r="J4389"/>
    </row>
    <row r="4390" spans="9:10" x14ac:dyDescent="0.3">
      <c r="I4390"/>
      <c r="J4390"/>
    </row>
    <row r="4391" spans="9:10" x14ac:dyDescent="0.3">
      <c r="I4391"/>
      <c r="J4391"/>
    </row>
    <row r="4392" spans="9:10" x14ac:dyDescent="0.3">
      <c r="I4392"/>
      <c r="J4392"/>
    </row>
    <row r="4393" spans="9:10" x14ac:dyDescent="0.3">
      <c r="I4393"/>
      <c r="J4393"/>
    </row>
    <row r="4394" spans="9:10" x14ac:dyDescent="0.3">
      <c r="I4394"/>
      <c r="J4394"/>
    </row>
    <row r="4395" spans="9:10" x14ac:dyDescent="0.3">
      <c r="I4395"/>
      <c r="J4395"/>
    </row>
    <row r="4396" spans="9:10" x14ac:dyDescent="0.3">
      <c r="I4396"/>
      <c r="J4396"/>
    </row>
    <row r="4397" spans="9:10" x14ac:dyDescent="0.3">
      <c r="I4397"/>
      <c r="J4397"/>
    </row>
    <row r="4398" spans="9:10" x14ac:dyDescent="0.3">
      <c r="I4398"/>
      <c r="J4398"/>
    </row>
    <row r="4399" spans="9:10" x14ac:dyDescent="0.3">
      <c r="I4399"/>
      <c r="J4399"/>
    </row>
    <row r="4400" spans="9:10" x14ac:dyDescent="0.3">
      <c r="I4400"/>
      <c r="J4400"/>
    </row>
    <row r="4401" spans="9:10" x14ac:dyDescent="0.3">
      <c r="I4401"/>
      <c r="J4401"/>
    </row>
    <row r="4402" spans="9:10" x14ac:dyDescent="0.3">
      <c r="I4402"/>
      <c r="J4402"/>
    </row>
    <row r="4403" spans="9:10" x14ac:dyDescent="0.3">
      <c r="I4403"/>
      <c r="J4403"/>
    </row>
    <row r="4404" spans="9:10" x14ac:dyDescent="0.3">
      <c r="I4404"/>
      <c r="J4404"/>
    </row>
    <row r="4405" spans="9:10" x14ac:dyDescent="0.3">
      <c r="I4405"/>
      <c r="J4405"/>
    </row>
    <row r="4406" spans="9:10" x14ac:dyDescent="0.3">
      <c r="I4406"/>
      <c r="J4406"/>
    </row>
    <row r="4407" spans="9:10" x14ac:dyDescent="0.3">
      <c r="I4407"/>
      <c r="J4407"/>
    </row>
    <row r="4408" spans="9:10" x14ac:dyDescent="0.3">
      <c r="I4408"/>
      <c r="J4408"/>
    </row>
    <row r="4409" spans="9:10" x14ac:dyDescent="0.3">
      <c r="I4409"/>
      <c r="J4409"/>
    </row>
    <row r="4410" spans="9:10" x14ac:dyDescent="0.3">
      <c r="I4410"/>
      <c r="J4410"/>
    </row>
    <row r="4411" spans="9:10" x14ac:dyDescent="0.3">
      <c r="I4411"/>
      <c r="J4411"/>
    </row>
    <row r="4412" spans="9:10" x14ac:dyDescent="0.3">
      <c r="I4412"/>
      <c r="J4412"/>
    </row>
    <row r="4413" spans="9:10" x14ac:dyDescent="0.3">
      <c r="I4413"/>
      <c r="J4413"/>
    </row>
    <row r="4414" spans="9:10" x14ac:dyDescent="0.3">
      <c r="I4414"/>
      <c r="J4414"/>
    </row>
    <row r="4415" spans="9:10" x14ac:dyDescent="0.3">
      <c r="I4415"/>
      <c r="J4415"/>
    </row>
    <row r="4416" spans="9:10" x14ac:dyDescent="0.3">
      <c r="I4416"/>
      <c r="J4416"/>
    </row>
    <row r="4417" spans="9:10" x14ac:dyDescent="0.3">
      <c r="I4417"/>
      <c r="J4417"/>
    </row>
    <row r="4418" spans="9:10" x14ac:dyDescent="0.3">
      <c r="I4418"/>
      <c r="J4418"/>
    </row>
    <row r="4419" spans="9:10" x14ac:dyDescent="0.3">
      <c r="I4419"/>
      <c r="J4419"/>
    </row>
    <row r="4420" spans="9:10" x14ac:dyDescent="0.3">
      <c r="I4420"/>
      <c r="J4420"/>
    </row>
    <row r="4421" spans="9:10" x14ac:dyDescent="0.3">
      <c r="I4421"/>
      <c r="J4421"/>
    </row>
    <row r="4422" spans="9:10" x14ac:dyDescent="0.3">
      <c r="I4422"/>
      <c r="J4422"/>
    </row>
    <row r="4423" spans="9:10" x14ac:dyDescent="0.3">
      <c r="I4423"/>
      <c r="J4423"/>
    </row>
    <row r="4424" spans="9:10" x14ac:dyDescent="0.3">
      <c r="I4424"/>
      <c r="J4424"/>
    </row>
    <row r="4425" spans="9:10" x14ac:dyDescent="0.3">
      <c r="I4425"/>
      <c r="J4425"/>
    </row>
    <row r="4426" spans="9:10" x14ac:dyDescent="0.3">
      <c r="I4426"/>
      <c r="J4426"/>
    </row>
    <row r="4427" spans="9:10" x14ac:dyDescent="0.3">
      <c r="I4427"/>
      <c r="J4427"/>
    </row>
    <row r="4428" spans="9:10" x14ac:dyDescent="0.3">
      <c r="I4428"/>
      <c r="J4428"/>
    </row>
    <row r="4429" spans="9:10" x14ac:dyDescent="0.3">
      <c r="I4429"/>
      <c r="J4429"/>
    </row>
    <row r="4430" spans="9:10" x14ac:dyDescent="0.3">
      <c r="I4430"/>
      <c r="J4430"/>
    </row>
    <row r="4431" spans="9:10" x14ac:dyDescent="0.3">
      <c r="I4431"/>
      <c r="J4431"/>
    </row>
    <row r="4432" spans="9:10" x14ac:dyDescent="0.3">
      <c r="I4432"/>
      <c r="J4432"/>
    </row>
    <row r="4433" spans="9:10" x14ac:dyDescent="0.3">
      <c r="I4433"/>
      <c r="J4433"/>
    </row>
    <row r="4434" spans="9:10" x14ac:dyDescent="0.3">
      <c r="I4434"/>
      <c r="J4434"/>
    </row>
    <row r="4435" spans="9:10" x14ac:dyDescent="0.3">
      <c r="I4435"/>
      <c r="J4435"/>
    </row>
    <row r="4436" spans="9:10" x14ac:dyDescent="0.3">
      <c r="I4436"/>
      <c r="J4436"/>
    </row>
    <row r="4437" spans="9:10" x14ac:dyDescent="0.3">
      <c r="I4437"/>
      <c r="J4437"/>
    </row>
    <row r="4438" spans="9:10" x14ac:dyDescent="0.3">
      <c r="I4438"/>
      <c r="J4438"/>
    </row>
    <row r="4439" spans="9:10" x14ac:dyDescent="0.3">
      <c r="I4439"/>
      <c r="J4439"/>
    </row>
    <row r="4440" spans="9:10" x14ac:dyDescent="0.3">
      <c r="I4440"/>
      <c r="J4440"/>
    </row>
    <row r="4441" spans="9:10" x14ac:dyDescent="0.3">
      <c r="I4441"/>
      <c r="J4441"/>
    </row>
    <row r="4442" spans="9:10" x14ac:dyDescent="0.3">
      <c r="I4442"/>
      <c r="J4442"/>
    </row>
    <row r="4443" spans="9:10" x14ac:dyDescent="0.3">
      <c r="I4443"/>
      <c r="J4443"/>
    </row>
    <row r="4444" spans="9:10" x14ac:dyDescent="0.3">
      <c r="I4444"/>
      <c r="J4444"/>
    </row>
    <row r="4445" spans="9:10" x14ac:dyDescent="0.3">
      <c r="I4445"/>
      <c r="J4445"/>
    </row>
    <row r="4446" spans="9:10" x14ac:dyDescent="0.3">
      <c r="I4446"/>
      <c r="J4446"/>
    </row>
    <row r="4447" spans="9:10" x14ac:dyDescent="0.3">
      <c r="I4447"/>
      <c r="J4447"/>
    </row>
    <row r="4448" spans="9:10" x14ac:dyDescent="0.3">
      <c r="I4448"/>
      <c r="J4448"/>
    </row>
    <row r="4449" spans="9:10" x14ac:dyDescent="0.3">
      <c r="I4449"/>
      <c r="J4449"/>
    </row>
    <row r="4450" spans="9:10" x14ac:dyDescent="0.3">
      <c r="I4450"/>
      <c r="J4450"/>
    </row>
    <row r="4451" spans="9:10" x14ac:dyDescent="0.3">
      <c r="I4451"/>
      <c r="J4451"/>
    </row>
    <row r="4452" spans="9:10" x14ac:dyDescent="0.3">
      <c r="I4452"/>
      <c r="J4452"/>
    </row>
    <row r="4453" spans="9:10" x14ac:dyDescent="0.3">
      <c r="I4453"/>
      <c r="J4453"/>
    </row>
    <row r="4454" spans="9:10" x14ac:dyDescent="0.3">
      <c r="I4454"/>
      <c r="J4454"/>
    </row>
    <row r="4455" spans="9:10" x14ac:dyDescent="0.3">
      <c r="I4455"/>
      <c r="J4455"/>
    </row>
    <row r="4456" spans="9:10" x14ac:dyDescent="0.3">
      <c r="I4456"/>
      <c r="J4456"/>
    </row>
    <row r="4457" spans="9:10" x14ac:dyDescent="0.3">
      <c r="I4457"/>
      <c r="J4457"/>
    </row>
    <row r="4458" spans="9:10" x14ac:dyDescent="0.3">
      <c r="I4458"/>
      <c r="J4458"/>
    </row>
    <row r="4459" spans="9:10" x14ac:dyDescent="0.3">
      <c r="I4459"/>
      <c r="J4459"/>
    </row>
    <row r="4460" spans="9:10" x14ac:dyDescent="0.3">
      <c r="I4460"/>
      <c r="J4460"/>
    </row>
    <row r="4461" spans="9:10" x14ac:dyDescent="0.3">
      <c r="I4461"/>
      <c r="J4461"/>
    </row>
    <row r="4462" spans="9:10" x14ac:dyDescent="0.3">
      <c r="I4462"/>
      <c r="J4462"/>
    </row>
    <row r="4463" spans="9:10" x14ac:dyDescent="0.3">
      <c r="I4463"/>
      <c r="J4463"/>
    </row>
    <row r="4464" spans="9:10" x14ac:dyDescent="0.3">
      <c r="I4464"/>
      <c r="J4464"/>
    </row>
    <row r="4465" spans="9:10" x14ac:dyDescent="0.3">
      <c r="I4465"/>
      <c r="J4465"/>
    </row>
    <row r="4466" spans="9:10" x14ac:dyDescent="0.3">
      <c r="I4466"/>
      <c r="J4466"/>
    </row>
    <row r="4467" spans="9:10" x14ac:dyDescent="0.3">
      <c r="I4467"/>
      <c r="J4467"/>
    </row>
    <row r="4468" spans="9:10" x14ac:dyDescent="0.3">
      <c r="I4468"/>
      <c r="J4468"/>
    </row>
    <row r="4469" spans="9:10" x14ac:dyDescent="0.3">
      <c r="I4469"/>
      <c r="J4469"/>
    </row>
    <row r="4470" spans="9:10" x14ac:dyDescent="0.3">
      <c r="I4470"/>
      <c r="J4470"/>
    </row>
    <row r="4471" spans="9:10" x14ac:dyDescent="0.3">
      <c r="I4471"/>
      <c r="J4471"/>
    </row>
    <row r="4472" spans="9:10" x14ac:dyDescent="0.3">
      <c r="I4472"/>
      <c r="J4472"/>
    </row>
    <row r="4473" spans="9:10" x14ac:dyDescent="0.3">
      <c r="I4473"/>
      <c r="J4473"/>
    </row>
    <row r="4474" spans="9:10" x14ac:dyDescent="0.3">
      <c r="I4474"/>
      <c r="J4474"/>
    </row>
    <row r="4475" spans="9:10" x14ac:dyDescent="0.3">
      <c r="I4475"/>
      <c r="J4475"/>
    </row>
    <row r="4476" spans="9:10" x14ac:dyDescent="0.3">
      <c r="I4476"/>
      <c r="J4476"/>
    </row>
    <row r="4477" spans="9:10" x14ac:dyDescent="0.3">
      <c r="I4477"/>
      <c r="J4477"/>
    </row>
    <row r="4478" spans="9:10" x14ac:dyDescent="0.3">
      <c r="I4478"/>
      <c r="J4478"/>
    </row>
    <row r="4479" spans="9:10" x14ac:dyDescent="0.3">
      <c r="I4479"/>
      <c r="J4479"/>
    </row>
    <row r="4480" spans="9:10" x14ac:dyDescent="0.3">
      <c r="I4480"/>
      <c r="J4480"/>
    </row>
    <row r="4481" spans="9:10" x14ac:dyDescent="0.3">
      <c r="I4481"/>
      <c r="J4481"/>
    </row>
    <row r="4482" spans="9:10" x14ac:dyDescent="0.3">
      <c r="I4482"/>
      <c r="J4482"/>
    </row>
    <row r="4483" spans="9:10" x14ac:dyDescent="0.3">
      <c r="I4483"/>
      <c r="J4483"/>
    </row>
    <row r="4484" spans="9:10" x14ac:dyDescent="0.3">
      <c r="I4484"/>
      <c r="J4484"/>
    </row>
    <row r="4485" spans="9:10" x14ac:dyDescent="0.3">
      <c r="I4485"/>
      <c r="J4485"/>
    </row>
    <row r="4486" spans="9:10" x14ac:dyDescent="0.3">
      <c r="I4486"/>
      <c r="J4486"/>
    </row>
    <row r="4487" spans="9:10" x14ac:dyDescent="0.3">
      <c r="I4487"/>
      <c r="J4487"/>
    </row>
    <row r="4488" spans="9:10" x14ac:dyDescent="0.3">
      <c r="I4488"/>
      <c r="J4488"/>
    </row>
    <row r="4489" spans="9:10" x14ac:dyDescent="0.3">
      <c r="I4489"/>
      <c r="J4489"/>
    </row>
    <row r="4490" spans="9:10" x14ac:dyDescent="0.3">
      <c r="I4490"/>
      <c r="J4490"/>
    </row>
    <row r="4491" spans="9:10" x14ac:dyDescent="0.3">
      <c r="I4491"/>
      <c r="J4491"/>
    </row>
    <row r="4492" spans="9:10" x14ac:dyDescent="0.3">
      <c r="I4492"/>
      <c r="J4492"/>
    </row>
    <row r="4493" spans="9:10" x14ac:dyDescent="0.3">
      <c r="I4493"/>
      <c r="J4493"/>
    </row>
    <row r="4494" spans="9:10" x14ac:dyDescent="0.3">
      <c r="I4494"/>
      <c r="J4494"/>
    </row>
    <row r="4495" spans="9:10" x14ac:dyDescent="0.3">
      <c r="I4495"/>
      <c r="J4495"/>
    </row>
    <row r="4496" spans="9:10" x14ac:dyDescent="0.3">
      <c r="I4496"/>
      <c r="J4496"/>
    </row>
    <row r="4497" spans="9:10" x14ac:dyDescent="0.3">
      <c r="I4497"/>
      <c r="J4497"/>
    </row>
    <row r="4498" spans="9:10" x14ac:dyDescent="0.3">
      <c r="I4498"/>
      <c r="J4498"/>
    </row>
    <row r="4499" spans="9:10" x14ac:dyDescent="0.3">
      <c r="I4499"/>
      <c r="J4499"/>
    </row>
    <row r="4500" spans="9:10" x14ac:dyDescent="0.3">
      <c r="I4500"/>
      <c r="J4500"/>
    </row>
    <row r="4501" spans="9:10" x14ac:dyDescent="0.3">
      <c r="I4501"/>
      <c r="J4501"/>
    </row>
    <row r="4502" spans="9:10" x14ac:dyDescent="0.3">
      <c r="I4502"/>
      <c r="J4502"/>
    </row>
    <row r="4503" spans="9:10" x14ac:dyDescent="0.3">
      <c r="I4503"/>
      <c r="J4503"/>
    </row>
    <row r="4504" spans="9:10" x14ac:dyDescent="0.3">
      <c r="I4504"/>
      <c r="J4504"/>
    </row>
    <row r="4505" spans="9:10" x14ac:dyDescent="0.3">
      <c r="I4505"/>
      <c r="J4505"/>
    </row>
    <row r="4506" spans="9:10" x14ac:dyDescent="0.3">
      <c r="I4506"/>
      <c r="J4506"/>
    </row>
    <row r="4507" spans="9:10" x14ac:dyDescent="0.3">
      <c r="I4507"/>
      <c r="J4507"/>
    </row>
    <row r="4508" spans="9:10" x14ac:dyDescent="0.3">
      <c r="I4508"/>
      <c r="J4508"/>
    </row>
    <row r="4509" spans="9:10" x14ac:dyDescent="0.3">
      <c r="I4509"/>
      <c r="J4509"/>
    </row>
    <row r="4510" spans="9:10" x14ac:dyDescent="0.3">
      <c r="I4510"/>
      <c r="J4510"/>
    </row>
    <row r="4511" spans="9:10" x14ac:dyDescent="0.3">
      <c r="I4511"/>
      <c r="J4511"/>
    </row>
    <row r="4512" spans="9:10" x14ac:dyDescent="0.3">
      <c r="I4512"/>
      <c r="J4512"/>
    </row>
    <row r="4513" spans="9:10" x14ac:dyDescent="0.3">
      <c r="I4513"/>
      <c r="J4513"/>
    </row>
    <row r="4514" spans="9:10" x14ac:dyDescent="0.3">
      <c r="I4514"/>
      <c r="J4514"/>
    </row>
    <row r="4515" spans="9:10" x14ac:dyDescent="0.3">
      <c r="I4515"/>
      <c r="J4515"/>
    </row>
    <row r="4516" spans="9:10" x14ac:dyDescent="0.3">
      <c r="I4516"/>
      <c r="J4516"/>
    </row>
    <row r="4517" spans="9:10" x14ac:dyDescent="0.3">
      <c r="I4517"/>
      <c r="J4517"/>
    </row>
    <row r="4518" spans="9:10" x14ac:dyDescent="0.3">
      <c r="I4518"/>
      <c r="J4518"/>
    </row>
    <row r="4519" spans="9:10" x14ac:dyDescent="0.3">
      <c r="I4519"/>
      <c r="J4519"/>
    </row>
    <row r="4520" spans="9:10" x14ac:dyDescent="0.3">
      <c r="I4520"/>
      <c r="J4520"/>
    </row>
    <row r="4521" spans="9:10" x14ac:dyDescent="0.3">
      <c r="I4521"/>
      <c r="J4521"/>
    </row>
    <row r="4522" spans="9:10" x14ac:dyDescent="0.3">
      <c r="I4522"/>
      <c r="J4522"/>
    </row>
    <row r="4523" spans="9:10" x14ac:dyDescent="0.3">
      <c r="I4523"/>
      <c r="J4523"/>
    </row>
    <row r="4524" spans="9:10" x14ac:dyDescent="0.3">
      <c r="I4524"/>
      <c r="J4524"/>
    </row>
    <row r="4525" spans="9:10" x14ac:dyDescent="0.3">
      <c r="I4525"/>
      <c r="J4525"/>
    </row>
    <row r="4526" spans="9:10" x14ac:dyDescent="0.3">
      <c r="I4526"/>
      <c r="J4526"/>
    </row>
    <row r="4527" spans="9:10" x14ac:dyDescent="0.3">
      <c r="I4527"/>
      <c r="J4527"/>
    </row>
    <row r="4528" spans="9:10" x14ac:dyDescent="0.3">
      <c r="I4528"/>
      <c r="J4528"/>
    </row>
    <row r="4529" spans="9:10" x14ac:dyDescent="0.3">
      <c r="I4529"/>
      <c r="J4529"/>
    </row>
    <row r="4530" spans="9:10" x14ac:dyDescent="0.3">
      <c r="I4530"/>
      <c r="J4530"/>
    </row>
    <row r="4531" spans="9:10" x14ac:dyDescent="0.3">
      <c r="I4531"/>
      <c r="J4531"/>
    </row>
    <row r="4532" spans="9:10" x14ac:dyDescent="0.3">
      <c r="I4532"/>
      <c r="J4532"/>
    </row>
    <row r="4533" spans="9:10" x14ac:dyDescent="0.3">
      <c r="I4533"/>
      <c r="J4533"/>
    </row>
    <row r="4534" spans="9:10" x14ac:dyDescent="0.3">
      <c r="I4534"/>
      <c r="J4534"/>
    </row>
    <row r="4535" spans="9:10" x14ac:dyDescent="0.3">
      <c r="I4535"/>
      <c r="J4535"/>
    </row>
    <row r="4536" spans="9:10" x14ac:dyDescent="0.3">
      <c r="I4536"/>
      <c r="J4536"/>
    </row>
    <row r="4537" spans="9:10" x14ac:dyDescent="0.3">
      <c r="I4537"/>
      <c r="J4537"/>
    </row>
    <row r="4538" spans="9:10" x14ac:dyDescent="0.3">
      <c r="I4538"/>
      <c r="J4538"/>
    </row>
    <row r="4539" spans="9:10" x14ac:dyDescent="0.3">
      <c r="I4539"/>
      <c r="J4539"/>
    </row>
    <row r="4540" spans="9:10" x14ac:dyDescent="0.3">
      <c r="I4540"/>
      <c r="J4540"/>
    </row>
    <row r="4541" spans="9:10" x14ac:dyDescent="0.3">
      <c r="I4541"/>
      <c r="J4541"/>
    </row>
    <row r="4542" spans="9:10" x14ac:dyDescent="0.3">
      <c r="I4542"/>
      <c r="J4542"/>
    </row>
    <row r="4543" spans="9:10" x14ac:dyDescent="0.3">
      <c r="I4543"/>
      <c r="J4543"/>
    </row>
    <row r="4544" spans="9:10" x14ac:dyDescent="0.3">
      <c r="I4544"/>
      <c r="J4544"/>
    </row>
    <row r="4545" spans="9:10" x14ac:dyDescent="0.3">
      <c r="I4545"/>
      <c r="J4545"/>
    </row>
    <row r="4546" spans="9:10" x14ac:dyDescent="0.3">
      <c r="I4546"/>
      <c r="J4546"/>
    </row>
    <row r="4547" spans="9:10" x14ac:dyDescent="0.3">
      <c r="I4547"/>
      <c r="J4547"/>
    </row>
    <row r="4548" spans="9:10" x14ac:dyDescent="0.3">
      <c r="I4548"/>
      <c r="J4548"/>
    </row>
    <row r="4549" spans="9:10" x14ac:dyDescent="0.3">
      <c r="I4549"/>
      <c r="J4549"/>
    </row>
    <row r="4550" spans="9:10" x14ac:dyDescent="0.3">
      <c r="I4550"/>
      <c r="J4550"/>
    </row>
    <row r="4551" spans="9:10" x14ac:dyDescent="0.3">
      <c r="I4551"/>
      <c r="J4551"/>
    </row>
    <row r="4552" spans="9:10" x14ac:dyDescent="0.3">
      <c r="I4552"/>
      <c r="J4552"/>
    </row>
    <row r="4553" spans="9:10" x14ac:dyDescent="0.3">
      <c r="I4553"/>
      <c r="J4553"/>
    </row>
    <row r="4554" spans="9:10" x14ac:dyDescent="0.3">
      <c r="I4554"/>
      <c r="J4554"/>
    </row>
    <row r="4555" spans="9:10" x14ac:dyDescent="0.3">
      <c r="I4555"/>
      <c r="J4555"/>
    </row>
    <row r="4556" spans="9:10" x14ac:dyDescent="0.3">
      <c r="I4556"/>
      <c r="J4556"/>
    </row>
    <row r="4557" spans="9:10" x14ac:dyDescent="0.3">
      <c r="I4557"/>
      <c r="J4557"/>
    </row>
    <row r="4558" spans="9:10" x14ac:dyDescent="0.3">
      <c r="I4558"/>
      <c r="J4558"/>
    </row>
    <row r="4559" spans="9:10" x14ac:dyDescent="0.3">
      <c r="I4559"/>
      <c r="J4559"/>
    </row>
    <row r="4560" spans="9:10" x14ac:dyDescent="0.3">
      <c r="I4560"/>
      <c r="J4560"/>
    </row>
    <row r="4561" spans="9:10" x14ac:dyDescent="0.3">
      <c r="I4561"/>
      <c r="J4561"/>
    </row>
    <row r="4562" spans="9:10" x14ac:dyDescent="0.3">
      <c r="I4562"/>
      <c r="J4562"/>
    </row>
    <row r="4563" spans="9:10" x14ac:dyDescent="0.3">
      <c r="I4563"/>
      <c r="J4563"/>
    </row>
    <row r="4564" spans="9:10" x14ac:dyDescent="0.3">
      <c r="I4564"/>
      <c r="J4564"/>
    </row>
    <row r="4565" spans="9:10" x14ac:dyDescent="0.3">
      <c r="I4565"/>
      <c r="J4565"/>
    </row>
    <row r="4566" spans="9:10" x14ac:dyDescent="0.3">
      <c r="I4566"/>
      <c r="J4566"/>
    </row>
    <row r="4567" spans="9:10" x14ac:dyDescent="0.3">
      <c r="I4567"/>
      <c r="J4567"/>
    </row>
    <row r="4568" spans="9:10" x14ac:dyDescent="0.3">
      <c r="I4568"/>
      <c r="J4568"/>
    </row>
    <row r="4569" spans="9:10" x14ac:dyDescent="0.3">
      <c r="I4569"/>
      <c r="J4569"/>
    </row>
    <row r="4570" spans="9:10" x14ac:dyDescent="0.3">
      <c r="I4570"/>
      <c r="J4570"/>
    </row>
    <row r="4571" spans="9:10" x14ac:dyDescent="0.3">
      <c r="I4571"/>
      <c r="J4571"/>
    </row>
    <row r="4572" spans="9:10" x14ac:dyDescent="0.3">
      <c r="I4572"/>
      <c r="J4572"/>
    </row>
    <row r="4573" spans="9:10" x14ac:dyDescent="0.3">
      <c r="I4573"/>
      <c r="J4573"/>
    </row>
    <row r="4574" spans="9:10" x14ac:dyDescent="0.3">
      <c r="I4574"/>
      <c r="J4574"/>
    </row>
    <row r="4575" spans="9:10" x14ac:dyDescent="0.3">
      <c r="I4575"/>
      <c r="J4575"/>
    </row>
    <row r="4576" spans="9:10" x14ac:dyDescent="0.3">
      <c r="I4576"/>
      <c r="J4576"/>
    </row>
    <row r="4577" spans="9:10" x14ac:dyDescent="0.3">
      <c r="I4577"/>
      <c r="J4577"/>
    </row>
    <row r="4578" spans="9:10" x14ac:dyDescent="0.3">
      <c r="I4578"/>
      <c r="J4578"/>
    </row>
    <row r="4579" spans="9:10" x14ac:dyDescent="0.3">
      <c r="I4579"/>
      <c r="J4579"/>
    </row>
    <row r="4580" spans="9:10" x14ac:dyDescent="0.3">
      <c r="I4580"/>
      <c r="J4580"/>
    </row>
    <row r="4581" spans="9:10" x14ac:dyDescent="0.3">
      <c r="I4581"/>
      <c r="J4581"/>
    </row>
    <row r="4582" spans="9:10" x14ac:dyDescent="0.3">
      <c r="I4582"/>
      <c r="J4582"/>
    </row>
    <row r="4583" spans="9:10" x14ac:dyDescent="0.3">
      <c r="I4583"/>
      <c r="J4583"/>
    </row>
    <row r="4584" spans="9:10" x14ac:dyDescent="0.3">
      <c r="I4584"/>
      <c r="J4584"/>
    </row>
    <row r="4585" spans="9:10" x14ac:dyDescent="0.3">
      <c r="I4585"/>
      <c r="J4585"/>
    </row>
    <row r="4586" spans="9:10" x14ac:dyDescent="0.3">
      <c r="I4586"/>
      <c r="J4586"/>
    </row>
    <row r="4587" spans="9:10" x14ac:dyDescent="0.3">
      <c r="I4587"/>
      <c r="J4587"/>
    </row>
    <row r="4588" spans="9:10" x14ac:dyDescent="0.3">
      <c r="I4588"/>
      <c r="J4588"/>
    </row>
    <row r="4589" spans="9:10" x14ac:dyDescent="0.3">
      <c r="I4589"/>
      <c r="J4589"/>
    </row>
    <row r="4590" spans="9:10" x14ac:dyDescent="0.3">
      <c r="I4590"/>
      <c r="J4590"/>
    </row>
    <row r="4591" spans="9:10" x14ac:dyDescent="0.3">
      <c r="I4591"/>
      <c r="J4591"/>
    </row>
    <row r="4592" spans="9:10" x14ac:dyDescent="0.3">
      <c r="I4592"/>
      <c r="J4592"/>
    </row>
    <row r="4593" spans="9:10" x14ac:dyDescent="0.3">
      <c r="I4593"/>
      <c r="J4593"/>
    </row>
    <row r="4594" spans="9:10" x14ac:dyDescent="0.3">
      <c r="I4594"/>
      <c r="J4594"/>
    </row>
    <row r="4595" spans="9:10" x14ac:dyDescent="0.3">
      <c r="I4595"/>
      <c r="J4595"/>
    </row>
    <row r="4596" spans="9:10" x14ac:dyDescent="0.3">
      <c r="I4596"/>
      <c r="J4596"/>
    </row>
    <row r="4597" spans="9:10" x14ac:dyDescent="0.3">
      <c r="I4597"/>
      <c r="J4597"/>
    </row>
    <row r="4598" spans="9:10" x14ac:dyDescent="0.3">
      <c r="I4598"/>
      <c r="J4598"/>
    </row>
    <row r="4599" spans="9:10" x14ac:dyDescent="0.3">
      <c r="I4599"/>
      <c r="J4599"/>
    </row>
    <row r="4600" spans="9:10" x14ac:dyDescent="0.3">
      <c r="I4600"/>
      <c r="J4600"/>
    </row>
    <row r="4601" spans="9:10" x14ac:dyDescent="0.3">
      <c r="I4601"/>
      <c r="J4601"/>
    </row>
    <row r="4602" spans="9:10" x14ac:dyDescent="0.3">
      <c r="I4602"/>
      <c r="J4602"/>
    </row>
    <row r="4603" spans="9:10" x14ac:dyDescent="0.3">
      <c r="I4603"/>
      <c r="J4603"/>
    </row>
    <row r="4604" spans="9:10" x14ac:dyDescent="0.3">
      <c r="I4604"/>
      <c r="J4604"/>
    </row>
    <row r="4605" spans="9:10" x14ac:dyDescent="0.3">
      <c r="I4605"/>
      <c r="J4605"/>
    </row>
    <row r="4606" spans="9:10" x14ac:dyDescent="0.3">
      <c r="I4606"/>
      <c r="J4606"/>
    </row>
    <row r="4607" spans="9:10" x14ac:dyDescent="0.3">
      <c r="I4607"/>
      <c r="J4607"/>
    </row>
    <row r="4608" spans="9:10" x14ac:dyDescent="0.3">
      <c r="I4608"/>
      <c r="J4608"/>
    </row>
    <row r="4609" spans="9:10" x14ac:dyDescent="0.3">
      <c r="I4609"/>
      <c r="J4609"/>
    </row>
    <row r="4610" spans="9:10" x14ac:dyDescent="0.3">
      <c r="I4610"/>
      <c r="J4610"/>
    </row>
    <row r="4611" spans="9:10" x14ac:dyDescent="0.3">
      <c r="I4611"/>
      <c r="J4611"/>
    </row>
    <row r="4612" spans="9:10" x14ac:dyDescent="0.3">
      <c r="I4612"/>
      <c r="J4612"/>
    </row>
    <row r="4613" spans="9:10" x14ac:dyDescent="0.3">
      <c r="I4613"/>
      <c r="J4613"/>
    </row>
    <row r="4614" spans="9:10" x14ac:dyDescent="0.3">
      <c r="I4614"/>
      <c r="J4614"/>
    </row>
    <row r="4615" spans="9:10" x14ac:dyDescent="0.3">
      <c r="I4615"/>
      <c r="J4615"/>
    </row>
    <row r="4616" spans="9:10" x14ac:dyDescent="0.3">
      <c r="I4616"/>
      <c r="J4616"/>
    </row>
    <row r="4617" spans="9:10" x14ac:dyDescent="0.3">
      <c r="I4617"/>
      <c r="J4617"/>
    </row>
    <row r="4618" spans="9:10" x14ac:dyDescent="0.3">
      <c r="I4618"/>
      <c r="J4618"/>
    </row>
    <row r="4619" spans="9:10" x14ac:dyDescent="0.3">
      <c r="I4619"/>
      <c r="J4619"/>
    </row>
    <row r="4620" spans="9:10" x14ac:dyDescent="0.3">
      <c r="I4620"/>
      <c r="J4620"/>
    </row>
    <row r="4621" spans="9:10" x14ac:dyDescent="0.3">
      <c r="I4621"/>
      <c r="J4621"/>
    </row>
    <row r="4622" spans="9:10" x14ac:dyDescent="0.3">
      <c r="I4622"/>
      <c r="J4622"/>
    </row>
    <row r="4623" spans="9:10" x14ac:dyDescent="0.3">
      <c r="I4623"/>
      <c r="J4623"/>
    </row>
    <row r="4624" spans="9:10" x14ac:dyDescent="0.3">
      <c r="I4624"/>
      <c r="J4624"/>
    </row>
    <row r="4625" spans="9:10" x14ac:dyDescent="0.3">
      <c r="I4625"/>
      <c r="J4625"/>
    </row>
    <row r="4626" spans="9:10" x14ac:dyDescent="0.3">
      <c r="I4626"/>
      <c r="J4626"/>
    </row>
    <row r="4627" spans="9:10" x14ac:dyDescent="0.3">
      <c r="I4627"/>
      <c r="J4627"/>
    </row>
    <row r="4628" spans="9:10" x14ac:dyDescent="0.3">
      <c r="I4628"/>
      <c r="J4628"/>
    </row>
    <row r="4629" spans="9:10" x14ac:dyDescent="0.3">
      <c r="I4629"/>
      <c r="J4629"/>
    </row>
    <row r="4630" spans="9:10" x14ac:dyDescent="0.3">
      <c r="I4630"/>
      <c r="J4630"/>
    </row>
    <row r="4631" spans="9:10" x14ac:dyDescent="0.3">
      <c r="I4631"/>
      <c r="J4631"/>
    </row>
    <row r="4632" spans="9:10" x14ac:dyDescent="0.3">
      <c r="I4632"/>
      <c r="J4632"/>
    </row>
    <row r="4633" spans="9:10" x14ac:dyDescent="0.3">
      <c r="I4633"/>
      <c r="J4633"/>
    </row>
    <row r="4634" spans="9:10" x14ac:dyDescent="0.3">
      <c r="I4634"/>
      <c r="J4634"/>
    </row>
    <row r="4635" spans="9:10" x14ac:dyDescent="0.3">
      <c r="I4635"/>
      <c r="J4635"/>
    </row>
    <row r="4636" spans="9:10" x14ac:dyDescent="0.3">
      <c r="I4636"/>
      <c r="J4636"/>
    </row>
    <row r="4637" spans="9:10" x14ac:dyDescent="0.3">
      <c r="I4637"/>
      <c r="J4637"/>
    </row>
    <row r="4638" spans="9:10" x14ac:dyDescent="0.3">
      <c r="I4638"/>
      <c r="J4638"/>
    </row>
    <row r="4639" spans="9:10" x14ac:dyDescent="0.3">
      <c r="I4639"/>
      <c r="J4639"/>
    </row>
    <row r="4640" spans="9:10" x14ac:dyDescent="0.3">
      <c r="I4640"/>
      <c r="J4640"/>
    </row>
    <row r="4641" spans="9:10" x14ac:dyDescent="0.3">
      <c r="I4641"/>
      <c r="J4641"/>
    </row>
    <row r="4642" spans="9:10" x14ac:dyDescent="0.3">
      <c r="I4642"/>
      <c r="J4642"/>
    </row>
    <row r="4643" spans="9:10" x14ac:dyDescent="0.3">
      <c r="I4643"/>
      <c r="J4643"/>
    </row>
    <row r="4644" spans="9:10" x14ac:dyDescent="0.3">
      <c r="I4644"/>
      <c r="J4644"/>
    </row>
    <row r="4645" spans="9:10" x14ac:dyDescent="0.3">
      <c r="I4645"/>
      <c r="J4645"/>
    </row>
    <row r="4646" spans="9:10" x14ac:dyDescent="0.3">
      <c r="I4646"/>
      <c r="J4646"/>
    </row>
    <row r="4647" spans="9:10" x14ac:dyDescent="0.3">
      <c r="I4647"/>
      <c r="J4647"/>
    </row>
    <row r="4648" spans="9:10" x14ac:dyDescent="0.3">
      <c r="I4648"/>
      <c r="J4648"/>
    </row>
    <row r="4649" spans="9:10" x14ac:dyDescent="0.3">
      <c r="I4649"/>
      <c r="J4649"/>
    </row>
    <row r="4650" spans="9:10" x14ac:dyDescent="0.3">
      <c r="I4650"/>
      <c r="J4650"/>
    </row>
    <row r="4651" spans="9:10" x14ac:dyDescent="0.3">
      <c r="I4651"/>
      <c r="J4651"/>
    </row>
    <row r="4652" spans="9:10" x14ac:dyDescent="0.3">
      <c r="I4652"/>
      <c r="J4652"/>
    </row>
    <row r="4653" spans="9:10" x14ac:dyDescent="0.3">
      <c r="I4653"/>
      <c r="J4653"/>
    </row>
    <row r="4654" spans="9:10" x14ac:dyDescent="0.3">
      <c r="I4654"/>
      <c r="J4654"/>
    </row>
    <row r="4655" spans="9:10" x14ac:dyDescent="0.3">
      <c r="I4655"/>
      <c r="J4655"/>
    </row>
    <row r="4656" spans="9:10" x14ac:dyDescent="0.3">
      <c r="I4656"/>
      <c r="J4656"/>
    </row>
    <row r="4657" spans="9:10" x14ac:dyDescent="0.3">
      <c r="I4657"/>
      <c r="J4657"/>
    </row>
    <row r="4658" spans="9:10" x14ac:dyDescent="0.3">
      <c r="I4658"/>
      <c r="J4658"/>
    </row>
    <row r="4659" spans="9:10" x14ac:dyDescent="0.3">
      <c r="I4659"/>
      <c r="J4659"/>
    </row>
    <row r="4660" spans="9:10" x14ac:dyDescent="0.3">
      <c r="I4660"/>
      <c r="J4660"/>
    </row>
    <row r="4661" spans="9:10" x14ac:dyDescent="0.3">
      <c r="I4661"/>
      <c r="J4661"/>
    </row>
    <row r="4662" spans="9:10" x14ac:dyDescent="0.3">
      <c r="I4662"/>
      <c r="J4662"/>
    </row>
    <row r="4663" spans="9:10" x14ac:dyDescent="0.3">
      <c r="I4663"/>
      <c r="J4663"/>
    </row>
    <row r="4664" spans="9:10" x14ac:dyDescent="0.3">
      <c r="I4664"/>
      <c r="J4664"/>
    </row>
    <row r="4665" spans="9:10" x14ac:dyDescent="0.3">
      <c r="I4665"/>
      <c r="J4665"/>
    </row>
    <row r="4666" spans="9:10" x14ac:dyDescent="0.3">
      <c r="I4666"/>
      <c r="J4666"/>
    </row>
    <row r="4667" spans="9:10" x14ac:dyDescent="0.3">
      <c r="I4667"/>
      <c r="J4667"/>
    </row>
    <row r="4668" spans="9:10" x14ac:dyDescent="0.3">
      <c r="I4668"/>
      <c r="J4668"/>
    </row>
    <row r="4669" spans="9:10" x14ac:dyDescent="0.3">
      <c r="I4669"/>
      <c r="J4669"/>
    </row>
    <row r="4670" spans="9:10" x14ac:dyDescent="0.3">
      <c r="I4670"/>
      <c r="J4670"/>
    </row>
    <row r="4671" spans="9:10" x14ac:dyDescent="0.3">
      <c r="I4671"/>
      <c r="J4671"/>
    </row>
    <row r="4672" spans="9:10" x14ac:dyDescent="0.3">
      <c r="I4672"/>
      <c r="J4672"/>
    </row>
    <row r="4673" spans="9:10" x14ac:dyDescent="0.3">
      <c r="I4673"/>
      <c r="J4673"/>
    </row>
    <row r="4674" spans="9:10" x14ac:dyDescent="0.3">
      <c r="I4674"/>
      <c r="J4674"/>
    </row>
    <row r="4675" spans="9:10" x14ac:dyDescent="0.3">
      <c r="I4675"/>
      <c r="J4675"/>
    </row>
    <row r="4676" spans="9:10" x14ac:dyDescent="0.3">
      <c r="I4676"/>
      <c r="J4676"/>
    </row>
    <row r="4677" spans="9:10" x14ac:dyDescent="0.3">
      <c r="I4677"/>
      <c r="J4677"/>
    </row>
    <row r="4678" spans="9:10" x14ac:dyDescent="0.3">
      <c r="I4678"/>
      <c r="J4678"/>
    </row>
    <row r="4679" spans="9:10" x14ac:dyDescent="0.3">
      <c r="I4679"/>
      <c r="J4679"/>
    </row>
    <row r="4680" spans="9:10" x14ac:dyDescent="0.3">
      <c r="I4680"/>
      <c r="J4680"/>
    </row>
    <row r="4681" spans="9:10" x14ac:dyDescent="0.3">
      <c r="I4681"/>
      <c r="J4681"/>
    </row>
    <row r="4682" spans="9:10" x14ac:dyDescent="0.3">
      <c r="I4682"/>
      <c r="J4682"/>
    </row>
    <row r="4683" spans="9:10" x14ac:dyDescent="0.3">
      <c r="I4683"/>
      <c r="J4683"/>
    </row>
    <row r="4684" spans="9:10" x14ac:dyDescent="0.3">
      <c r="I4684"/>
      <c r="J4684"/>
    </row>
    <row r="4685" spans="9:10" x14ac:dyDescent="0.3">
      <c r="I4685"/>
      <c r="J4685"/>
    </row>
    <row r="4686" spans="9:10" x14ac:dyDescent="0.3">
      <c r="I4686"/>
      <c r="J4686"/>
    </row>
    <row r="4687" spans="9:10" x14ac:dyDescent="0.3">
      <c r="I4687"/>
      <c r="J4687"/>
    </row>
    <row r="4688" spans="9:10" x14ac:dyDescent="0.3">
      <c r="I4688"/>
      <c r="J4688"/>
    </row>
    <row r="4689" spans="9:10" x14ac:dyDescent="0.3">
      <c r="I4689"/>
      <c r="J4689"/>
    </row>
    <row r="4690" spans="9:10" x14ac:dyDescent="0.3">
      <c r="I4690"/>
      <c r="J4690"/>
    </row>
    <row r="4691" spans="9:10" x14ac:dyDescent="0.3">
      <c r="I4691"/>
      <c r="J4691"/>
    </row>
    <row r="4692" spans="9:10" x14ac:dyDescent="0.3">
      <c r="I4692"/>
      <c r="J4692"/>
    </row>
    <row r="4693" spans="9:10" x14ac:dyDescent="0.3">
      <c r="I4693"/>
      <c r="J4693"/>
    </row>
    <row r="4694" spans="9:10" x14ac:dyDescent="0.3">
      <c r="I4694"/>
      <c r="J4694"/>
    </row>
    <row r="4695" spans="9:10" x14ac:dyDescent="0.3">
      <c r="I4695"/>
      <c r="J4695"/>
    </row>
    <row r="4696" spans="9:10" x14ac:dyDescent="0.3">
      <c r="I4696"/>
      <c r="J4696"/>
    </row>
    <row r="4697" spans="9:10" x14ac:dyDescent="0.3">
      <c r="I4697"/>
      <c r="J4697"/>
    </row>
    <row r="4698" spans="9:10" x14ac:dyDescent="0.3">
      <c r="I4698"/>
      <c r="J4698"/>
    </row>
    <row r="4699" spans="9:10" x14ac:dyDescent="0.3">
      <c r="I4699"/>
      <c r="J4699"/>
    </row>
    <row r="4700" spans="9:10" x14ac:dyDescent="0.3">
      <c r="I4700"/>
      <c r="J4700"/>
    </row>
    <row r="4701" spans="9:10" x14ac:dyDescent="0.3">
      <c r="I4701"/>
      <c r="J4701"/>
    </row>
    <row r="4702" spans="9:10" x14ac:dyDescent="0.3">
      <c r="I4702"/>
      <c r="J4702"/>
    </row>
    <row r="4703" spans="9:10" x14ac:dyDescent="0.3">
      <c r="I4703"/>
      <c r="J4703"/>
    </row>
    <row r="4704" spans="9:10" x14ac:dyDescent="0.3">
      <c r="I4704"/>
      <c r="J4704"/>
    </row>
    <row r="4705" spans="9:10" x14ac:dyDescent="0.3">
      <c r="I4705"/>
      <c r="J4705"/>
    </row>
    <row r="4706" spans="9:10" x14ac:dyDescent="0.3">
      <c r="I4706"/>
      <c r="J4706"/>
    </row>
    <row r="4707" spans="9:10" x14ac:dyDescent="0.3">
      <c r="I4707"/>
      <c r="J4707"/>
    </row>
    <row r="4708" spans="9:10" x14ac:dyDescent="0.3">
      <c r="I4708"/>
      <c r="J4708"/>
    </row>
    <row r="4709" spans="9:10" x14ac:dyDescent="0.3">
      <c r="I4709"/>
      <c r="J4709"/>
    </row>
    <row r="4710" spans="9:10" x14ac:dyDescent="0.3">
      <c r="I4710"/>
      <c r="J4710"/>
    </row>
    <row r="4711" spans="9:10" x14ac:dyDescent="0.3">
      <c r="I4711"/>
      <c r="J4711"/>
    </row>
    <row r="4712" spans="9:10" x14ac:dyDescent="0.3">
      <c r="I4712"/>
      <c r="J4712"/>
    </row>
    <row r="4713" spans="9:10" x14ac:dyDescent="0.3">
      <c r="I4713"/>
      <c r="J4713"/>
    </row>
    <row r="4714" spans="9:10" x14ac:dyDescent="0.3">
      <c r="I4714"/>
      <c r="J4714"/>
    </row>
    <row r="4715" spans="9:10" x14ac:dyDescent="0.3">
      <c r="I4715"/>
      <c r="J4715"/>
    </row>
    <row r="4716" spans="9:10" x14ac:dyDescent="0.3">
      <c r="I4716"/>
      <c r="J4716"/>
    </row>
    <row r="4717" spans="9:10" x14ac:dyDescent="0.3">
      <c r="I4717"/>
      <c r="J4717"/>
    </row>
    <row r="4718" spans="9:10" x14ac:dyDescent="0.3">
      <c r="I4718"/>
      <c r="J4718"/>
    </row>
    <row r="4719" spans="9:10" x14ac:dyDescent="0.3">
      <c r="I4719"/>
      <c r="J4719"/>
    </row>
    <row r="4720" spans="9:10" x14ac:dyDescent="0.3">
      <c r="I4720"/>
      <c r="J4720"/>
    </row>
    <row r="4721" spans="9:10" x14ac:dyDescent="0.3">
      <c r="I4721"/>
      <c r="J4721"/>
    </row>
    <row r="4722" spans="9:10" x14ac:dyDescent="0.3">
      <c r="I4722"/>
      <c r="J4722"/>
    </row>
    <row r="4723" spans="9:10" x14ac:dyDescent="0.3">
      <c r="I4723"/>
      <c r="J4723"/>
    </row>
    <row r="4724" spans="9:10" x14ac:dyDescent="0.3">
      <c r="I4724"/>
      <c r="J4724"/>
    </row>
    <row r="4725" spans="9:10" x14ac:dyDescent="0.3">
      <c r="I4725"/>
      <c r="J4725"/>
    </row>
    <row r="4726" spans="9:10" x14ac:dyDescent="0.3">
      <c r="I4726"/>
      <c r="J4726"/>
    </row>
    <row r="4727" spans="9:10" x14ac:dyDescent="0.3">
      <c r="I4727"/>
      <c r="J4727"/>
    </row>
    <row r="4728" spans="9:10" x14ac:dyDescent="0.3">
      <c r="I4728"/>
      <c r="J4728"/>
    </row>
    <row r="4729" spans="9:10" x14ac:dyDescent="0.3">
      <c r="I4729"/>
      <c r="J4729"/>
    </row>
    <row r="4730" spans="9:10" x14ac:dyDescent="0.3">
      <c r="I4730"/>
      <c r="J4730"/>
    </row>
    <row r="4731" spans="9:10" x14ac:dyDescent="0.3">
      <c r="I4731"/>
      <c r="J4731"/>
    </row>
    <row r="4732" spans="9:10" x14ac:dyDescent="0.3">
      <c r="I4732"/>
      <c r="J4732"/>
    </row>
    <row r="4733" spans="9:10" x14ac:dyDescent="0.3">
      <c r="I4733"/>
      <c r="J4733"/>
    </row>
    <row r="4734" spans="9:10" x14ac:dyDescent="0.3">
      <c r="I4734"/>
      <c r="J4734"/>
    </row>
    <row r="4735" spans="9:10" x14ac:dyDescent="0.3">
      <c r="I4735"/>
      <c r="J4735"/>
    </row>
    <row r="4736" spans="9:10" x14ac:dyDescent="0.3">
      <c r="I4736"/>
      <c r="J4736"/>
    </row>
    <row r="4737" spans="9:10" x14ac:dyDescent="0.3">
      <c r="I4737"/>
      <c r="J4737"/>
    </row>
    <row r="4738" spans="9:10" x14ac:dyDescent="0.3">
      <c r="I4738"/>
      <c r="J4738"/>
    </row>
    <row r="4739" spans="9:10" x14ac:dyDescent="0.3">
      <c r="I4739"/>
      <c r="J4739"/>
    </row>
    <row r="4740" spans="9:10" x14ac:dyDescent="0.3">
      <c r="I4740"/>
      <c r="J4740"/>
    </row>
    <row r="4741" spans="9:10" x14ac:dyDescent="0.3">
      <c r="I4741"/>
      <c r="J4741"/>
    </row>
    <row r="4742" spans="9:10" x14ac:dyDescent="0.3">
      <c r="I4742"/>
      <c r="J4742"/>
    </row>
    <row r="4743" spans="9:10" x14ac:dyDescent="0.3">
      <c r="I4743"/>
      <c r="J4743"/>
    </row>
    <row r="4744" spans="9:10" x14ac:dyDescent="0.3">
      <c r="I4744"/>
      <c r="J4744"/>
    </row>
    <row r="4745" spans="9:10" x14ac:dyDescent="0.3">
      <c r="I4745"/>
      <c r="J4745"/>
    </row>
    <row r="4746" spans="9:10" x14ac:dyDescent="0.3">
      <c r="I4746"/>
      <c r="J4746"/>
    </row>
    <row r="4747" spans="9:10" x14ac:dyDescent="0.3">
      <c r="I4747"/>
      <c r="J4747"/>
    </row>
    <row r="4748" spans="9:10" x14ac:dyDescent="0.3">
      <c r="I4748"/>
      <c r="J4748"/>
    </row>
    <row r="4749" spans="9:10" x14ac:dyDescent="0.3">
      <c r="I4749"/>
      <c r="J4749"/>
    </row>
    <row r="4750" spans="9:10" x14ac:dyDescent="0.3">
      <c r="I4750"/>
      <c r="J4750"/>
    </row>
    <row r="4751" spans="9:10" x14ac:dyDescent="0.3">
      <c r="I4751"/>
      <c r="J4751"/>
    </row>
    <row r="4752" spans="9:10" x14ac:dyDescent="0.3">
      <c r="I4752"/>
      <c r="J4752"/>
    </row>
    <row r="4753" spans="9:10" x14ac:dyDescent="0.3">
      <c r="I4753"/>
      <c r="J4753"/>
    </row>
    <row r="4754" spans="9:10" x14ac:dyDescent="0.3">
      <c r="I4754"/>
      <c r="J4754"/>
    </row>
    <row r="4755" spans="9:10" x14ac:dyDescent="0.3">
      <c r="I4755"/>
      <c r="J4755"/>
    </row>
    <row r="4756" spans="9:10" x14ac:dyDescent="0.3">
      <c r="I4756"/>
      <c r="J4756"/>
    </row>
    <row r="4757" spans="9:10" x14ac:dyDescent="0.3">
      <c r="I4757"/>
      <c r="J4757"/>
    </row>
    <row r="4758" spans="9:10" x14ac:dyDescent="0.3">
      <c r="I4758"/>
      <c r="J4758"/>
    </row>
    <row r="4759" spans="9:10" x14ac:dyDescent="0.3">
      <c r="I4759"/>
      <c r="J4759"/>
    </row>
    <row r="4760" spans="9:10" x14ac:dyDescent="0.3">
      <c r="I4760"/>
      <c r="J4760"/>
    </row>
    <row r="4761" spans="9:10" x14ac:dyDescent="0.3">
      <c r="I4761"/>
      <c r="J4761"/>
    </row>
    <row r="4762" spans="9:10" x14ac:dyDescent="0.3">
      <c r="I4762"/>
      <c r="J4762"/>
    </row>
    <row r="4763" spans="9:10" x14ac:dyDescent="0.3">
      <c r="I4763"/>
      <c r="J4763"/>
    </row>
    <row r="4764" spans="9:10" x14ac:dyDescent="0.3">
      <c r="I4764"/>
      <c r="J4764"/>
    </row>
    <row r="4765" spans="9:10" x14ac:dyDescent="0.3">
      <c r="I4765"/>
      <c r="J4765"/>
    </row>
    <row r="4766" spans="9:10" x14ac:dyDescent="0.3">
      <c r="I4766"/>
      <c r="J4766"/>
    </row>
    <row r="4767" spans="9:10" x14ac:dyDescent="0.3">
      <c r="I4767"/>
      <c r="J4767"/>
    </row>
    <row r="4768" spans="9:10" x14ac:dyDescent="0.3">
      <c r="I4768"/>
      <c r="J4768"/>
    </row>
    <row r="4769" spans="9:10" x14ac:dyDescent="0.3">
      <c r="I4769"/>
      <c r="J4769"/>
    </row>
    <row r="4770" spans="9:10" x14ac:dyDescent="0.3">
      <c r="I4770"/>
      <c r="J4770"/>
    </row>
    <row r="4771" spans="9:10" x14ac:dyDescent="0.3">
      <c r="I4771"/>
      <c r="J4771"/>
    </row>
    <row r="4772" spans="9:10" x14ac:dyDescent="0.3">
      <c r="I4772"/>
      <c r="J4772"/>
    </row>
    <row r="4773" spans="9:10" x14ac:dyDescent="0.3">
      <c r="I4773"/>
      <c r="J4773"/>
    </row>
    <row r="4774" spans="9:10" x14ac:dyDescent="0.3">
      <c r="I4774"/>
      <c r="J4774"/>
    </row>
    <row r="4775" spans="9:10" x14ac:dyDescent="0.3">
      <c r="I4775"/>
      <c r="J4775"/>
    </row>
    <row r="4776" spans="9:10" x14ac:dyDescent="0.3">
      <c r="I4776"/>
      <c r="J4776"/>
    </row>
    <row r="4777" spans="9:10" x14ac:dyDescent="0.3">
      <c r="I4777"/>
      <c r="J4777"/>
    </row>
    <row r="4778" spans="9:10" x14ac:dyDescent="0.3">
      <c r="I4778"/>
      <c r="J4778"/>
    </row>
    <row r="4779" spans="9:10" x14ac:dyDescent="0.3">
      <c r="I4779"/>
      <c r="J4779"/>
    </row>
    <row r="4780" spans="9:10" x14ac:dyDescent="0.3">
      <c r="I4780"/>
      <c r="J4780"/>
    </row>
    <row r="4781" spans="9:10" x14ac:dyDescent="0.3">
      <c r="I4781"/>
      <c r="J4781"/>
    </row>
    <row r="4782" spans="9:10" x14ac:dyDescent="0.3">
      <c r="I4782"/>
      <c r="J4782"/>
    </row>
    <row r="4783" spans="9:10" x14ac:dyDescent="0.3">
      <c r="I4783"/>
      <c r="J4783"/>
    </row>
    <row r="4784" spans="9:10" x14ac:dyDescent="0.3">
      <c r="I4784"/>
      <c r="J4784"/>
    </row>
    <row r="4785" spans="9:10" x14ac:dyDescent="0.3">
      <c r="I4785"/>
      <c r="J4785"/>
    </row>
    <row r="4786" spans="9:10" x14ac:dyDescent="0.3">
      <c r="I4786"/>
      <c r="J4786"/>
    </row>
    <row r="4787" spans="9:10" x14ac:dyDescent="0.3">
      <c r="I4787"/>
      <c r="J4787"/>
    </row>
    <row r="4788" spans="9:10" x14ac:dyDescent="0.3">
      <c r="I4788"/>
      <c r="J4788"/>
    </row>
    <row r="4789" spans="9:10" x14ac:dyDescent="0.3">
      <c r="I4789"/>
      <c r="J4789"/>
    </row>
    <row r="4790" spans="9:10" x14ac:dyDescent="0.3">
      <c r="I4790"/>
      <c r="J4790"/>
    </row>
    <row r="4791" spans="9:10" x14ac:dyDescent="0.3">
      <c r="I4791"/>
      <c r="J4791"/>
    </row>
    <row r="4792" spans="9:10" x14ac:dyDescent="0.3">
      <c r="I4792"/>
      <c r="J4792"/>
    </row>
    <row r="4793" spans="9:10" x14ac:dyDescent="0.3">
      <c r="I4793"/>
      <c r="J4793"/>
    </row>
    <row r="4794" spans="9:10" x14ac:dyDescent="0.3">
      <c r="I4794"/>
      <c r="J4794"/>
    </row>
    <row r="4795" spans="9:10" x14ac:dyDescent="0.3">
      <c r="I4795"/>
      <c r="J4795"/>
    </row>
    <row r="4796" spans="9:10" x14ac:dyDescent="0.3">
      <c r="I4796"/>
      <c r="J4796"/>
    </row>
    <row r="4797" spans="9:10" x14ac:dyDescent="0.3">
      <c r="I4797"/>
      <c r="J4797"/>
    </row>
    <row r="4798" spans="9:10" x14ac:dyDescent="0.3">
      <c r="I4798"/>
      <c r="J4798"/>
    </row>
    <row r="4799" spans="9:10" x14ac:dyDescent="0.3">
      <c r="I4799"/>
      <c r="J4799"/>
    </row>
    <row r="4800" spans="9:10" x14ac:dyDescent="0.3">
      <c r="I4800"/>
      <c r="J4800"/>
    </row>
    <row r="4801" spans="9:10" x14ac:dyDescent="0.3">
      <c r="I4801"/>
      <c r="J4801"/>
    </row>
    <row r="4802" spans="9:10" x14ac:dyDescent="0.3">
      <c r="I4802"/>
      <c r="J4802"/>
    </row>
    <row r="4803" spans="9:10" x14ac:dyDescent="0.3">
      <c r="I4803"/>
      <c r="J4803"/>
    </row>
    <row r="4804" spans="9:10" x14ac:dyDescent="0.3">
      <c r="I4804"/>
      <c r="J4804"/>
    </row>
    <row r="4805" spans="9:10" x14ac:dyDescent="0.3">
      <c r="I4805"/>
      <c r="J4805"/>
    </row>
    <row r="4806" spans="9:10" x14ac:dyDescent="0.3">
      <c r="I4806"/>
      <c r="J4806"/>
    </row>
    <row r="4807" spans="9:10" x14ac:dyDescent="0.3">
      <c r="I4807"/>
      <c r="J4807"/>
    </row>
    <row r="4808" spans="9:10" x14ac:dyDescent="0.3">
      <c r="I4808"/>
      <c r="J4808"/>
    </row>
    <row r="4809" spans="9:10" x14ac:dyDescent="0.3">
      <c r="I4809"/>
      <c r="J4809"/>
    </row>
    <row r="4810" spans="9:10" x14ac:dyDescent="0.3">
      <c r="I4810"/>
      <c r="J4810"/>
    </row>
    <row r="4811" spans="9:10" x14ac:dyDescent="0.3">
      <c r="I4811"/>
      <c r="J4811"/>
    </row>
    <row r="4812" spans="9:10" x14ac:dyDescent="0.3">
      <c r="I4812"/>
      <c r="J4812"/>
    </row>
    <row r="4813" spans="9:10" x14ac:dyDescent="0.3">
      <c r="I4813"/>
      <c r="J4813"/>
    </row>
    <row r="4814" spans="9:10" x14ac:dyDescent="0.3">
      <c r="I4814"/>
      <c r="J4814"/>
    </row>
    <row r="4815" spans="9:10" x14ac:dyDescent="0.3">
      <c r="I4815"/>
      <c r="J4815"/>
    </row>
    <row r="4816" spans="9:10" x14ac:dyDescent="0.3">
      <c r="I4816"/>
      <c r="J4816"/>
    </row>
    <row r="4817" spans="9:10" x14ac:dyDescent="0.3">
      <c r="I4817"/>
      <c r="J4817"/>
    </row>
    <row r="4818" spans="9:10" x14ac:dyDescent="0.3">
      <c r="I4818"/>
      <c r="J4818"/>
    </row>
    <row r="4819" spans="9:10" x14ac:dyDescent="0.3">
      <c r="I4819"/>
      <c r="J4819"/>
    </row>
    <row r="4820" spans="9:10" x14ac:dyDescent="0.3">
      <c r="I4820"/>
      <c r="J4820"/>
    </row>
    <row r="4821" spans="9:10" x14ac:dyDescent="0.3">
      <c r="I4821"/>
      <c r="J4821"/>
    </row>
    <row r="4822" spans="9:10" x14ac:dyDescent="0.3">
      <c r="I4822"/>
      <c r="J4822"/>
    </row>
    <row r="4823" spans="9:10" x14ac:dyDescent="0.3">
      <c r="I4823"/>
      <c r="J4823"/>
    </row>
    <row r="4824" spans="9:10" x14ac:dyDescent="0.3">
      <c r="I4824"/>
      <c r="J4824"/>
    </row>
    <row r="4825" spans="9:10" x14ac:dyDescent="0.3">
      <c r="I4825"/>
      <c r="J4825"/>
    </row>
    <row r="4826" spans="9:10" x14ac:dyDescent="0.3">
      <c r="I4826"/>
      <c r="J4826"/>
    </row>
    <row r="4827" spans="9:10" x14ac:dyDescent="0.3">
      <c r="I4827"/>
      <c r="J4827"/>
    </row>
    <row r="4828" spans="9:10" x14ac:dyDescent="0.3">
      <c r="I4828"/>
      <c r="J4828"/>
    </row>
    <row r="4829" spans="9:10" x14ac:dyDescent="0.3">
      <c r="I4829"/>
      <c r="J4829"/>
    </row>
    <row r="4830" spans="9:10" x14ac:dyDescent="0.3">
      <c r="I4830"/>
      <c r="J4830"/>
    </row>
    <row r="4831" spans="9:10" x14ac:dyDescent="0.3">
      <c r="I4831"/>
      <c r="J4831"/>
    </row>
    <row r="4832" spans="9:10" x14ac:dyDescent="0.3">
      <c r="I4832"/>
      <c r="J4832"/>
    </row>
    <row r="4833" spans="9:10" x14ac:dyDescent="0.3">
      <c r="I4833"/>
      <c r="J4833"/>
    </row>
    <row r="4834" spans="9:10" x14ac:dyDescent="0.3">
      <c r="I4834"/>
      <c r="J4834"/>
    </row>
    <row r="4835" spans="9:10" x14ac:dyDescent="0.3">
      <c r="I4835"/>
      <c r="J4835"/>
    </row>
    <row r="4836" spans="9:10" x14ac:dyDescent="0.3">
      <c r="I4836"/>
      <c r="J4836"/>
    </row>
    <row r="4837" spans="9:10" x14ac:dyDescent="0.3">
      <c r="I4837"/>
      <c r="J4837"/>
    </row>
    <row r="4838" spans="9:10" x14ac:dyDescent="0.3">
      <c r="I4838"/>
      <c r="J4838"/>
    </row>
    <row r="4839" spans="9:10" x14ac:dyDescent="0.3">
      <c r="I4839"/>
      <c r="J4839"/>
    </row>
    <row r="4840" spans="9:10" x14ac:dyDescent="0.3">
      <c r="I4840"/>
      <c r="J4840"/>
    </row>
    <row r="4841" spans="9:10" x14ac:dyDescent="0.3">
      <c r="I4841"/>
      <c r="J4841"/>
    </row>
    <row r="4842" spans="9:10" x14ac:dyDescent="0.3">
      <c r="I4842"/>
      <c r="J4842"/>
    </row>
    <row r="4843" spans="9:10" x14ac:dyDescent="0.3">
      <c r="I4843"/>
      <c r="J4843"/>
    </row>
    <row r="4844" spans="9:10" x14ac:dyDescent="0.3">
      <c r="I4844"/>
      <c r="J4844"/>
    </row>
    <row r="4845" spans="9:10" x14ac:dyDescent="0.3">
      <c r="I4845"/>
      <c r="J4845"/>
    </row>
    <row r="4846" spans="9:10" x14ac:dyDescent="0.3">
      <c r="I4846"/>
      <c r="J4846"/>
    </row>
    <row r="4847" spans="9:10" x14ac:dyDescent="0.3">
      <c r="I4847"/>
      <c r="J4847"/>
    </row>
    <row r="4848" spans="9:10" x14ac:dyDescent="0.3">
      <c r="I4848"/>
      <c r="J4848"/>
    </row>
    <row r="4849" spans="9:10" x14ac:dyDescent="0.3">
      <c r="I4849"/>
      <c r="J4849"/>
    </row>
    <row r="4850" spans="9:10" x14ac:dyDescent="0.3">
      <c r="I4850"/>
      <c r="J4850"/>
    </row>
    <row r="4851" spans="9:10" x14ac:dyDescent="0.3">
      <c r="I4851"/>
      <c r="J4851"/>
    </row>
    <row r="4852" spans="9:10" x14ac:dyDescent="0.3">
      <c r="I4852"/>
      <c r="J4852"/>
    </row>
    <row r="4853" spans="9:10" x14ac:dyDescent="0.3">
      <c r="I4853"/>
      <c r="J4853"/>
    </row>
    <row r="4854" spans="9:10" x14ac:dyDescent="0.3">
      <c r="I4854"/>
      <c r="J4854"/>
    </row>
    <row r="4855" spans="9:10" x14ac:dyDescent="0.3">
      <c r="I4855"/>
      <c r="J4855"/>
    </row>
    <row r="4856" spans="9:10" x14ac:dyDescent="0.3">
      <c r="I4856"/>
      <c r="J4856"/>
    </row>
    <row r="4857" spans="9:10" x14ac:dyDescent="0.3">
      <c r="I4857"/>
      <c r="J4857"/>
    </row>
    <row r="4858" spans="9:10" x14ac:dyDescent="0.3">
      <c r="I4858"/>
      <c r="J4858"/>
    </row>
    <row r="4859" spans="9:10" x14ac:dyDescent="0.3">
      <c r="I4859"/>
      <c r="J4859"/>
    </row>
    <row r="4860" spans="9:10" x14ac:dyDescent="0.3">
      <c r="I4860"/>
      <c r="J4860"/>
    </row>
    <row r="4861" spans="9:10" x14ac:dyDescent="0.3">
      <c r="I4861"/>
      <c r="J4861"/>
    </row>
    <row r="4862" spans="9:10" x14ac:dyDescent="0.3">
      <c r="I4862"/>
      <c r="J4862"/>
    </row>
    <row r="4863" spans="9:10" x14ac:dyDescent="0.3">
      <c r="I4863"/>
      <c r="J4863"/>
    </row>
    <row r="4864" spans="9:10" x14ac:dyDescent="0.3">
      <c r="I4864"/>
      <c r="J4864"/>
    </row>
    <row r="4865" spans="9:10" x14ac:dyDescent="0.3">
      <c r="I4865"/>
      <c r="J4865"/>
    </row>
    <row r="4866" spans="9:10" x14ac:dyDescent="0.3">
      <c r="I4866"/>
      <c r="J4866"/>
    </row>
    <row r="4867" spans="9:10" x14ac:dyDescent="0.3">
      <c r="I4867"/>
      <c r="J4867"/>
    </row>
    <row r="4868" spans="9:10" x14ac:dyDescent="0.3">
      <c r="I4868"/>
      <c r="J4868"/>
    </row>
    <row r="4869" spans="9:10" x14ac:dyDescent="0.3">
      <c r="I4869"/>
      <c r="J4869"/>
    </row>
    <row r="4870" spans="9:10" x14ac:dyDescent="0.3">
      <c r="I4870"/>
      <c r="J4870"/>
    </row>
    <row r="4871" spans="9:10" x14ac:dyDescent="0.3">
      <c r="I4871"/>
      <c r="J4871"/>
    </row>
    <row r="4872" spans="9:10" x14ac:dyDescent="0.3">
      <c r="I4872"/>
      <c r="J4872"/>
    </row>
    <row r="4873" spans="9:10" x14ac:dyDescent="0.3">
      <c r="I4873"/>
      <c r="J4873"/>
    </row>
    <row r="4874" spans="9:10" x14ac:dyDescent="0.3">
      <c r="I4874"/>
      <c r="J4874"/>
    </row>
    <row r="4875" spans="9:10" x14ac:dyDescent="0.3">
      <c r="I4875"/>
      <c r="J4875"/>
    </row>
    <row r="4876" spans="9:10" x14ac:dyDescent="0.3">
      <c r="I4876"/>
      <c r="J4876"/>
    </row>
    <row r="4877" spans="9:10" x14ac:dyDescent="0.3">
      <c r="I4877"/>
      <c r="J4877"/>
    </row>
    <row r="4878" spans="9:10" x14ac:dyDescent="0.3">
      <c r="I4878"/>
      <c r="J4878"/>
    </row>
    <row r="4879" spans="9:10" x14ac:dyDescent="0.3">
      <c r="I4879"/>
      <c r="J4879"/>
    </row>
    <row r="4880" spans="9:10" x14ac:dyDescent="0.3">
      <c r="I4880"/>
      <c r="J4880"/>
    </row>
    <row r="4881" spans="9:10" x14ac:dyDescent="0.3">
      <c r="I4881"/>
      <c r="J4881"/>
    </row>
    <row r="4882" spans="9:10" x14ac:dyDescent="0.3">
      <c r="I4882"/>
      <c r="J4882"/>
    </row>
    <row r="4883" spans="9:10" x14ac:dyDescent="0.3">
      <c r="I4883"/>
      <c r="J4883"/>
    </row>
    <row r="4884" spans="9:10" x14ac:dyDescent="0.3">
      <c r="I4884"/>
      <c r="J4884"/>
    </row>
    <row r="4885" spans="9:10" x14ac:dyDescent="0.3">
      <c r="I4885"/>
      <c r="J4885"/>
    </row>
    <row r="4886" spans="9:10" x14ac:dyDescent="0.3">
      <c r="I4886"/>
      <c r="J4886"/>
    </row>
    <row r="4887" spans="9:10" x14ac:dyDescent="0.3">
      <c r="I4887"/>
      <c r="J4887"/>
    </row>
    <row r="4888" spans="9:10" x14ac:dyDescent="0.3">
      <c r="I4888"/>
      <c r="J4888"/>
    </row>
    <row r="4889" spans="9:10" x14ac:dyDescent="0.3">
      <c r="I4889"/>
      <c r="J4889"/>
    </row>
    <row r="4890" spans="9:10" x14ac:dyDescent="0.3">
      <c r="I4890"/>
      <c r="J4890"/>
    </row>
    <row r="4891" spans="9:10" x14ac:dyDescent="0.3">
      <c r="I4891"/>
      <c r="J4891"/>
    </row>
    <row r="4892" spans="9:10" x14ac:dyDescent="0.3">
      <c r="I4892"/>
      <c r="J4892"/>
    </row>
    <row r="4893" spans="9:10" x14ac:dyDescent="0.3">
      <c r="I4893"/>
      <c r="J4893"/>
    </row>
    <row r="4894" spans="9:10" x14ac:dyDescent="0.3">
      <c r="I4894"/>
      <c r="J4894"/>
    </row>
    <row r="4895" spans="9:10" x14ac:dyDescent="0.3">
      <c r="I4895"/>
      <c r="J4895"/>
    </row>
    <row r="4896" spans="9:10" x14ac:dyDescent="0.3">
      <c r="I4896"/>
      <c r="J4896"/>
    </row>
    <row r="4897" spans="9:10" x14ac:dyDescent="0.3">
      <c r="I4897"/>
      <c r="J4897"/>
    </row>
    <row r="4898" spans="9:10" x14ac:dyDescent="0.3">
      <c r="I4898"/>
      <c r="J4898"/>
    </row>
    <row r="4899" spans="9:10" x14ac:dyDescent="0.3">
      <c r="I4899"/>
      <c r="J4899"/>
    </row>
    <row r="4900" spans="9:10" x14ac:dyDescent="0.3">
      <c r="I4900"/>
      <c r="J4900"/>
    </row>
    <row r="4901" spans="9:10" x14ac:dyDescent="0.3">
      <c r="I4901"/>
      <c r="J4901"/>
    </row>
    <row r="4902" spans="9:10" x14ac:dyDescent="0.3">
      <c r="I4902"/>
      <c r="J4902"/>
    </row>
    <row r="4903" spans="9:10" x14ac:dyDescent="0.3">
      <c r="I4903"/>
      <c r="J4903"/>
    </row>
    <row r="4904" spans="9:10" x14ac:dyDescent="0.3">
      <c r="I4904"/>
      <c r="J4904"/>
    </row>
    <row r="4905" spans="9:10" x14ac:dyDescent="0.3">
      <c r="I4905"/>
      <c r="J4905"/>
    </row>
    <row r="4906" spans="9:10" x14ac:dyDescent="0.3">
      <c r="I4906"/>
      <c r="J4906"/>
    </row>
    <row r="4907" spans="9:10" x14ac:dyDescent="0.3">
      <c r="I4907"/>
      <c r="J4907"/>
    </row>
    <row r="4908" spans="9:10" x14ac:dyDescent="0.3">
      <c r="I4908"/>
      <c r="J4908"/>
    </row>
    <row r="4909" spans="9:10" x14ac:dyDescent="0.3">
      <c r="I4909"/>
      <c r="J4909"/>
    </row>
    <row r="4910" spans="9:10" x14ac:dyDescent="0.3">
      <c r="I4910"/>
      <c r="J4910"/>
    </row>
    <row r="4911" spans="9:10" x14ac:dyDescent="0.3">
      <c r="I4911"/>
      <c r="J4911"/>
    </row>
    <row r="4912" spans="9:10" x14ac:dyDescent="0.3">
      <c r="I4912"/>
      <c r="J4912"/>
    </row>
    <row r="4913" spans="9:10" x14ac:dyDescent="0.3">
      <c r="I4913"/>
      <c r="J4913"/>
    </row>
    <row r="4914" spans="9:10" x14ac:dyDescent="0.3">
      <c r="I4914"/>
      <c r="J4914"/>
    </row>
    <row r="4915" spans="9:10" x14ac:dyDescent="0.3">
      <c r="I4915"/>
      <c r="J4915"/>
    </row>
    <row r="4916" spans="9:10" x14ac:dyDescent="0.3">
      <c r="I4916"/>
      <c r="J4916"/>
    </row>
    <row r="4917" spans="9:10" x14ac:dyDescent="0.3">
      <c r="I4917"/>
      <c r="J4917"/>
    </row>
    <row r="4918" spans="9:10" x14ac:dyDescent="0.3">
      <c r="I4918"/>
      <c r="J4918"/>
    </row>
    <row r="4919" spans="9:10" x14ac:dyDescent="0.3">
      <c r="I4919"/>
      <c r="J4919"/>
    </row>
    <row r="4920" spans="9:10" x14ac:dyDescent="0.3">
      <c r="I4920"/>
      <c r="J4920"/>
    </row>
    <row r="4921" spans="9:10" x14ac:dyDescent="0.3">
      <c r="I4921"/>
      <c r="J4921"/>
    </row>
    <row r="4922" spans="9:10" x14ac:dyDescent="0.3">
      <c r="I4922"/>
      <c r="J4922"/>
    </row>
    <row r="4923" spans="9:10" x14ac:dyDescent="0.3">
      <c r="I4923"/>
      <c r="J4923"/>
    </row>
    <row r="4924" spans="9:10" x14ac:dyDescent="0.3">
      <c r="I4924"/>
      <c r="J4924"/>
    </row>
    <row r="4925" spans="9:10" x14ac:dyDescent="0.3">
      <c r="I4925"/>
      <c r="J4925"/>
    </row>
    <row r="4926" spans="9:10" x14ac:dyDescent="0.3">
      <c r="I4926"/>
      <c r="J4926"/>
    </row>
    <row r="4927" spans="9:10" x14ac:dyDescent="0.3">
      <c r="I4927"/>
      <c r="J4927"/>
    </row>
    <row r="4928" spans="9:10" x14ac:dyDescent="0.3">
      <c r="I4928"/>
      <c r="J4928"/>
    </row>
    <row r="4929" spans="9:10" x14ac:dyDescent="0.3">
      <c r="I4929"/>
      <c r="J4929"/>
    </row>
    <row r="4930" spans="9:10" x14ac:dyDescent="0.3">
      <c r="I4930"/>
      <c r="J4930"/>
    </row>
    <row r="4931" spans="9:10" x14ac:dyDescent="0.3">
      <c r="I4931"/>
      <c r="J4931"/>
    </row>
    <row r="4932" spans="9:10" x14ac:dyDescent="0.3">
      <c r="I4932"/>
      <c r="J4932"/>
    </row>
    <row r="4933" spans="9:10" x14ac:dyDescent="0.3">
      <c r="I4933"/>
      <c r="J4933"/>
    </row>
    <row r="4934" spans="9:10" x14ac:dyDescent="0.3">
      <c r="I4934"/>
      <c r="J4934"/>
    </row>
    <row r="4935" spans="9:10" x14ac:dyDescent="0.3">
      <c r="I4935"/>
      <c r="J4935"/>
    </row>
    <row r="4936" spans="9:10" x14ac:dyDescent="0.3">
      <c r="I4936"/>
      <c r="J4936"/>
    </row>
    <row r="4937" spans="9:10" x14ac:dyDescent="0.3">
      <c r="I4937"/>
      <c r="J4937"/>
    </row>
    <row r="4938" spans="9:10" x14ac:dyDescent="0.3">
      <c r="I4938"/>
      <c r="J4938"/>
    </row>
    <row r="4939" spans="9:10" x14ac:dyDescent="0.3">
      <c r="I4939"/>
      <c r="J4939"/>
    </row>
    <row r="4940" spans="9:10" x14ac:dyDescent="0.3">
      <c r="I4940"/>
      <c r="J4940"/>
    </row>
    <row r="4941" spans="9:10" x14ac:dyDescent="0.3">
      <c r="I4941"/>
      <c r="J4941"/>
    </row>
    <row r="4942" spans="9:10" x14ac:dyDescent="0.3">
      <c r="I4942"/>
      <c r="J4942"/>
    </row>
    <row r="4943" spans="9:10" x14ac:dyDescent="0.3">
      <c r="I4943"/>
      <c r="J4943"/>
    </row>
    <row r="4944" spans="9:10" x14ac:dyDescent="0.3">
      <c r="I4944"/>
      <c r="J4944"/>
    </row>
    <row r="4945" spans="9:10" x14ac:dyDescent="0.3">
      <c r="I4945"/>
      <c r="J4945"/>
    </row>
    <row r="4946" spans="9:10" x14ac:dyDescent="0.3">
      <c r="I4946"/>
      <c r="J4946"/>
    </row>
    <row r="4947" spans="9:10" x14ac:dyDescent="0.3">
      <c r="I4947"/>
      <c r="J4947"/>
    </row>
    <row r="4948" spans="9:10" x14ac:dyDescent="0.3">
      <c r="I4948"/>
      <c r="J4948"/>
    </row>
    <row r="4949" spans="9:10" x14ac:dyDescent="0.3">
      <c r="I4949"/>
      <c r="J4949"/>
    </row>
    <row r="4950" spans="9:10" x14ac:dyDescent="0.3">
      <c r="I4950"/>
      <c r="J4950"/>
    </row>
    <row r="4951" spans="9:10" x14ac:dyDescent="0.3">
      <c r="I4951"/>
      <c r="J4951"/>
    </row>
    <row r="4952" spans="9:10" x14ac:dyDescent="0.3">
      <c r="I4952"/>
      <c r="J4952"/>
    </row>
    <row r="4953" spans="9:10" x14ac:dyDescent="0.3">
      <c r="I4953"/>
      <c r="J4953"/>
    </row>
    <row r="4954" spans="9:10" x14ac:dyDescent="0.3">
      <c r="I4954"/>
      <c r="J4954"/>
    </row>
    <row r="4955" spans="9:10" x14ac:dyDescent="0.3">
      <c r="I4955"/>
      <c r="J4955"/>
    </row>
    <row r="4956" spans="9:10" x14ac:dyDescent="0.3">
      <c r="I4956"/>
      <c r="J4956"/>
    </row>
    <row r="4957" spans="9:10" x14ac:dyDescent="0.3">
      <c r="I4957"/>
      <c r="J4957"/>
    </row>
    <row r="4958" spans="9:10" x14ac:dyDescent="0.3">
      <c r="I4958"/>
      <c r="J4958"/>
    </row>
    <row r="4959" spans="9:10" x14ac:dyDescent="0.3">
      <c r="I4959"/>
      <c r="J4959"/>
    </row>
    <row r="4960" spans="9:10" x14ac:dyDescent="0.3">
      <c r="I4960"/>
      <c r="J4960"/>
    </row>
    <row r="4961" spans="9:10" x14ac:dyDescent="0.3">
      <c r="I4961"/>
      <c r="J4961"/>
    </row>
    <row r="4962" spans="9:10" x14ac:dyDescent="0.3">
      <c r="I4962"/>
      <c r="J4962"/>
    </row>
    <row r="4963" spans="9:10" x14ac:dyDescent="0.3">
      <c r="I4963"/>
      <c r="J4963"/>
    </row>
    <row r="4964" spans="9:10" x14ac:dyDescent="0.3">
      <c r="I4964"/>
      <c r="J4964"/>
    </row>
    <row r="4965" spans="9:10" x14ac:dyDescent="0.3">
      <c r="I4965"/>
      <c r="J4965"/>
    </row>
    <row r="4966" spans="9:10" x14ac:dyDescent="0.3">
      <c r="I4966"/>
      <c r="J4966"/>
    </row>
    <row r="4967" spans="9:10" x14ac:dyDescent="0.3">
      <c r="I4967"/>
      <c r="J4967"/>
    </row>
    <row r="4968" spans="9:10" x14ac:dyDescent="0.3">
      <c r="I4968"/>
      <c r="J4968"/>
    </row>
    <row r="4969" spans="9:10" x14ac:dyDescent="0.3">
      <c r="I4969"/>
      <c r="J4969"/>
    </row>
    <row r="4970" spans="9:10" x14ac:dyDescent="0.3">
      <c r="I4970"/>
      <c r="J4970"/>
    </row>
    <row r="4971" spans="9:10" x14ac:dyDescent="0.3">
      <c r="I4971"/>
      <c r="J4971"/>
    </row>
    <row r="4972" spans="9:10" x14ac:dyDescent="0.3">
      <c r="I4972"/>
      <c r="J4972"/>
    </row>
    <row r="4973" spans="9:10" x14ac:dyDescent="0.3">
      <c r="I4973"/>
      <c r="J4973"/>
    </row>
    <row r="4974" spans="9:10" x14ac:dyDescent="0.3">
      <c r="I4974"/>
      <c r="J4974"/>
    </row>
    <row r="4975" spans="9:10" x14ac:dyDescent="0.3">
      <c r="I4975"/>
      <c r="J4975"/>
    </row>
    <row r="4976" spans="9:10" x14ac:dyDescent="0.3">
      <c r="I4976"/>
      <c r="J4976"/>
    </row>
    <row r="4977" spans="9:10" x14ac:dyDescent="0.3">
      <c r="I4977"/>
      <c r="J4977"/>
    </row>
    <row r="4978" spans="9:10" x14ac:dyDescent="0.3">
      <c r="I4978"/>
      <c r="J4978"/>
    </row>
    <row r="4979" spans="9:10" x14ac:dyDescent="0.3">
      <c r="I4979"/>
      <c r="J4979"/>
    </row>
    <row r="4980" spans="9:10" x14ac:dyDescent="0.3">
      <c r="I4980"/>
      <c r="J4980"/>
    </row>
    <row r="4981" spans="9:10" x14ac:dyDescent="0.3">
      <c r="I4981"/>
      <c r="J4981"/>
    </row>
    <row r="4982" spans="9:10" x14ac:dyDescent="0.3">
      <c r="I4982"/>
      <c r="J4982"/>
    </row>
    <row r="4983" spans="9:10" x14ac:dyDescent="0.3">
      <c r="I4983"/>
      <c r="J4983"/>
    </row>
    <row r="4984" spans="9:10" x14ac:dyDescent="0.3">
      <c r="I4984"/>
      <c r="J4984"/>
    </row>
    <row r="4985" spans="9:10" x14ac:dyDescent="0.3">
      <c r="I4985"/>
      <c r="J4985"/>
    </row>
    <row r="4986" spans="9:10" x14ac:dyDescent="0.3">
      <c r="I4986"/>
      <c r="J4986"/>
    </row>
    <row r="4987" spans="9:10" x14ac:dyDescent="0.3">
      <c r="I4987"/>
      <c r="J4987"/>
    </row>
    <row r="4988" spans="9:10" x14ac:dyDescent="0.3">
      <c r="I4988"/>
      <c r="J4988"/>
    </row>
    <row r="4989" spans="9:10" x14ac:dyDescent="0.3">
      <c r="I4989"/>
      <c r="J4989"/>
    </row>
    <row r="4990" spans="9:10" x14ac:dyDescent="0.3">
      <c r="I4990"/>
      <c r="J4990"/>
    </row>
    <row r="4991" spans="9:10" x14ac:dyDescent="0.3">
      <c r="I4991"/>
      <c r="J4991"/>
    </row>
    <row r="4992" spans="9:10" x14ac:dyDescent="0.3">
      <c r="I4992"/>
      <c r="J4992"/>
    </row>
    <row r="4993" spans="9:10" x14ac:dyDescent="0.3">
      <c r="I4993"/>
      <c r="J4993"/>
    </row>
    <row r="4994" spans="9:10" x14ac:dyDescent="0.3">
      <c r="I4994"/>
      <c r="J4994"/>
    </row>
    <row r="4995" spans="9:10" x14ac:dyDescent="0.3">
      <c r="I4995"/>
      <c r="J4995"/>
    </row>
    <row r="4996" spans="9:10" x14ac:dyDescent="0.3">
      <c r="I4996"/>
      <c r="J4996"/>
    </row>
    <row r="4997" spans="9:10" x14ac:dyDescent="0.3">
      <c r="I4997"/>
      <c r="J4997"/>
    </row>
    <row r="4998" spans="9:10" x14ac:dyDescent="0.3">
      <c r="I4998"/>
      <c r="J4998"/>
    </row>
    <row r="4999" spans="9:10" x14ac:dyDescent="0.3">
      <c r="I4999"/>
      <c r="J4999"/>
    </row>
    <row r="5000" spans="9:10" x14ac:dyDescent="0.3">
      <c r="I5000"/>
      <c r="J5000"/>
    </row>
    <row r="5001" spans="9:10" x14ac:dyDescent="0.3">
      <c r="I5001"/>
      <c r="J5001"/>
    </row>
    <row r="5002" spans="9:10" x14ac:dyDescent="0.3">
      <c r="I5002"/>
      <c r="J5002"/>
    </row>
    <row r="5003" spans="9:10" x14ac:dyDescent="0.3">
      <c r="I5003"/>
      <c r="J5003"/>
    </row>
    <row r="5004" spans="9:10" x14ac:dyDescent="0.3">
      <c r="I5004"/>
      <c r="J5004"/>
    </row>
    <row r="5005" spans="9:10" x14ac:dyDescent="0.3">
      <c r="I5005"/>
      <c r="J5005"/>
    </row>
    <row r="5006" spans="9:10" x14ac:dyDescent="0.3">
      <c r="I5006"/>
      <c r="J5006"/>
    </row>
    <row r="5007" spans="9:10" x14ac:dyDescent="0.3">
      <c r="I5007"/>
      <c r="J5007"/>
    </row>
    <row r="5008" spans="9:10" x14ac:dyDescent="0.3">
      <c r="I5008"/>
      <c r="J5008"/>
    </row>
    <row r="5009" spans="9:10" x14ac:dyDescent="0.3">
      <c r="I5009"/>
      <c r="J5009"/>
    </row>
    <row r="5010" spans="9:10" x14ac:dyDescent="0.3">
      <c r="I5010"/>
      <c r="J5010"/>
    </row>
    <row r="5011" spans="9:10" x14ac:dyDescent="0.3">
      <c r="I5011"/>
      <c r="J5011"/>
    </row>
    <row r="5012" spans="9:10" x14ac:dyDescent="0.3">
      <c r="I5012"/>
      <c r="J5012"/>
    </row>
    <row r="5013" spans="9:10" x14ac:dyDescent="0.3">
      <c r="I5013"/>
      <c r="J5013"/>
    </row>
    <row r="5014" spans="9:10" x14ac:dyDescent="0.3">
      <c r="I5014"/>
      <c r="J5014"/>
    </row>
    <row r="5015" spans="9:10" x14ac:dyDescent="0.3">
      <c r="I5015"/>
      <c r="J5015"/>
    </row>
    <row r="5016" spans="9:10" x14ac:dyDescent="0.3">
      <c r="I5016"/>
      <c r="J5016"/>
    </row>
    <row r="5017" spans="9:10" x14ac:dyDescent="0.3">
      <c r="I5017"/>
      <c r="J5017"/>
    </row>
    <row r="5018" spans="9:10" x14ac:dyDescent="0.3">
      <c r="I5018"/>
      <c r="J5018"/>
    </row>
    <row r="5019" spans="9:10" x14ac:dyDescent="0.3">
      <c r="I5019"/>
      <c r="J5019"/>
    </row>
    <row r="5020" spans="9:10" x14ac:dyDescent="0.3">
      <c r="I5020"/>
      <c r="J5020"/>
    </row>
    <row r="5021" spans="9:10" x14ac:dyDescent="0.3">
      <c r="I5021"/>
      <c r="J5021"/>
    </row>
    <row r="5022" spans="9:10" x14ac:dyDescent="0.3">
      <c r="I5022"/>
      <c r="J5022"/>
    </row>
    <row r="5023" spans="9:10" x14ac:dyDescent="0.3">
      <c r="I5023"/>
      <c r="J5023"/>
    </row>
    <row r="5024" spans="9:10" x14ac:dyDescent="0.3">
      <c r="I5024"/>
      <c r="J5024"/>
    </row>
    <row r="5025" spans="9:10" x14ac:dyDescent="0.3">
      <c r="I5025"/>
      <c r="J5025"/>
    </row>
    <row r="5026" spans="9:10" x14ac:dyDescent="0.3">
      <c r="I5026"/>
      <c r="J5026"/>
    </row>
    <row r="5027" spans="9:10" x14ac:dyDescent="0.3">
      <c r="I5027"/>
      <c r="J5027"/>
    </row>
    <row r="5028" spans="9:10" x14ac:dyDescent="0.3">
      <c r="I5028"/>
      <c r="J5028"/>
    </row>
    <row r="5029" spans="9:10" x14ac:dyDescent="0.3">
      <c r="I5029"/>
      <c r="J5029"/>
    </row>
    <row r="5030" spans="9:10" x14ac:dyDescent="0.3">
      <c r="I5030"/>
      <c r="J5030"/>
    </row>
    <row r="5031" spans="9:10" x14ac:dyDescent="0.3">
      <c r="I5031"/>
      <c r="J5031"/>
    </row>
    <row r="5032" spans="9:10" x14ac:dyDescent="0.3">
      <c r="I5032"/>
      <c r="J5032"/>
    </row>
    <row r="5033" spans="9:10" x14ac:dyDescent="0.3">
      <c r="I5033"/>
      <c r="J5033"/>
    </row>
    <row r="5034" spans="9:10" x14ac:dyDescent="0.3">
      <c r="I5034"/>
      <c r="J5034"/>
    </row>
    <row r="5035" spans="9:10" x14ac:dyDescent="0.3">
      <c r="I5035"/>
      <c r="J5035"/>
    </row>
    <row r="5036" spans="9:10" x14ac:dyDescent="0.3">
      <c r="I5036"/>
      <c r="J5036"/>
    </row>
    <row r="5037" spans="9:10" x14ac:dyDescent="0.3">
      <c r="I5037"/>
      <c r="J5037"/>
    </row>
    <row r="5038" spans="9:10" x14ac:dyDescent="0.3">
      <c r="I5038"/>
      <c r="J5038"/>
    </row>
    <row r="5039" spans="9:10" x14ac:dyDescent="0.3">
      <c r="I5039"/>
      <c r="J5039"/>
    </row>
    <row r="5040" spans="9:10" x14ac:dyDescent="0.3">
      <c r="I5040"/>
      <c r="J5040"/>
    </row>
    <row r="5041" spans="9:10" x14ac:dyDescent="0.3">
      <c r="I5041"/>
      <c r="J5041"/>
    </row>
    <row r="5042" spans="9:10" x14ac:dyDescent="0.3">
      <c r="I5042"/>
      <c r="J5042"/>
    </row>
    <row r="5043" spans="9:10" x14ac:dyDescent="0.3">
      <c r="I5043"/>
      <c r="J5043"/>
    </row>
    <row r="5044" spans="9:10" x14ac:dyDescent="0.3">
      <c r="I5044"/>
      <c r="J5044"/>
    </row>
    <row r="5045" spans="9:10" x14ac:dyDescent="0.3">
      <c r="I5045"/>
      <c r="J5045"/>
    </row>
    <row r="5046" spans="9:10" x14ac:dyDescent="0.3">
      <c r="I5046"/>
      <c r="J5046"/>
    </row>
    <row r="5047" spans="9:10" x14ac:dyDescent="0.3">
      <c r="I5047"/>
      <c r="J5047"/>
    </row>
    <row r="5048" spans="9:10" x14ac:dyDescent="0.3">
      <c r="I5048"/>
      <c r="J5048"/>
    </row>
    <row r="5049" spans="9:10" x14ac:dyDescent="0.3">
      <c r="I5049"/>
      <c r="J5049"/>
    </row>
    <row r="5050" spans="9:10" x14ac:dyDescent="0.3">
      <c r="I5050"/>
      <c r="J5050"/>
    </row>
    <row r="5051" spans="9:10" x14ac:dyDescent="0.3">
      <c r="I5051"/>
      <c r="J5051"/>
    </row>
    <row r="5052" spans="9:10" x14ac:dyDescent="0.3">
      <c r="I5052"/>
      <c r="J5052"/>
    </row>
    <row r="5053" spans="9:10" x14ac:dyDescent="0.3">
      <c r="I5053"/>
      <c r="J5053"/>
    </row>
    <row r="5054" spans="9:10" x14ac:dyDescent="0.3">
      <c r="I5054"/>
      <c r="J5054"/>
    </row>
    <row r="5055" spans="9:10" x14ac:dyDescent="0.3">
      <c r="I5055"/>
      <c r="J5055"/>
    </row>
    <row r="5056" spans="9:10" x14ac:dyDescent="0.3">
      <c r="I5056"/>
      <c r="J5056"/>
    </row>
    <row r="5057" spans="9:10" x14ac:dyDescent="0.3">
      <c r="I5057"/>
      <c r="J5057"/>
    </row>
    <row r="5058" spans="9:10" x14ac:dyDescent="0.3">
      <c r="I5058"/>
      <c r="J5058"/>
    </row>
    <row r="5059" spans="9:10" x14ac:dyDescent="0.3">
      <c r="I5059"/>
      <c r="J5059"/>
    </row>
    <row r="5060" spans="9:10" x14ac:dyDescent="0.3">
      <c r="I5060"/>
      <c r="J5060"/>
    </row>
    <row r="5061" spans="9:10" x14ac:dyDescent="0.3">
      <c r="I5061"/>
      <c r="J5061"/>
    </row>
    <row r="5062" spans="9:10" x14ac:dyDescent="0.3">
      <c r="I5062"/>
      <c r="J5062"/>
    </row>
    <row r="5063" spans="9:10" x14ac:dyDescent="0.3">
      <c r="I5063"/>
      <c r="J5063"/>
    </row>
    <row r="5064" spans="9:10" x14ac:dyDescent="0.3">
      <c r="I5064"/>
      <c r="J5064"/>
    </row>
    <row r="5065" spans="9:10" x14ac:dyDescent="0.3">
      <c r="I5065"/>
      <c r="J5065"/>
    </row>
    <row r="5066" spans="9:10" x14ac:dyDescent="0.3">
      <c r="I5066"/>
      <c r="J5066"/>
    </row>
    <row r="5067" spans="9:10" x14ac:dyDescent="0.3">
      <c r="I5067"/>
      <c r="J5067"/>
    </row>
    <row r="5068" spans="9:10" x14ac:dyDescent="0.3">
      <c r="I5068"/>
      <c r="J5068"/>
    </row>
    <row r="5069" spans="9:10" x14ac:dyDescent="0.3">
      <c r="I5069"/>
      <c r="J5069"/>
    </row>
    <row r="5070" spans="9:10" x14ac:dyDescent="0.3">
      <c r="I5070"/>
      <c r="J5070"/>
    </row>
    <row r="5071" spans="9:10" x14ac:dyDescent="0.3">
      <c r="I5071"/>
      <c r="J5071"/>
    </row>
    <row r="5072" spans="9:10" x14ac:dyDescent="0.3">
      <c r="I5072"/>
      <c r="J5072"/>
    </row>
    <row r="5073" spans="9:10" x14ac:dyDescent="0.3">
      <c r="I5073"/>
      <c r="J5073"/>
    </row>
    <row r="5074" spans="9:10" x14ac:dyDescent="0.3">
      <c r="I5074"/>
      <c r="J5074"/>
    </row>
    <row r="5075" spans="9:10" x14ac:dyDescent="0.3">
      <c r="I5075"/>
      <c r="J5075"/>
    </row>
    <row r="5076" spans="9:10" x14ac:dyDescent="0.3">
      <c r="I5076"/>
      <c r="J5076"/>
    </row>
    <row r="5077" spans="9:10" x14ac:dyDescent="0.3">
      <c r="I5077"/>
      <c r="J5077"/>
    </row>
    <row r="5078" spans="9:10" x14ac:dyDescent="0.3">
      <c r="I5078"/>
      <c r="J5078"/>
    </row>
    <row r="5079" spans="9:10" x14ac:dyDescent="0.3">
      <c r="I5079"/>
      <c r="J5079"/>
    </row>
    <row r="5080" spans="9:10" x14ac:dyDescent="0.3">
      <c r="I5080"/>
      <c r="J5080"/>
    </row>
    <row r="5081" spans="9:10" x14ac:dyDescent="0.3">
      <c r="I5081"/>
      <c r="J5081"/>
    </row>
    <row r="5082" spans="9:10" x14ac:dyDescent="0.3">
      <c r="I5082"/>
      <c r="J5082"/>
    </row>
    <row r="5083" spans="9:10" x14ac:dyDescent="0.3">
      <c r="I5083"/>
      <c r="J5083"/>
    </row>
    <row r="5084" spans="9:10" x14ac:dyDescent="0.3">
      <c r="I5084"/>
      <c r="J5084"/>
    </row>
    <row r="5085" spans="9:10" x14ac:dyDescent="0.3">
      <c r="I5085"/>
      <c r="J5085"/>
    </row>
    <row r="5086" spans="9:10" x14ac:dyDescent="0.3">
      <c r="I5086"/>
      <c r="J5086"/>
    </row>
    <row r="5087" spans="9:10" x14ac:dyDescent="0.3">
      <c r="I5087"/>
      <c r="J5087"/>
    </row>
    <row r="5088" spans="9:10" x14ac:dyDescent="0.3">
      <c r="I5088"/>
      <c r="J5088"/>
    </row>
    <row r="5089" spans="9:10" x14ac:dyDescent="0.3">
      <c r="I5089"/>
      <c r="J5089"/>
    </row>
    <row r="5090" spans="9:10" x14ac:dyDescent="0.3">
      <c r="I5090"/>
      <c r="J5090"/>
    </row>
    <row r="5091" spans="9:10" x14ac:dyDescent="0.3">
      <c r="I5091"/>
      <c r="J5091"/>
    </row>
    <row r="5092" spans="9:10" x14ac:dyDescent="0.3">
      <c r="I5092"/>
      <c r="J5092"/>
    </row>
    <row r="5093" spans="9:10" x14ac:dyDescent="0.3">
      <c r="I5093"/>
      <c r="J5093"/>
    </row>
    <row r="5094" spans="9:10" x14ac:dyDescent="0.3">
      <c r="I5094"/>
      <c r="J5094"/>
    </row>
    <row r="5095" spans="9:10" x14ac:dyDescent="0.3">
      <c r="I5095"/>
      <c r="J5095"/>
    </row>
    <row r="5096" spans="9:10" x14ac:dyDescent="0.3">
      <c r="I5096"/>
      <c r="J5096"/>
    </row>
    <row r="5097" spans="9:10" x14ac:dyDescent="0.3">
      <c r="I5097"/>
      <c r="J5097"/>
    </row>
    <row r="5098" spans="9:10" x14ac:dyDescent="0.3">
      <c r="I5098"/>
      <c r="J5098"/>
    </row>
    <row r="5099" spans="9:10" x14ac:dyDescent="0.3">
      <c r="I5099"/>
      <c r="J5099"/>
    </row>
    <row r="5100" spans="9:10" x14ac:dyDescent="0.3">
      <c r="I5100"/>
      <c r="J5100"/>
    </row>
    <row r="5101" spans="9:10" x14ac:dyDescent="0.3">
      <c r="I5101"/>
      <c r="J5101"/>
    </row>
    <row r="5102" spans="9:10" x14ac:dyDescent="0.3">
      <c r="I5102"/>
      <c r="J5102"/>
    </row>
    <row r="5103" spans="9:10" x14ac:dyDescent="0.3">
      <c r="I5103"/>
      <c r="J5103"/>
    </row>
    <row r="5104" spans="9:10" x14ac:dyDescent="0.3">
      <c r="I5104"/>
      <c r="J5104"/>
    </row>
    <row r="5105" spans="9:10" x14ac:dyDescent="0.3">
      <c r="I5105"/>
      <c r="J5105"/>
    </row>
    <row r="5106" spans="9:10" x14ac:dyDescent="0.3">
      <c r="I5106"/>
      <c r="J5106"/>
    </row>
    <row r="5107" spans="9:10" x14ac:dyDescent="0.3">
      <c r="I5107"/>
      <c r="J5107"/>
    </row>
    <row r="5108" spans="9:10" x14ac:dyDescent="0.3">
      <c r="I5108"/>
      <c r="J5108"/>
    </row>
    <row r="5109" spans="9:10" x14ac:dyDescent="0.3">
      <c r="I5109"/>
      <c r="J5109"/>
    </row>
    <row r="5110" spans="9:10" x14ac:dyDescent="0.3">
      <c r="I5110"/>
      <c r="J5110"/>
    </row>
    <row r="5111" spans="9:10" x14ac:dyDescent="0.3">
      <c r="I5111"/>
      <c r="J5111"/>
    </row>
    <row r="5112" spans="9:10" x14ac:dyDescent="0.3">
      <c r="I5112"/>
      <c r="J5112"/>
    </row>
    <row r="5113" spans="9:10" x14ac:dyDescent="0.3">
      <c r="I5113"/>
      <c r="J5113"/>
    </row>
    <row r="5114" spans="9:10" x14ac:dyDescent="0.3">
      <c r="I5114"/>
      <c r="J5114"/>
    </row>
    <row r="5115" spans="9:10" x14ac:dyDescent="0.3">
      <c r="I5115"/>
      <c r="J5115"/>
    </row>
    <row r="5116" spans="9:10" x14ac:dyDescent="0.3">
      <c r="I5116"/>
      <c r="J5116"/>
    </row>
    <row r="5117" spans="9:10" x14ac:dyDescent="0.3">
      <c r="I5117"/>
      <c r="J5117"/>
    </row>
    <row r="5118" spans="9:10" x14ac:dyDescent="0.3">
      <c r="I5118"/>
      <c r="J5118"/>
    </row>
    <row r="5119" spans="9:10" x14ac:dyDescent="0.3">
      <c r="I5119"/>
      <c r="J5119"/>
    </row>
    <row r="5120" spans="9:10" x14ac:dyDescent="0.3">
      <c r="I5120"/>
      <c r="J5120"/>
    </row>
    <row r="5121" spans="9:10" x14ac:dyDescent="0.3">
      <c r="I5121"/>
      <c r="J5121"/>
    </row>
    <row r="5122" spans="9:10" x14ac:dyDescent="0.3">
      <c r="I5122"/>
      <c r="J5122"/>
    </row>
    <row r="5123" spans="9:10" x14ac:dyDescent="0.3">
      <c r="I5123"/>
      <c r="J5123"/>
    </row>
    <row r="5124" spans="9:10" x14ac:dyDescent="0.3">
      <c r="I5124"/>
      <c r="J5124"/>
    </row>
    <row r="5125" spans="9:10" x14ac:dyDescent="0.3">
      <c r="I5125"/>
      <c r="J5125"/>
    </row>
    <row r="5126" spans="9:10" x14ac:dyDescent="0.3">
      <c r="I5126"/>
      <c r="J5126"/>
    </row>
    <row r="5127" spans="9:10" x14ac:dyDescent="0.3">
      <c r="I5127"/>
      <c r="J5127"/>
    </row>
    <row r="5128" spans="9:10" x14ac:dyDescent="0.3">
      <c r="I5128"/>
      <c r="J5128"/>
    </row>
    <row r="5129" spans="9:10" x14ac:dyDescent="0.3">
      <c r="I5129"/>
      <c r="J5129"/>
    </row>
    <row r="5130" spans="9:10" x14ac:dyDescent="0.3">
      <c r="I5130"/>
      <c r="J5130"/>
    </row>
    <row r="5131" spans="9:10" x14ac:dyDescent="0.3">
      <c r="I5131"/>
      <c r="J5131"/>
    </row>
    <row r="5132" spans="9:10" x14ac:dyDescent="0.3">
      <c r="I5132"/>
      <c r="J5132"/>
    </row>
    <row r="5133" spans="9:10" x14ac:dyDescent="0.3">
      <c r="I5133"/>
      <c r="J5133"/>
    </row>
    <row r="5134" spans="9:10" x14ac:dyDescent="0.3">
      <c r="I5134"/>
      <c r="J5134"/>
    </row>
    <row r="5135" spans="9:10" x14ac:dyDescent="0.3">
      <c r="I5135"/>
      <c r="J5135"/>
    </row>
    <row r="5136" spans="9:10" x14ac:dyDescent="0.3">
      <c r="I5136"/>
      <c r="J5136"/>
    </row>
    <row r="5137" spans="9:10" x14ac:dyDescent="0.3">
      <c r="I5137"/>
      <c r="J5137"/>
    </row>
    <row r="5138" spans="9:10" x14ac:dyDescent="0.3">
      <c r="I5138"/>
      <c r="J5138"/>
    </row>
    <row r="5139" spans="9:10" x14ac:dyDescent="0.3">
      <c r="I5139"/>
      <c r="J5139"/>
    </row>
    <row r="5140" spans="9:10" x14ac:dyDescent="0.3">
      <c r="I5140"/>
      <c r="J5140"/>
    </row>
    <row r="5141" spans="9:10" x14ac:dyDescent="0.3">
      <c r="I5141"/>
      <c r="J5141"/>
    </row>
    <row r="5142" spans="9:10" x14ac:dyDescent="0.3">
      <c r="I5142"/>
      <c r="J5142"/>
    </row>
    <row r="5143" spans="9:10" x14ac:dyDescent="0.3">
      <c r="I5143"/>
      <c r="J5143"/>
    </row>
    <row r="5144" spans="9:10" x14ac:dyDescent="0.3">
      <c r="I5144"/>
      <c r="J5144"/>
    </row>
    <row r="5145" spans="9:10" x14ac:dyDescent="0.3">
      <c r="I5145"/>
      <c r="J5145"/>
    </row>
    <row r="5146" spans="9:10" x14ac:dyDescent="0.3">
      <c r="I5146"/>
      <c r="J5146"/>
    </row>
    <row r="5147" spans="9:10" x14ac:dyDescent="0.3">
      <c r="I5147"/>
      <c r="J5147"/>
    </row>
    <row r="5148" spans="9:10" x14ac:dyDescent="0.3">
      <c r="I5148"/>
      <c r="J5148"/>
    </row>
    <row r="5149" spans="9:10" x14ac:dyDescent="0.3">
      <c r="I5149"/>
      <c r="J5149"/>
    </row>
    <row r="5150" spans="9:10" x14ac:dyDescent="0.3">
      <c r="I5150"/>
      <c r="J5150"/>
    </row>
    <row r="5151" spans="9:10" x14ac:dyDescent="0.3">
      <c r="I5151"/>
      <c r="J5151"/>
    </row>
    <row r="5152" spans="9:10" x14ac:dyDescent="0.3">
      <c r="I5152"/>
      <c r="J5152"/>
    </row>
    <row r="5153" spans="9:10" x14ac:dyDescent="0.3">
      <c r="I5153"/>
      <c r="J5153"/>
    </row>
    <row r="5154" spans="9:10" x14ac:dyDescent="0.3">
      <c r="I5154"/>
      <c r="J5154"/>
    </row>
    <row r="5155" spans="9:10" x14ac:dyDescent="0.3">
      <c r="I5155"/>
      <c r="J5155"/>
    </row>
    <row r="5156" spans="9:10" x14ac:dyDescent="0.3">
      <c r="I5156"/>
      <c r="J5156"/>
    </row>
    <row r="5157" spans="9:10" x14ac:dyDescent="0.3">
      <c r="I5157"/>
      <c r="J5157"/>
    </row>
    <row r="5158" spans="9:10" x14ac:dyDescent="0.3">
      <c r="I5158"/>
      <c r="J5158"/>
    </row>
    <row r="5159" spans="9:10" x14ac:dyDescent="0.3">
      <c r="I5159"/>
      <c r="J5159"/>
    </row>
    <row r="5160" spans="9:10" x14ac:dyDescent="0.3">
      <c r="I5160"/>
      <c r="J5160"/>
    </row>
    <row r="5161" spans="9:10" x14ac:dyDescent="0.3">
      <c r="I5161"/>
      <c r="J5161"/>
    </row>
    <row r="5162" spans="9:10" x14ac:dyDescent="0.3">
      <c r="I5162"/>
      <c r="J5162"/>
    </row>
    <row r="5163" spans="9:10" x14ac:dyDescent="0.3">
      <c r="I5163"/>
      <c r="J5163"/>
    </row>
    <row r="5164" spans="9:10" x14ac:dyDescent="0.3">
      <c r="I5164"/>
      <c r="J5164"/>
    </row>
    <row r="5165" spans="9:10" x14ac:dyDescent="0.3">
      <c r="I5165"/>
      <c r="J5165"/>
    </row>
    <row r="5166" spans="9:10" x14ac:dyDescent="0.3">
      <c r="I5166"/>
      <c r="J5166"/>
    </row>
    <row r="5167" spans="9:10" x14ac:dyDescent="0.3">
      <c r="I5167"/>
      <c r="J5167"/>
    </row>
    <row r="5168" spans="9:10" x14ac:dyDescent="0.3">
      <c r="I5168"/>
      <c r="J5168"/>
    </row>
    <row r="5169" spans="9:10" x14ac:dyDescent="0.3">
      <c r="I5169"/>
      <c r="J5169"/>
    </row>
    <row r="5170" spans="9:10" x14ac:dyDescent="0.3">
      <c r="I5170"/>
      <c r="J5170"/>
    </row>
    <row r="5171" spans="9:10" x14ac:dyDescent="0.3">
      <c r="I5171"/>
      <c r="J5171"/>
    </row>
    <row r="5172" spans="9:10" x14ac:dyDescent="0.3">
      <c r="I5172"/>
      <c r="J5172"/>
    </row>
    <row r="5173" spans="9:10" x14ac:dyDescent="0.3">
      <c r="I5173"/>
      <c r="J5173"/>
    </row>
    <row r="5174" spans="9:10" x14ac:dyDescent="0.3">
      <c r="I5174"/>
      <c r="J5174"/>
    </row>
    <row r="5175" spans="9:10" x14ac:dyDescent="0.3">
      <c r="I5175"/>
      <c r="J5175"/>
    </row>
    <row r="5176" spans="9:10" x14ac:dyDescent="0.3">
      <c r="I5176"/>
      <c r="J5176"/>
    </row>
    <row r="5177" spans="9:10" x14ac:dyDescent="0.3">
      <c r="I5177"/>
      <c r="J5177"/>
    </row>
    <row r="5178" spans="9:10" x14ac:dyDescent="0.3">
      <c r="I5178"/>
      <c r="J5178"/>
    </row>
    <row r="5179" spans="9:10" x14ac:dyDescent="0.3">
      <c r="I5179"/>
      <c r="J5179"/>
    </row>
    <row r="5180" spans="9:10" x14ac:dyDescent="0.3">
      <c r="I5180"/>
      <c r="J5180"/>
    </row>
    <row r="5181" spans="9:10" x14ac:dyDescent="0.3">
      <c r="I5181"/>
      <c r="J5181"/>
    </row>
    <row r="5182" spans="9:10" x14ac:dyDescent="0.3">
      <c r="I5182"/>
      <c r="J5182"/>
    </row>
    <row r="5183" spans="9:10" x14ac:dyDescent="0.3">
      <c r="I5183"/>
      <c r="J5183"/>
    </row>
    <row r="5184" spans="9:10" x14ac:dyDescent="0.3">
      <c r="I5184"/>
      <c r="J5184"/>
    </row>
    <row r="5185" spans="9:10" x14ac:dyDescent="0.3">
      <c r="I5185"/>
      <c r="J5185"/>
    </row>
    <row r="5186" spans="9:10" x14ac:dyDescent="0.3">
      <c r="I5186"/>
      <c r="J5186"/>
    </row>
    <row r="5187" spans="9:10" x14ac:dyDescent="0.3">
      <c r="I5187"/>
      <c r="J5187"/>
    </row>
    <row r="5188" spans="9:10" x14ac:dyDescent="0.3">
      <c r="I5188"/>
      <c r="J5188"/>
    </row>
    <row r="5189" spans="9:10" x14ac:dyDescent="0.3">
      <c r="I5189"/>
      <c r="J5189"/>
    </row>
    <row r="5190" spans="9:10" x14ac:dyDescent="0.3">
      <c r="I5190"/>
      <c r="J5190"/>
    </row>
    <row r="5191" spans="9:10" x14ac:dyDescent="0.3">
      <c r="I5191"/>
      <c r="J5191"/>
    </row>
    <row r="5192" spans="9:10" x14ac:dyDescent="0.3">
      <c r="I5192"/>
      <c r="J5192"/>
    </row>
    <row r="5193" spans="9:10" x14ac:dyDescent="0.3">
      <c r="I5193"/>
      <c r="J5193"/>
    </row>
    <row r="5194" spans="9:10" x14ac:dyDescent="0.3">
      <c r="I5194"/>
      <c r="J5194"/>
    </row>
    <row r="5195" spans="9:10" x14ac:dyDescent="0.3">
      <c r="I5195"/>
      <c r="J5195"/>
    </row>
    <row r="5196" spans="9:10" x14ac:dyDescent="0.3">
      <c r="I5196"/>
      <c r="J5196"/>
    </row>
    <row r="5197" spans="9:10" x14ac:dyDescent="0.3">
      <c r="I5197"/>
      <c r="J5197"/>
    </row>
    <row r="5198" spans="9:10" x14ac:dyDescent="0.3">
      <c r="I5198"/>
      <c r="J5198"/>
    </row>
    <row r="5199" spans="9:10" x14ac:dyDescent="0.3">
      <c r="I5199"/>
      <c r="J5199"/>
    </row>
    <row r="5200" spans="9:10" x14ac:dyDescent="0.3">
      <c r="I5200"/>
      <c r="J5200"/>
    </row>
    <row r="5201" spans="9:10" x14ac:dyDescent="0.3">
      <c r="I5201"/>
      <c r="J5201"/>
    </row>
    <row r="5202" spans="9:10" x14ac:dyDescent="0.3">
      <c r="I5202"/>
      <c r="J5202"/>
    </row>
    <row r="5203" spans="9:10" x14ac:dyDescent="0.3">
      <c r="I5203"/>
      <c r="J5203"/>
    </row>
    <row r="5204" spans="9:10" x14ac:dyDescent="0.3">
      <c r="I5204"/>
      <c r="J5204"/>
    </row>
    <row r="5205" spans="9:10" x14ac:dyDescent="0.3">
      <c r="I5205"/>
      <c r="J5205"/>
    </row>
    <row r="5206" spans="9:10" x14ac:dyDescent="0.3">
      <c r="I5206"/>
      <c r="J5206"/>
    </row>
    <row r="5207" spans="9:10" x14ac:dyDescent="0.3">
      <c r="I5207"/>
      <c r="J5207"/>
    </row>
    <row r="5208" spans="9:10" x14ac:dyDescent="0.3">
      <c r="I5208"/>
      <c r="J5208"/>
    </row>
    <row r="5209" spans="9:10" x14ac:dyDescent="0.3">
      <c r="I5209"/>
      <c r="J5209"/>
    </row>
    <row r="5210" spans="9:10" x14ac:dyDescent="0.3">
      <c r="I5210"/>
      <c r="J5210"/>
    </row>
    <row r="5211" spans="9:10" x14ac:dyDescent="0.3">
      <c r="I5211"/>
      <c r="J5211"/>
    </row>
    <row r="5212" spans="9:10" x14ac:dyDescent="0.3">
      <c r="I5212"/>
      <c r="J5212"/>
    </row>
    <row r="5213" spans="9:10" x14ac:dyDescent="0.3">
      <c r="I5213"/>
      <c r="J5213"/>
    </row>
    <row r="5214" spans="9:10" x14ac:dyDescent="0.3">
      <c r="I5214"/>
      <c r="J5214"/>
    </row>
    <row r="5215" spans="9:10" x14ac:dyDescent="0.3">
      <c r="I5215"/>
      <c r="J5215"/>
    </row>
    <row r="5216" spans="9:10" x14ac:dyDescent="0.3">
      <c r="I5216"/>
      <c r="J5216"/>
    </row>
    <row r="5217" spans="9:10" x14ac:dyDescent="0.3">
      <c r="I5217"/>
      <c r="J5217"/>
    </row>
    <row r="5218" spans="9:10" x14ac:dyDescent="0.3">
      <c r="I5218"/>
      <c r="J5218"/>
    </row>
    <row r="5219" spans="9:10" x14ac:dyDescent="0.3">
      <c r="I5219"/>
      <c r="J5219"/>
    </row>
    <row r="5220" spans="9:10" x14ac:dyDescent="0.3">
      <c r="I5220"/>
      <c r="J5220"/>
    </row>
    <row r="5221" spans="9:10" x14ac:dyDescent="0.3">
      <c r="I5221"/>
      <c r="J5221"/>
    </row>
    <row r="5222" spans="9:10" x14ac:dyDescent="0.3">
      <c r="I5222"/>
      <c r="J5222"/>
    </row>
    <row r="5223" spans="9:10" x14ac:dyDescent="0.3">
      <c r="I5223"/>
      <c r="J5223"/>
    </row>
    <row r="5224" spans="9:10" x14ac:dyDescent="0.3">
      <c r="I5224"/>
      <c r="J5224"/>
    </row>
    <row r="5225" spans="9:10" x14ac:dyDescent="0.3">
      <c r="I5225"/>
      <c r="J5225"/>
    </row>
    <row r="5226" spans="9:10" x14ac:dyDescent="0.3">
      <c r="I5226"/>
      <c r="J5226"/>
    </row>
    <row r="5227" spans="9:10" x14ac:dyDescent="0.3">
      <c r="I5227"/>
      <c r="J5227"/>
    </row>
    <row r="5228" spans="9:10" x14ac:dyDescent="0.3">
      <c r="I5228"/>
      <c r="J5228"/>
    </row>
    <row r="5229" spans="9:10" x14ac:dyDescent="0.3">
      <c r="I5229"/>
      <c r="J5229"/>
    </row>
    <row r="5230" spans="9:10" x14ac:dyDescent="0.3">
      <c r="I5230"/>
      <c r="J5230"/>
    </row>
    <row r="5231" spans="9:10" x14ac:dyDescent="0.3">
      <c r="I5231"/>
      <c r="J5231"/>
    </row>
    <row r="5232" spans="9:10" x14ac:dyDescent="0.3">
      <c r="I5232"/>
      <c r="J5232"/>
    </row>
    <row r="5233" spans="9:10" x14ac:dyDescent="0.3">
      <c r="I5233"/>
      <c r="J5233"/>
    </row>
    <row r="5234" spans="9:10" x14ac:dyDescent="0.3">
      <c r="I5234"/>
      <c r="J5234"/>
    </row>
    <row r="5235" spans="9:10" x14ac:dyDescent="0.3">
      <c r="I5235"/>
      <c r="J5235"/>
    </row>
    <row r="5236" spans="9:10" x14ac:dyDescent="0.3">
      <c r="I5236"/>
      <c r="J5236"/>
    </row>
    <row r="5237" spans="9:10" x14ac:dyDescent="0.3">
      <c r="I5237"/>
      <c r="J5237"/>
    </row>
    <row r="5238" spans="9:10" x14ac:dyDescent="0.3">
      <c r="I5238"/>
      <c r="J5238"/>
    </row>
    <row r="5239" spans="9:10" x14ac:dyDescent="0.3">
      <c r="I5239"/>
      <c r="J5239"/>
    </row>
    <row r="5240" spans="9:10" x14ac:dyDescent="0.3">
      <c r="I5240"/>
      <c r="J5240"/>
    </row>
    <row r="5241" spans="9:10" x14ac:dyDescent="0.3">
      <c r="I5241"/>
      <c r="J5241"/>
    </row>
    <row r="5242" spans="9:10" x14ac:dyDescent="0.3">
      <c r="I5242"/>
      <c r="J5242"/>
    </row>
    <row r="5243" spans="9:10" x14ac:dyDescent="0.3">
      <c r="I5243"/>
      <c r="J5243"/>
    </row>
    <row r="5244" spans="9:10" x14ac:dyDescent="0.3">
      <c r="I5244"/>
      <c r="J5244"/>
    </row>
    <row r="5245" spans="9:10" x14ac:dyDescent="0.3">
      <c r="I5245"/>
      <c r="J5245"/>
    </row>
    <row r="5246" spans="9:10" x14ac:dyDescent="0.3">
      <c r="I5246"/>
      <c r="J5246"/>
    </row>
    <row r="5247" spans="9:10" x14ac:dyDescent="0.3">
      <c r="I5247"/>
      <c r="J5247"/>
    </row>
    <row r="5248" spans="9:10" x14ac:dyDescent="0.3">
      <c r="I5248"/>
      <c r="J5248"/>
    </row>
    <row r="5249" spans="9:10" x14ac:dyDescent="0.3">
      <c r="I5249"/>
      <c r="J5249"/>
    </row>
    <row r="5250" spans="9:10" x14ac:dyDescent="0.3">
      <c r="I5250"/>
      <c r="J5250"/>
    </row>
    <row r="5251" spans="9:10" x14ac:dyDescent="0.3">
      <c r="I5251"/>
      <c r="J5251"/>
    </row>
    <row r="5252" spans="9:10" x14ac:dyDescent="0.3">
      <c r="I5252"/>
      <c r="J5252"/>
    </row>
    <row r="5253" spans="9:10" x14ac:dyDescent="0.3">
      <c r="I5253"/>
      <c r="J5253"/>
    </row>
    <row r="5254" spans="9:10" x14ac:dyDescent="0.3">
      <c r="I5254"/>
      <c r="J5254"/>
    </row>
    <row r="5255" spans="9:10" x14ac:dyDescent="0.3">
      <c r="I5255"/>
      <c r="J5255"/>
    </row>
    <row r="5256" spans="9:10" x14ac:dyDescent="0.3">
      <c r="I5256"/>
      <c r="J5256"/>
    </row>
    <row r="5257" spans="9:10" x14ac:dyDescent="0.3">
      <c r="I5257"/>
      <c r="J5257"/>
    </row>
    <row r="5258" spans="9:10" x14ac:dyDescent="0.3">
      <c r="I5258"/>
      <c r="J5258"/>
    </row>
    <row r="5259" spans="9:10" x14ac:dyDescent="0.3">
      <c r="I5259"/>
      <c r="J5259"/>
    </row>
    <row r="5260" spans="9:10" x14ac:dyDescent="0.3">
      <c r="I5260"/>
      <c r="J5260"/>
    </row>
    <row r="5261" spans="9:10" x14ac:dyDescent="0.3">
      <c r="I5261"/>
      <c r="J5261"/>
    </row>
    <row r="5262" spans="9:10" x14ac:dyDescent="0.3">
      <c r="I5262"/>
      <c r="J5262"/>
    </row>
    <row r="5263" spans="9:10" x14ac:dyDescent="0.3">
      <c r="I5263"/>
      <c r="J5263"/>
    </row>
    <row r="5264" spans="9:10" x14ac:dyDescent="0.3">
      <c r="I5264"/>
      <c r="J5264"/>
    </row>
    <row r="5265" spans="9:10" x14ac:dyDescent="0.3">
      <c r="I5265"/>
      <c r="J5265"/>
    </row>
    <row r="5266" spans="9:10" x14ac:dyDescent="0.3">
      <c r="I5266"/>
      <c r="J5266"/>
    </row>
    <row r="5267" spans="9:10" x14ac:dyDescent="0.3">
      <c r="I5267"/>
      <c r="J5267"/>
    </row>
    <row r="5268" spans="9:10" x14ac:dyDescent="0.3">
      <c r="I5268"/>
      <c r="J5268"/>
    </row>
    <row r="5269" spans="9:10" x14ac:dyDescent="0.3">
      <c r="I5269"/>
      <c r="J5269"/>
    </row>
    <row r="5270" spans="9:10" x14ac:dyDescent="0.3">
      <c r="I5270"/>
      <c r="J5270"/>
    </row>
    <row r="5271" spans="9:10" x14ac:dyDescent="0.3">
      <c r="I5271"/>
      <c r="J5271"/>
    </row>
    <row r="5272" spans="9:10" x14ac:dyDescent="0.3">
      <c r="I5272"/>
      <c r="J5272"/>
    </row>
    <row r="5273" spans="9:10" x14ac:dyDescent="0.3">
      <c r="I5273"/>
      <c r="J5273"/>
    </row>
    <row r="5274" spans="9:10" x14ac:dyDescent="0.3">
      <c r="I5274"/>
      <c r="J5274"/>
    </row>
    <row r="5275" spans="9:10" x14ac:dyDescent="0.3">
      <c r="I5275"/>
      <c r="J5275"/>
    </row>
    <row r="5276" spans="9:10" x14ac:dyDescent="0.3">
      <c r="I5276"/>
      <c r="J5276"/>
    </row>
    <row r="5277" spans="9:10" x14ac:dyDescent="0.3">
      <c r="I5277"/>
      <c r="J5277"/>
    </row>
    <row r="5278" spans="9:10" x14ac:dyDescent="0.3">
      <c r="I5278"/>
      <c r="J5278"/>
    </row>
    <row r="5279" spans="9:10" x14ac:dyDescent="0.3">
      <c r="I5279"/>
      <c r="J5279"/>
    </row>
    <row r="5280" spans="9:10" x14ac:dyDescent="0.3">
      <c r="I5280"/>
      <c r="J5280"/>
    </row>
    <row r="5281" spans="9:10" x14ac:dyDescent="0.3">
      <c r="I5281"/>
      <c r="J5281"/>
    </row>
    <row r="5282" spans="9:10" x14ac:dyDescent="0.3">
      <c r="I5282"/>
      <c r="J5282"/>
    </row>
    <row r="5283" spans="9:10" x14ac:dyDescent="0.3">
      <c r="I5283"/>
      <c r="J5283"/>
    </row>
    <row r="5284" spans="9:10" x14ac:dyDescent="0.3">
      <c r="I5284"/>
      <c r="J5284"/>
    </row>
    <row r="5285" spans="9:10" x14ac:dyDescent="0.3">
      <c r="I5285"/>
      <c r="J5285"/>
    </row>
    <row r="5286" spans="9:10" x14ac:dyDescent="0.3">
      <c r="I5286"/>
      <c r="J5286"/>
    </row>
    <row r="5287" spans="9:10" x14ac:dyDescent="0.3">
      <c r="I5287"/>
      <c r="J5287"/>
    </row>
    <row r="5288" spans="9:10" x14ac:dyDescent="0.3">
      <c r="I5288"/>
      <c r="J5288"/>
    </row>
    <row r="5289" spans="9:10" x14ac:dyDescent="0.3">
      <c r="I5289"/>
      <c r="J5289"/>
    </row>
    <row r="5290" spans="9:10" x14ac:dyDescent="0.3">
      <c r="I5290"/>
      <c r="J5290"/>
    </row>
    <row r="5291" spans="9:10" x14ac:dyDescent="0.3">
      <c r="I5291"/>
      <c r="J5291"/>
    </row>
    <row r="5292" spans="9:10" x14ac:dyDescent="0.3">
      <c r="I5292"/>
      <c r="J5292"/>
    </row>
    <row r="5293" spans="9:10" x14ac:dyDescent="0.3">
      <c r="I5293"/>
      <c r="J5293"/>
    </row>
    <row r="5294" spans="9:10" x14ac:dyDescent="0.3">
      <c r="I5294"/>
      <c r="J5294"/>
    </row>
    <row r="5295" spans="9:10" x14ac:dyDescent="0.3">
      <c r="I5295"/>
      <c r="J5295"/>
    </row>
    <row r="5296" spans="9:10" x14ac:dyDescent="0.3">
      <c r="I5296"/>
      <c r="J5296"/>
    </row>
    <row r="5297" spans="9:10" x14ac:dyDescent="0.3">
      <c r="I5297"/>
      <c r="J5297"/>
    </row>
    <row r="5298" spans="9:10" x14ac:dyDescent="0.3">
      <c r="I5298"/>
      <c r="J5298"/>
    </row>
    <row r="5299" spans="9:10" x14ac:dyDescent="0.3">
      <c r="I5299"/>
      <c r="J5299"/>
    </row>
    <row r="5300" spans="9:10" x14ac:dyDescent="0.3">
      <c r="I5300"/>
      <c r="J5300"/>
    </row>
    <row r="5301" spans="9:10" x14ac:dyDescent="0.3">
      <c r="I5301"/>
      <c r="J5301"/>
    </row>
    <row r="5302" spans="9:10" x14ac:dyDescent="0.3">
      <c r="I5302"/>
      <c r="J5302"/>
    </row>
    <row r="5303" spans="9:10" x14ac:dyDescent="0.3">
      <c r="I5303"/>
      <c r="J5303"/>
    </row>
    <row r="5304" spans="9:10" x14ac:dyDescent="0.3">
      <c r="I5304"/>
      <c r="J5304"/>
    </row>
    <row r="5305" spans="9:10" x14ac:dyDescent="0.3">
      <c r="I5305"/>
      <c r="J5305"/>
    </row>
    <row r="5306" spans="9:10" x14ac:dyDescent="0.3">
      <c r="I5306"/>
      <c r="J5306"/>
    </row>
    <row r="5307" spans="9:10" x14ac:dyDescent="0.3">
      <c r="I5307"/>
      <c r="J5307"/>
    </row>
    <row r="5308" spans="9:10" x14ac:dyDescent="0.3">
      <c r="I5308"/>
      <c r="J5308"/>
    </row>
    <row r="5309" spans="9:10" x14ac:dyDescent="0.3">
      <c r="I5309"/>
      <c r="J5309"/>
    </row>
    <row r="5310" spans="9:10" x14ac:dyDescent="0.3">
      <c r="I5310"/>
      <c r="J5310"/>
    </row>
    <row r="5311" spans="9:10" x14ac:dyDescent="0.3">
      <c r="I5311"/>
      <c r="J5311"/>
    </row>
    <row r="5312" spans="9:10" x14ac:dyDescent="0.3">
      <c r="I5312"/>
      <c r="J5312"/>
    </row>
    <row r="5313" spans="9:10" x14ac:dyDescent="0.3">
      <c r="I5313"/>
      <c r="J5313"/>
    </row>
    <row r="5314" spans="9:10" x14ac:dyDescent="0.3">
      <c r="I5314"/>
      <c r="J5314"/>
    </row>
    <row r="5315" spans="9:10" x14ac:dyDescent="0.3">
      <c r="I5315"/>
      <c r="J5315"/>
    </row>
    <row r="5316" spans="9:10" x14ac:dyDescent="0.3">
      <c r="I5316"/>
      <c r="J5316"/>
    </row>
    <row r="5317" spans="9:10" x14ac:dyDescent="0.3">
      <c r="I5317"/>
      <c r="J5317"/>
    </row>
    <row r="5318" spans="9:10" x14ac:dyDescent="0.3">
      <c r="I5318"/>
      <c r="J5318"/>
    </row>
    <row r="5319" spans="9:10" x14ac:dyDescent="0.3">
      <c r="I5319"/>
      <c r="J5319"/>
    </row>
    <row r="5320" spans="9:10" x14ac:dyDescent="0.3">
      <c r="I5320"/>
      <c r="J5320"/>
    </row>
    <row r="5321" spans="9:10" x14ac:dyDescent="0.3">
      <c r="I5321"/>
      <c r="J5321"/>
    </row>
    <row r="5322" spans="9:10" x14ac:dyDescent="0.3">
      <c r="I5322"/>
      <c r="J5322"/>
    </row>
    <row r="5323" spans="9:10" x14ac:dyDescent="0.3">
      <c r="I5323"/>
      <c r="J5323"/>
    </row>
    <row r="5324" spans="9:10" x14ac:dyDescent="0.3">
      <c r="I5324"/>
      <c r="J5324"/>
    </row>
    <row r="5325" spans="9:10" x14ac:dyDescent="0.3">
      <c r="I5325"/>
      <c r="J5325"/>
    </row>
    <row r="5326" spans="9:10" x14ac:dyDescent="0.3">
      <c r="I5326"/>
      <c r="J5326"/>
    </row>
    <row r="5327" spans="9:10" x14ac:dyDescent="0.3">
      <c r="I5327"/>
      <c r="J5327"/>
    </row>
    <row r="5328" spans="9:10" x14ac:dyDescent="0.3">
      <c r="I5328"/>
      <c r="J5328"/>
    </row>
    <row r="5329" spans="9:10" x14ac:dyDescent="0.3">
      <c r="I5329"/>
      <c r="J5329"/>
    </row>
    <row r="5330" spans="9:10" x14ac:dyDescent="0.3">
      <c r="I5330"/>
      <c r="J5330"/>
    </row>
    <row r="5331" spans="9:10" x14ac:dyDescent="0.3">
      <c r="I5331"/>
      <c r="J5331"/>
    </row>
    <row r="5332" spans="9:10" x14ac:dyDescent="0.3">
      <c r="I5332"/>
      <c r="J5332"/>
    </row>
    <row r="5333" spans="9:10" x14ac:dyDescent="0.3">
      <c r="I5333"/>
      <c r="J5333"/>
    </row>
    <row r="5334" spans="9:10" x14ac:dyDescent="0.3">
      <c r="I5334"/>
      <c r="J5334"/>
    </row>
    <row r="5335" spans="9:10" x14ac:dyDescent="0.3">
      <c r="I5335"/>
      <c r="J5335"/>
    </row>
    <row r="5336" spans="9:10" x14ac:dyDescent="0.3">
      <c r="I5336"/>
      <c r="J5336"/>
    </row>
    <row r="5337" spans="9:10" x14ac:dyDescent="0.3">
      <c r="I5337"/>
      <c r="J5337"/>
    </row>
    <row r="5338" spans="9:10" x14ac:dyDescent="0.3">
      <c r="I5338"/>
      <c r="J5338"/>
    </row>
    <row r="5339" spans="9:10" x14ac:dyDescent="0.3">
      <c r="I5339"/>
      <c r="J5339"/>
    </row>
    <row r="5340" spans="9:10" x14ac:dyDescent="0.3">
      <c r="I5340"/>
      <c r="J5340"/>
    </row>
    <row r="5341" spans="9:10" x14ac:dyDescent="0.3">
      <c r="I5341"/>
      <c r="J5341"/>
    </row>
    <row r="5342" spans="9:10" x14ac:dyDescent="0.3">
      <c r="I5342"/>
      <c r="J5342"/>
    </row>
    <row r="5343" spans="9:10" x14ac:dyDescent="0.3">
      <c r="I5343"/>
      <c r="J5343"/>
    </row>
    <row r="5344" spans="9:10" x14ac:dyDescent="0.3">
      <c r="I5344"/>
      <c r="J5344"/>
    </row>
    <row r="5345" spans="9:10" x14ac:dyDescent="0.3">
      <c r="I5345"/>
      <c r="J5345"/>
    </row>
    <row r="5346" spans="9:10" x14ac:dyDescent="0.3">
      <c r="I5346"/>
      <c r="J5346"/>
    </row>
    <row r="5347" spans="9:10" x14ac:dyDescent="0.3">
      <c r="I5347"/>
      <c r="J5347"/>
    </row>
    <row r="5348" spans="9:10" x14ac:dyDescent="0.3">
      <c r="I5348"/>
      <c r="J5348"/>
    </row>
    <row r="5349" spans="9:10" x14ac:dyDescent="0.3">
      <c r="I5349"/>
      <c r="J5349"/>
    </row>
    <row r="5350" spans="9:10" x14ac:dyDescent="0.3">
      <c r="I5350"/>
      <c r="J5350"/>
    </row>
    <row r="5351" spans="9:10" x14ac:dyDescent="0.3">
      <c r="I5351"/>
      <c r="J5351"/>
    </row>
    <row r="5352" spans="9:10" x14ac:dyDescent="0.3">
      <c r="I5352"/>
      <c r="J5352"/>
    </row>
    <row r="5353" spans="9:10" x14ac:dyDescent="0.3">
      <c r="I5353"/>
      <c r="J5353"/>
    </row>
    <row r="5354" spans="9:10" x14ac:dyDescent="0.3">
      <c r="I5354"/>
      <c r="J5354"/>
    </row>
    <row r="5355" spans="9:10" x14ac:dyDescent="0.3">
      <c r="I5355"/>
      <c r="J5355"/>
    </row>
    <row r="5356" spans="9:10" x14ac:dyDescent="0.3">
      <c r="I5356"/>
      <c r="J5356"/>
    </row>
    <row r="5357" spans="9:10" x14ac:dyDescent="0.3">
      <c r="I5357"/>
      <c r="J5357"/>
    </row>
    <row r="5358" spans="9:10" x14ac:dyDescent="0.3">
      <c r="I5358"/>
      <c r="J5358"/>
    </row>
    <row r="5359" spans="9:10" x14ac:dyDescent="0.3">
      <c r="I5359"/>
      <c r="J5359"/>
    </row>
    <row r="5360" spans="9:10" x14ac:dyDescent="0.3">
      <c r="I5360"/>
      <c r="J5360"/>
    </row>
    <row r="5361" spans="9:10" x14ac:dyDescent="0.3">
      <c r="I5361"/>
      <c r="J5361"/>
    </row>
    <row r="5362" spans="9:10" x14ac:dyDescent="0.3">
      <c r="I5362"/>
      <c r="J5362"/>
    </row>
    <row r="5363" spans="9:10" x14ac:dyDescent="0.3">
      <c r="I5363"/>
      <c r="J5363"/>
    </row>
    <row r="5364" spans="9:10" x14ac:dyDescent="0.3">
      <c r="I5364"/>
      <c r="J5364"/>
    </row>
    <row r="5365" spans="9:10" x14ac:dyDescent="0.3">
      <c r="I5365"/>
      <c r="J5365"/>
    </row>
    <row r="5366" spans="9:10" x14ac:dyDescent="0.3">
      <c r="I5366"/>
      <c r="J5366"/>
    </row>
    <row r="5367" spans="9:10" x14ac:dyDescent="0.3">
      <c r="I5367"/>
      <c r="J5367"/>
    </row>
    <row r="5368" spans="9:10" x14ac:dyDescent="0.3">
      <c r="I5368"/>
      <c r="J5368"/>
    </row>
    <row r="5369" spans="9:10" x14ac:dyDescent="0.3">
      <c r="I5369"/>
      <c r="J5369"/>
    </row>
    <row r="5370" spans="9:10" x14ac:dyDescent="0.3">
      <c r="I5370"/>
      <c r="J5370"/>
    </row>
    <row r="5371" spans="9:10" x14ac:dyDescent="0.3">
      <c r="I5371"/>
      <c r="J5371"/>
    </row>
    <row r="5372" spans="9:10" x14ac:dyDescent="0.3">
      <c r="I5372"/>
      <c r="J5372"/>
    </row>
    <row r="5373" spans="9:10" x14ac:dyDescent="0.3">
      <c r="I5373"/>
      <c r="J5373"/>
    </row>
    <row r="5374" spans="9:10" x14ac:dyDescent="0.3">
      <c r="I5374"/>
      <c r="J5374"/>
    </row>
    <row r="5375" spans="9:10" x14ac:dyDescent="0.3">
      <c r="I5375"/>
      <c r="J5375"/>
    </row>
    <row r="5376" spans="9:10" x14ac:dyDescent="0.3">
      <c r="I5376"/>
      <c r="J5376"/>
    </row>
    <row r="5377" spans="9:10" x14ac:dyDescent="0.3">
      <c r="I5377"/>
      <c r="J5377"/>
    </row>
    <row r="5378" spans="9:10" x14ac:dyDescent="0.3">
      <c r="I5378"/>
      <c r="J5378"/>
    </row>
    <row r="5379" spans="9:10" x14ac:dyDescent="0.3">
      <c r="I5379"/>
      <c r="J5379"/>
    </row>
    <row r="5380" spans="9:10" x14ac:dyDescent="0.3">
      <c r="I5380"/>
      <c r="J5380"/>
    </row>
    <row r="5381" spans="9:10" x14ac:dyDescent="0.3">
      <c r="I5381"/>
      <c r="J5381"/>
    </row>
    <row r="5382" spans="9:10" x14ac:dyDescent="0.3">
      <c r="I5382"/>
      <c r="J5382"/>
    </row>
    <row r="5383" spans="9:10" x14ac:dyDescent="0.3">
      <c r="I5383"/>
      <c r="J5383"/>
    </row>
    <row r="5384" spans="9:10" x14ac:dyDescent="0.3">
      <c r="I5384"/>
      <c r="J5384"/>
    </row>
    <row r="5385" spans="9:10" x14ac:dyDescent="0.3">
      <c r="I5385"/>
      <c r="J5385"/>
    </row>
    <row r="5386" spans="9:10" x14ac:dyDescent="0.3">
      <c r="I5386"/>
      <c r="J5386"/>
    </row>
    <row r="5387" spans="9:10" x14ac:dyDescent="0.3">
      <c r="I5387"/>
      <c r="J5387"/>
    </row>
    <row r="5388" spans="9:10" x14ac:dyDescent="0.3">
      <c r="I5388"/>
      <c r="J5388"/>
    </row>
    <row r="5389" spans="9:10" x14ac:dyDescent="0.3">
      <c r="I5389"/>
      <c r="J5389"/>
    </row>
    <row r="5390" spans="9:10" x14ac:dyDescent="0.3">
      <c r="I5390"/>
      <c r="J5390"/>
    </row>
    <row r="5391" spans="9:10" x14ac:dyDescent="0.3">
      <c r="I5391"/>
      <c r="J5391"/>
    </row>
    <row r="5392" spans="9:10" x14ac:dyDescent="0.3">
      <c r="I5392"/>
      <c r="J5392"/>
    </row>
    <row r="5393" spans="9:10" x14ac:dyDescent="0.3">
      <c r="I5393"/>
      <c r="J5393"/>
    </row>
    <row r="5394" spans="9:10" x14ac:dyDescent="0.3">
      <c r="I5394"/>
      <c r="J5394"/>
    </row>
    <row r="5395" spans="9:10" x14ac:dyDescent="0.3">
      <c r="I5395"/>
      <c r="J5395"/>
    </row>
    <row r="5396" spans="9:10" x14ac:dyDescent="0.3">
      <c r="I5396"/>
      <c r="J5396"/>
    </row>
    <row r="5397" spans="9:10" x14ac:dyDescent="0.3">
      <c r="I5397"/>
      <c r="J5397"/>
    </row>
    <row r="5398" spans="9:10" x14ac:dyDescent="0.3">
      <c r="I5398"/>
      <c r="J5398"/>
    </row>
    <row r="5399" spans="9:10" x14ac:dyDescent="0.3">
      <c r="I5399"/>
      <c r="J5399"/>
    </row>
    <row r="5400" spans="9:10" x14ac:dyDescent="0.3">
      <c r="I5400"/>
      <c r="J5400"/>
    </row>
    <row r="5401" spans="9:10" x14ac:dyDescent="0.3">
      <c r="I5401"/>
      <c r="J5401"/>
    </row>
    <row r="5402" spans="9:10" x14ac:dyDescent="0.3">
      <c r="I5402"/>
      <c r="J5402"/>
    </row>
    <row r="5403" spans="9:10" x14ac:dyDescent="0.3">
      <c r="I5403"/>
      <c r="J5403"/>
    </row>
    <row r="5404" spans="9:10" x14ac:dyDescent="0.3">
      <c r="I5404"/>
      <c r="J5404"/>
    </row>
    <row r="5405" spans="9:10" x14ac:dyDescent="0.3">
      <c r="I5405"/>
      <c r="J5405"/>
    </row>
    <row r="5406" spans="9:10" x14ac:dyDescent="0.3">
      <c r="I5406"/>
      <c r="J5406"/>
    </row>
    <row r="5407" spans="9:10" x14ac:dyDescent="0.3">
      <c r="I5407"/>
      <c r="J5407"/>
    </row>
    <row r="5408" spans="9:10" x14ac:dyDescent="0.3">
      <c r="I5408"/>
      <c r="J5408"/>
    </row>
    <row r="5409" spans="9:10" x14ac:dyDescent="0.3">
      <c r="I5409"/>
      <c r="J5409"/>
    </row>
    <row r="5410" spans="9:10" x14ac:dyDescent="0.3">
      <c r="I5410"/>
      <c r="J5410"/>
    </row>
    <row r="5411" spans="9:10" x14ac:dyDescent="0.3">
      <c r="I5411"/>
      <c r="J5411"/>
    </row>
    <row r="5412" spans="9:10" x14ac:dyDescent="0.3">
      <c r="I5412"/>
      <c r="J5412"/>
    </row>
    <row r="5413" spans="9:10" x14ac:dyDescent="0.3">
      <c r="I5413"/>
      <c r="J5413"/>
    </row>
    <row r="5414" spans="9:10" x14ac:dyDescent="0.3">
      <c r="I5414"/>
      <c r="J5414"/>
    </row>
    <row r="5415" spans="9:10" x14ac:dyDescent="0.3">
      <c r="I5415"/>
      <c r="J5415"/>
    </row>
    <row r="5416" spans="9:10" x14ac:dyDescent="0.3">
      <c r="I5416"/>
      <c r="J5416"/>
    </row>
    <row r="5417" spans="9:10" x14ac:dyDescent="0.3">
      <c r="I5417"/>
      <c r="J5417"/>
    </row>
    <row r="5418" spans="9:10" x14ac:dyDescent="0.3">
      <c r="I5418"/>
      <c r="J5418"/>
    </row>
    <row r="5419" spans="9:10" x14ac:dyDescent="0.3">
      <c r="I5419"/>
      <c r="J5419"/>
    </row>
    <row r="5420" spans="9:10" x14ac:dyDescent="0.3">
      <c r="I5420"/>
      <c r="J5420"/>
    </row>
    <row r="5421" spans="9:10" x14ac:dyDescent="0.3">
      <c r="I5421"/>
      <c r="J5421"/>
    </row>
    <row r="5422" spans="9:10" x14ac:dyDescent="0.3">
      <c r="I5422"/>
      <c r="J5422"/>
    </row>
    <row r="5423" spans="9:10" x14ac:dyDescent="0.3">
      <c r="I5423"/>
      <c r="J5423"/>
    </row>
    <row r="5424" spans="9:10" x14ac:dyDescent="0.3">
      <c r="I5424"/>
      <c r="J5424"/>
    </row>
    <row r="5425" spans="9:10" x14ac:dyDescent="0.3">
      <c r="I5425"/>
      <c r="J5425"/>
    </row>
    <row r="5426" spans="9:10" x14ac:dyDescent="0.3">
      <c r="I5426"/>
      <c r="J5426"/>
    </row>
    <row r="5427" spans="9:10" x14ac:dyDescent="0.3">
      <c r="I5427"/>
      <c r="J5427"/>
    </row>
    <row r="5428" spans="9:10" x14ac:dyDescent="0.3">
      <c r="I5428"/>
      <c r="J5428"/>
    </row>
    <row r="5429" spans="9:10" x14ac:dyDescent="0.3">
      <c r="I5429"/>
      <c r="J5429"/>
    </row>
    <row r="5430" spans="9:10" x14ac:dyDescent="0.3">
      <c r="I5430"/>
      <c r="J5430"/>
    </row>
    <row r="5431" spans="9:10" x14ac:dyDescent="0.3">
      <c r="I5431"/>
      <c r="J5431"/>
    </row>
    <row r="5432" spans="9:10" x14ac:dyDescent="0.3">
      <c r="I5432"/>
      <c r="J5432"/>
    </row>
    <row r="5433" spans="9:10" x14ac:dyDescent="0.3">
      <c r="I5433"/>
      <c r="J5433"/>
    </row>
    <row r="5434" spans="9:10" x14ac:dyDescent="0.3">
      <c r="I5434"/>
      <c r="J5434"/>
    </row>
    <row r="5435" spans="9:10" x14ac:dyDescent="0.3">
      <c r="I5435"/>
      <c r="J5435"/>
    </row>
    <row r="5436" spans="9:10" x14ac:dyDescent="0.3">
      <c r="I5436"/>
      <c r="J5436"/>
    </row>
    <row r="5437" spans="9:10" x14ac:dyDescent="0.3">
      <c r="I5437"/>
      <c r="J5437"/>
    </row>
    <row r="5438" spans="9:10" x14ac:dyDescent="0.3">
      <c r="I5438"/>
      <c r="J5438"/>
    </row>
    <row r="5439" spans="9:10" x14ac:dyDescent="0.3">
      <c r="I5439"/>
      <c r="J5439"/>
    </row>
    <row r="5440" spans="9:10" x14ac:dyDescent="0.3">
      <c r="I5440"/>
      <c r="J5440"/>
    </row>
    <row r="5441" spans="9:10" x14ac:dyDescent="0.3">
      <c r="I5441"/>
      <c r="J5441"/>
    </row>
    <row r="5442" spans="9:10" x14ac:dyDescent="0.3">
      <c r="I5442"/>
      <c r="J5442"/>
    </row>
    <row r="5443" spans="9:10" x14ac:dyDescent="0.3">
      <c r="I5443"/>
      <c r="J5443"/>
    </row>
    <row r="5444" spans="9:10" x14ac:dyDescent="0.3">
      <c r="I5444"/>
      <c r="J5444"/>
    </row>
    <row r="5445" spans="9:10" x14ac:dyDescent="0.3">
      <c r="I5445"/>
      <c r="J5445"/>
    </row>
    <row r="5446" spans="9:10" x14ac:dyDescent="0.3">
      <c r="I5446"/>
      <c r="J5446"/>
    </row>
    <row r="5447" spans="9:10" x14ac:dyDescent="0.3">
      <c r="I5447"/>
      <c r="J5447"/>
    </row>
    <row r="5448" spans="9:10" x14ac:dyDescent="0.3">
      <c r="I5448"/>
      <c r="J5448"/>
    </row>
    <row r="5449" spans="9:10" x14ac:dyDescent="0.3">
      <c r="I5449"/>
      <c r="J5449"/>
    </row>
    <row r="5450" spans="9:10" x14ac:dyDescent="0.3">
      <c r="I5450"/>
      <c r="J5450"/>
    </row>
    <row r="5451" spans="9:10" x14ac:dyDescent="0.3">
      <c r="I5451"/>
      <c r="J5451"/>
    </row>
    <row r="5452" spans="9:10" x14ac:dyDescent="0.3">
      <c r="I5452"/>
      <c r="J5452"/>
    </row>
    <row r="5453" spans="9:10" x14ac:dyDescent="0.3">
      <c r="I5453"/>
      <c r="J5453"/>
    </row>
    <row r="5454" spans="9:10" x14ac:dyDescent="0.3">
      <c r="I5454"/>
      <c r="J5454"/>
    </row>
    <row r="5455" spans="9:10" x14ac:dyDescent="0.3">
      <c r="I5455"/>
      <c r="J5455"/>
    </row>
    <row r="5456" spans="9:10" x14ac:dyDescent="0.3">
      <c r="I5456"/>
      <c r="J5456"/>
    </row>
    <row r="5457" spans="9:10" x14ac:dyDescent="0.3">
      <c r="I5457"/>
      <c r="J5457"/>
    </row>
    <row r="5458" spans="9:10" x14ac:dyDescent="0.3">
      <c r="I5458"/>
      <c r="J5458"/>
    </row>
    <row r="5459" spans="9:10" x14ac:dyDescent="0.3">
      <c r="I5459"/>
      <c r="J5459"/>
    </row>
    <row r="5460" spans="9:10" x14ac:dyDescent="0.3">
      <c r="I5460"/>
      <c r="J5460"/>
    </row>
    <row r="5461" spans="9:10" x14ac:dyDescent="0.3">
      <c r="I5461"/>
      <c r="J5461"/>
    </row>
    <row r="5462" spans="9:10" x14ac:dyDescent="0.3">
      <c r="I5462"/>
      <c r="J5462"/>
    </row>
    <row r="5463" spans="9:10" x14ac:dyDescent="0.3">
      <c r="I5463"/>
      <c r="J5463"/>
    </row>
    <row r="5464" spans="9:10" x14ac:dyDescent="0.3">
      <c r="I5464"/>
      <c r="J5464"/>
    </row>
    <row r="5465" spans="9:10" x14ac:dyDescent="0.3">
      <c r="I5465"/>
      <c r="J5465"/>
    </row>
    <row r="5466" spans="9:10" x14ac:dyDescent="0.3">
      <c r="I5466"/>
      <c r="J5466"/>
    </row>
    <row r="5467" spans="9:10" x14ac:dyDescent="0.3">
      <c r="I5467"/>
      <c r="J5467"/>
    </row>
    <row r="5468" spans="9:10" x14ac:dyDescent="0.3">
      <c r="I5468"/>
      <c r="J5468"/>
    </row>
    <row r="5469" spans="9:10" x14ac:dyDescent="0.3">
      <c r="I5469"/>
      <c r="J5469"/>
    </row>
    <row r="5470" spans="9:10" x14ac:dyDescent="0.3">
      <c r="I5470"/>
      <c r="J5470"/>
    </row>
    <row r="5471" spans="9:10" x14ac:dyDescent="0.3">
      <c r="I5471"/>
      <c r="J5471"/>
    </row>
    <row r="5472" spans="9:10" x14ac:dyDescent="0.3">
      <c r="I5472"/>
      <c r="J5472"/>
    </row>
    <row r="5473" spans="9:10" x14ac:dyDescent="0.3">
      <c r="I5473"/>
      <c r="J5473"/>
    </row>
    <row r="5474" spans="9:10" x14ac:dyDescent="0.3">
      <c r="I5474"/>
      <c r="J5474"/>
    </row>
    <row r="5475" spans="9:10" x14ac:dyDescent="0.3">
      <c r="I5475"/>
      <c r="J5475"/>
    </row>
    <row r="5476" spans="9:10" x14ac:dyDescent="0.3">
      <c r="I5476"/>
      <c r="J5476"/>
    </row>
    <row r="5477" spans="9:10" x14ac:dyDescent="0.3">
      <c r="I5477"/>
      <c r="J5477"/>
    </row>
    <row r="5478" spans="9:10" x14ac:dyDescent="0.3">
      <c r="I5478"/>
      <c r="J5478"/>
    </row>
    <row r="5479" spans="9:10" x14ac:dyDescent="0.3">
      <c r="I5479"/>
      <c r="J5479"/>
    </row>
    <row r="5480" spans="9:10" x14ac:dyDescent="0.3">
      <c r="I5480"/>
      <c r="J5480"/>
    </row>
    <row r="5481" spans="9:10" x14ac:dyDescent="0.3">
      <c r="I5481"/>
      <c r="J5481"/>
    </row>
    <row r="5482" spans="9:10" x14ac:dyDescent="0.3">
      <c r="I5482"/>
      <c r="J5482"/>
    </row>
    <row r="5483" spans="9:10" x14ac:dyDescent="0.3">
      <c r="I5483"/>
      <c r="J5483"/>
    </row>
    <row r="5484" spans="9:10" x14ac:dyDescent="0.3">
      <c r="I5484"/>
      <c r="J5484"/>
    </row>
    <row r="5485" spans="9:10" x14ac:dyDescent="0.3">
      <c r="I5485"/>
      <c r="J5485"/>
    </row>
    <row r="5486" spans="9:10" x14ac:dyDescent="0.3">
      <c r="I5486"/>
      <c r="J5486"/>
    </row>
    <row r="5487" spans="9:10" x14ac:dyDescent="0.3">
      <c r="I5487"/>
      <c r="J5487"/>
    </row>
    <row r="5488" spans="9:10" x14ac:dyDescent="0.3">
      <c r="I5488"/>
      <c r="J5488"/>
    </row>
    <row r="5489" spans="9:10" x14ac:dyDescent="0.3">
      <c r="I5489"/>
      <c r="J5489"/>
    </row>
    <row r="5490" spans="9:10" x14ac:dyDescent="0.3">
      <c r="I5490"/>
      <c r="J5490"/>
    </row>
    <row r="5491" spans="9:10" x14ac:dyDescent="0.3">
      <c r="I5491"/>
      <c r="J5491"/>
    </row>
    <row r="5492" spans="9:10" x14ac:dyDescent="0.3">
      <c r="I5492"/>
      <c r="J5492"/>
    </row>
    <row r="5493" spans="9:10" x14ac:dyDescent="0.3">
      <c r="I5493"/>
      <c r="J5493"/>
    </row>
    <row r="5494" spans="9:10" x14ac:dyDescent="0.3">
      <c r="I5494"/>
      <c r="J5494"/>
    </row>
    <row r="5495" spans="9:10" x14ac:dyDescent="0.3">
      <c r="I5495"/>
      <c r="J5495"/>
    </row>
    <row r="5496" spans="9:10" x14ac:dyDescent="0.3">
      <c r="I5496"/>
      <c r="J5496"/>
    </row>
    <row r="5497" spans="9:10" x14ac:dyDescent="0.3">
      <c r="I5497"/>
      <c r="J5497"/>
    </row>
    <row r="5498" spans="9:10" x14ac:dyDescent="0.3">
      <c r="I5498"/>
      <c r="J5498"/>
    </row>
    <row r="5499" spans="9:10" x14ac:dyDescent="0.3">
      <c r="I5499"/>
      <c r="J5499"/>
    </row>
    <row r="5500" spans="9:10" x14ac:dyDescent="0.3">
      <c r="I5500"/>
      <c r="J5500"/>
    </row>
    <row r="5501" spans="9:10" x14ac:dyDescent="0.3">
      <c r="I5501"/>
      <c r="J5501"/>
    </row>
    <row r="5502" spans="9:10" x14ac:dyDescent="0.3">
      <c r="I5502"/>
      <c r="J5502"/>
    </row>
    <row r="5503" spans="9:10" x14ac:dyDescent="0.3">
      <c r="I5503"/>
      <c r="J5503"/>
    </row>
    <row r="5504" spans="9:10" x14ac:dyDescent="0.3">
      <c r="I5504"/>
      <c r="J5504"/>
    </row>
    <row r="5505" spans="9:10" x14ac:dyDescent="0.3">
      <c r="I5505"/>
      <c r="J5505"/>
    </row>
    <row r="5506" spans="9:10" x14ac:dyDescent="0.3">
      <c r="I5506"/>
      <c r="J5506"/>
    </row>
    <row r="5507" spans="9:10" x14ac:dyDescent="0.3">
      <c r="I5507"/>
      <c r="J5507"/>
    </row>
    <row r="5508" spans="9:10" x14ac:dyDescent="0.3">
      <c r="I5508"/>
      <c r="J5508"/>
    </row>
    <row r="5509" spans="9:10" x14ac:dyDescent="0.3">
      <c r="I5509"/>
      <c r="J5509"/>
    </row>
    <row r="5510" spans="9:10" x14ac:dyDescent="0.3">
      <c r="I5510"/>
      <c r="J5510"/>
    </row>
    <row r="5511" spans="9:10" x14ac:dyDescent="0.3">
      <c r="I5511"/>
      <c r="J5511"/>
    </row>
    <row r="5512" spans="9:10" x14ac:dyDescent="0.3">
      <c r="I5512"/>
      <c r="J5512"/>
    </row>
    <row r="5513" spans="9:10" x14ac:dyDescent="0.3">
      <c r="I5513"/>
      <c r="J5513"/>
    </row>
    <row r="5514" spans="9:10" x14ac:dyDescent="0.3">
      <c r="I5514"/>
      <c r="J5514"/>
    </row>
    <row r="5515" spans="9:10" x14ac:dyDescent="0.3">
      <c r="I5515"/>
      <c r="J5515"/>
    </row>
    <row r="5516" spans="9:10" x14ac:dyDescent="0.3">
      <c r="I5516"/>
      <c r="J5516"/>
    </row>
    <row r="5517" spans="9:10" x14ac:dyDescent="0.3">
      <c r="I5517"/>
      <c r="J5517"/>
    </row>
    <row r="5518" spans="9:10" x14ac:dyDescent="0.3">
      <c r="I5518"/>
      <c r="J5518"/>
    </row>
    <row r="5519" spans="9:10" x14ac:dyDescent="0.3">
      <c r="I5519"/>
      <c r="J5519"/>
    </row>
    <row r="5520" spans="9:10" x14ac:dyDescent="0.3">
      <c r="I5520"/>
      <c r="J5520"/>
    </row>
    <row r="5521" spans="9:10" x14ac:dyDescent="0.3">
      <c r="I5521"/>
      <c r="J5521"/>
    </row>
    <row r="5522" spans="9:10" x14ac:dyDescent="0.3">
      <c r="I5522"/>
      <c r="J5522"/>
    </row>
    <row r="5523" spans="9:10" x14ac:dyDescent="0.3">
      <c r="I5523"/>
      <c r="J5523"/>
    </row>
    <row r="5524" spans="9:10" x14ac:dyDescent="0.3">
      <c r="I5524"/>
      <c r="J5524"/>
    </row>
    <row r="5525" spans="9:10" x14ac:dyDescent="0.3">
      <c r="I5525"/>
      <c r="J5525"/>
    </row>
    <row r="5526" spans="9:10" x14ac:dyDescent="0.3">
      <c r="I5526"/>
      <c r="J5526"/>
    </row>
    <row r="5527" spans="9:10" x14ac:dyDescent="0.3">
      <c r="I5527"/>
      <c r="J5527"/>
    </row>
    <row r="5528" spans="9:10" x14ac:dyDescent="0.3">
      <c r="I5528"/>
      <c r="J5528"/>
    </row>
    <row r="5529" spans="9:10" x14ac:dyDescent="0.3">
      <c r="I5529"/>
      <c r="J5529"/>
    </row>
    <row r="5530" spans="9:10" x14ac:dyDescent="0.3">
      <c r="I5530"/>
      <c r="J5530"/>
    </row>
    <row r="5531" spans="9:10" x14ac:dyDescent="0.3">
      <c r="I5531"/>
      <c r="J5531"/>
    </row>
    <row r="5532" spans="9:10" x14ac:dyDescent="0.3">
      <c r="I5532"/>
      <c r="J5532"/>
    </row>
    <row r="5533" spans="9:10" x14ac:dyDescent="0.3">
      <c r="I5533"/>
      <c r="J5533"/>
    </row>
    <row r="5534" spans="9:10" x14ac:dyDescent="0.3">
      <c r="I5534"/>
      <c r="J5534"/>
    </row>
    <row r="5535" spans="9:10" x14ac:dyDescent="0.3">
      <c r="I5535"/>
      <c r="J5535"/>
    </row>
    <row r="5536" spans="9:10" x14ac:dyDescent="0.3">
      <c r="I5536"/>
      <c r="J5536"/>
    </row>
    <row r="5537" spans="9:10" x14ac:dyDescent="0.3">
      <c r="I5537"/>
      <c r="J5537"/>
    </row>
    <row r="5538" spans="9:10" x14ac:dyDescent="0.3">
      <c r="I5538"/>
      <c r="J5538"/>
    </row>
    <row r="5539" spans="9:10" x14ac:dyDescent="0.3">
      <c r="I5539"/>
      <c r="J5539"/>
    </row>
    <row r="5540" spans="9:10" x14ac:dyDescent="0.3">
      <c r="I5540"/>
      <c r="J5540"/>
    </row>
    <row r="5541" spans="9:10" x14ac:dyDescent="0.3">
      <c r="I5541"/>
      <c r="J5541"/>
    </row>
    <row r="5542" spans="9:10" x14ac:dyDescent="0.3">
      <c r="I5542"/>
      <c r="J5542"/>
    </row>
    <row r="5543" spans="9:10" x14ac:dyDescent="0.3">
      <c r="I5543"/>
      <c r="J5543"/>
    </row>
    <row r="5544" spans="9:10" x14ac:dyDescent="0.3">
      <c r="I5544"/>
      <c r="J5544"/>
    </row>
    <row r="5545" spans="9:10" x14ac:dyDescent="0.3">
      <c r="I5545"/>
      <c r="J5545"/>
    </row>
    <row r="5546" spans="9:10" x14ac:dyDescent="0.3">
      <c r="I5546"/>
      <c r="J5546"/>
    </row>
    <row r="5547" spans="9:10" x14ac:dyDescent="0.3">
      <c r="I5547"/>
      <c r="J5547"/>
    </row>
    <row r="5548" spans="9:10" x14ac:dyDescent="0.3">
      <c r="I5548"/>
      <c r="J5548"/>
    </row>
    <row r="5549" spans="9:10" x14ac:dyDescent="0.3">
      <c r="I5549"/>
      <c r="J5549"/>
    </row>
    <row r="5550" spans="9:10" x14ac:dyDescent="0.3">
      <c r="I5550"/>
      <c r="J5550"/>
    </row>
    <row r="5551" spans="9:10" x14ac:dyDescent="0.3">
      <c r="I5551"/>
      <c r="J5551"/>
    </row>
    <row r="5552" spans="9:10" x14ac:dyDescent="0.3">
      <c r="I5552"/>
      <c r="J5552"/>
    </row>
    <row r="5553" spans="9:10" x14ac:dyDescent="0.3">
      <c r="I5553"/>
      <c r="J5553"/>
    </row>
    <row r="5554" spans="9:10" x14ac:dyDescent="0.3">
      <c r="I5554"/>
      <c r="J5554"/>
    </row>
    <row r="5555" spans="9:10" x14ac:dyDescent="0.3">
      <c r="I5555"/>
      <c r="J5555"/>
    </row>
    <row r="5556" spans="9:10" x14ac:dyDescent="0.3">
      <c r="I5556"/>
      <c r="J5556"/>
    </row>
    <row r="5557" spans="9:10" x14ac:dyDescent="0.3">
      <c r="I5557"/>
      <c r="J5557"/>
    </row>
    <row r="5558" spans="9:10" x14ac:dyDescent="0.3">
      <c r="I5558"/>
      <c r="J5558"/>
    </row>
    <row r="5559" spans="9:10" x14ac:dyDescent="0.3">
      <c r="I5559"/>
      <c r="J5559"/>
    </row>
    <row r="5560" spans="9:10" x14ac:dyDescent="0.3">
      <c r="I5560"/>
      <c r="J5560"/>
    </row>
    <row r="5561" spans="9:10" x14ac:dyDescent="0.3">
      <c r="I5561"/>
      <c r="J5561"/>
    </row>
    <row r="5562" spans="9:10" x14ac:dyDescent="0.3">
      <c r="I5562"/>
      <c r="J5562"/>
    </row>
    <row r="5563" spans="9:10" x14ac:dyDescent="0.3">
      <c r="I5563"/>
      <c r="J5563"/>
    </row>
    <row r="5564" spans="9:10" x14ac:dyDescent="0.3">
      <c r="I5564"/>
      <c r="J5564"/>
    </row>
    <row r="5565" spans="9:10" x14ac:dyDescent="0.3">
      <c r="I5565"/>
      <c r="J5565"/>
    </row>
    <row r="5566" spans="9:10" x14ac:dyDescent="0.3">
      <c r="I5566"/>
      <c r="J5566"/>
    </row>
    <row r="5567" spans="9:10" x14ac:dyDescent="0.3">
      <c r="I5567"/>
      <c r="J5567"/>
    </row>
    <row r="5568" spans="9:10" x14ac:dyDescent="0.3">
      <c r="I5568"/>
      <c r="J5568"/>
    </row>
    <row r="5569" spans="9:10" x14ac:dyDescent="0.3">
      <c r="I5569"/>
      <c r="J5569"/>
    </row>
    <row r="5570" spans="9:10" x14ac:dyDescent="0.3">
      <c r="I5570"/>
      <c r="J5570"/>
    </row>
    <row r="5571" spans="9:10" x14ac:dyDescent="0.3">
      <c r="I5571"/>
      <c r="J5571"/>
    </row>
    <row r="5572" spans="9:10" x14ac:dyDescent="0.3">
      <c r="I5572"/>
      <c r="J5572"/>
    </row>
    <row r="5573" spans="9:10" x14ac:dyDescent="0.3">
      <c r="I5573"/>
      <c r="J5573"/>
    </row>
    <row r="5574" spans="9:10" x14ac:dyDescent="0.3">
      <c r="I5574"/>
      <c r="J5574"/>
    </row>
    <row r="5575" spans="9:10" x14ac:dyDescent="0.3">
      <c r="I5575"/>
      <c r="J5575"/>
    </row>
    <row r="5576" spans="9:10" x14ac:dyDescent="0.3">
      <c r="I5576"/>
      <c r="J5576"/>
    </row>
    <row r="5577" spans="9:10" x14ac:dyDescent="0.3">
      <c r="I5577"/>
      <c r="J5577"/>
    </row>
    <row r="5578" spans="9:10" x14ac:dyDescent="0.3">
      <c r="I5578"/>
      <c r="J5578"/>
    </row>
    <row r="5579" spans="9:10" x14ac:dyDescent="0.3">
      <c r="I5579"/>
      <c r="J5579"/>
    </row>
    <row r="5580" spans="9:10" x14ac:dyDescent="0.3">
      <c r="I5580"/>
      <c r="J5580"/>
    </row>
    <row r="5581" spans="9:10" x14ac:dyDescent="0.3">
      <c r="I5581"/>
      <c r="J5581"/>
    </row>
    <row r="5582" spans="9:10" x14ac:dyDescent="0.3">
      <c r="I5582"/>
      <c r="J5582"/>
    </row>
    <row r="5583" spans="9:10" x14ac:dyDescent="0.3">
      <c r="I5583"/>
      <c r="J5583"/>
    </row>
    <row r="5584" spans="9:10" x14ac:dyDescent="0.3">
      <c r="I5584"/>
      <c r="J5584"/>
    </row>
    <row r="5585" spans="9:10" x14ac:dyDescent="0.3">
      <c r="I5585"/>
      <c r="J5585"/>
    </row>
    <row r="5586" spans="9:10" x14ac:dyDescent="0.3">
      <c r="I5586"/>
      <c r="J5586"/>
    </row>
    <row r="5587" spans="9:10" x14ac:dyDescent="0.3">
      <c r="I5587"/>
      <c r="J5587"/>
    </row>
    <row r="5588" spans="9:10" x14ac:dyDescent="0.3">
      <c r="I5588"/>
      <c r="J5588"/>
    </row>
    <row r="5589" spans="9:10" x14ac:dyDescent="0.3">
      <c r="I5589"/>
      <c r="J5589"/>
    </row>
    <row r="5590" spans="9:10" x14ac:dyDescent="0.3">
      <c r="I5590"/>
      <c r="J5590"/>
    </row>
    <row r="5591" spans="9:10" x14ac:dyDescent="0.3">
      <c r="I5591"/>
      <c r="J5591"/>
    </row>
    <row r="5592" spans="9:10" x14ac:dyDescent="0.3">
      <c r="I5592"/>
      <c r="J5592"/>
    </row>
    <row r="5593" spans="9:10" x14ac:dyDescent="0.3">
      <c r="I5593"/>
      <c r="J5593"/>
    </row>
    <row r="5594" spans="9:10" x14ac:dyDescent="0.3">
      <c r="I5594"/>
      <c r="J5594"/>
    </row>
    <row r="5595" spans="9:10" x14ac:dyDescent="0.3">
      <c r="I5595"/>
      <c r="J5595"/>
    </row>
    <row r="5596" spans="9:10" x14ac:dyDescent="0.3">
      <c r="I5596"/>
      <c r="J5596"/>
    </row>
    <row r="5597" spans="9:10" x14ac:dyDescent="0.3">
      <c r="I5597"/>
      <c r="J5597"/>
    </row>
    <row r="5598" spans="9:10" x14ac:dyDescent="0.3">
      <c r="I5598"/>
      <c r="J5598"/>
    </row>
    <row r="5599" spans="9:10" x14ac:dyDescent="0.3">
      <c r="I5599"/>
      <c r="J5599"/>
    </row>
    <row r="5600" spans="9:10" x14ac:dyDescent="0.3">
      <c r="I5600"/>
      <c r="J5600"/>
    </row>
    <row r="5601" spans="9:10" x14ac:dyDescent="0.3">
      <c r="I5601"/>
      <c r="J5601"/>
    </row>
    <row r="5602" spans="9:10" x14ac:dyDescent="0.3">
      <c r="I5602"/>
      <c r="J5602"/>
    </row>
    <row r="5603" spans="9:10" x14ac:dyDescent="0.3">
      <c r="I5603"/>
      <c r="J5603"/>
    </row>
    <row r="5604" spans="9:10" x14ac:dyDescent="0.3">
      <c r="I5604"/>
      <c r="J5604"/>
    </row>
    <row r="5605" spans="9:10" x14ac:dyDescent="0.3">
      <c r="I5605"/>
      <c r="J5605"/>
    </row>
    <row r="5606" spans="9:10" x14ac:dyDescent="0.3">
      <c r="I5606"/>
      <c r="J5606"/>
    </row>
    <row r="5607" spans="9:10" x14ac:dyDescent="0.3">
      <c r="I5607"/>
      <c r="J5607"/>
    </row>
    <row r="5608" spans="9:10" x14ac:dyDescent="0.3">
      <c r="I5608"/>
      <c r="J5608"/>
    </row>
    <row r="5609" spans="9:10" x14ac:dyDescent="0.3">
      <c r="I5609"/>
      <c r="J5609"/>
    </row>
    <row r="5610" spans="9:10" x14ac:dyDescent="0.3">
      <c r="I5610"/>
      <c r="J5610"/>
    </row>
    <row r="5611" spans="9:10" x14ac:dyDescent="0.3">
      <c r="I5611"/>
      <c r="J5611"/>
    </row>
    <row r="5612" spans="9:10" x14ac:dyDescent="0.3">
      <c r="I5612"/>
      <c r="J5612"/>
    </row>
    <row r="5613" spans="9:10" x14ac:dyDescent="0.3">
      <c r="I5613"/>
      <c r="J5613"/>
    </row>
    <row r="5614" spans="9:10" x14ac:dyDescent="0.3">
      <c r="I5614"/>
      <c r="J5614"/>
    </row>
    <row r="5615" spans="9:10" x14ac:dyDescent="0.3">
      <c r="I5615"/>
      <c r="J5615"/>
    </row>
    <row r="5616" spans="9:10" x14ac:dyDescent="0.3">
      <c r="I5616"/>
      <c r="J5616"/>
    </row>
    <row r="5617" spans="9:10" x14ac:dyDescent="0.3">
      <c r="I5617"/>
      <c r="J5617"/>
    </row>
    <row r="5618" spans="9:10" x14ac:dyDescent="0.3">
      <c r="I5618"/>
      <c r="J5618"/>
    </row>
    <row r="5619" spans="9:10" x14ac:dyDescent="0.3">
      <c r="I5619"/>
      <c r="J5619"/>
    </row>
    <row r="5620" spans="9:10" x14ac:dyDescent="0.3">
      <c r="I5620"/>
      <c r="J5620"/>
    </row>
    <row r="5621" spans="9:10" x14ac:dyDescent="0.3">
      <c r="I5621"/>
      <c r="J5621"/>
    </row>
    <row r="5622" spans="9:10" x14ac:dyDescent="0.3">
      <c r="I5622"/>
      <c r="J5622"/>
    </row>
    <row r="5623" spans="9:10" x14ac:dyDescent="0.3">
      <c r="I5623"/>
      <c r="J5623"/>
    </row>
    <row r="5624" spans="9:10" x14ac:dyDescent="0.3">
      <c r="I5624"/>
      <c r="J5624"/>
    </row>
    <row r="5625" spans="9:10" x14ac:dyDescent="0.3">
      <c r="I5625"/>
      <c r="J5625"/>
    </row>
    <row r="5626" spans="9:10" x14ac:dyDescent="0.3">
      <c r="I5626"/>
      <c r="J5626"/>
    </row>
    <row r="5627" spans="9:10" x14ac:dyDescent="0.3">
      <c r="I5627"/>
      <c r="J5627"/>
    </row>
    <row r="5628" spans="9:10" x14ac:dyDescent="0.3">
      <c r="I5628"/>
      <c r="J5628"/>
    </row>
    <row r="5629" spans="9:10" x14ac:dyDescent="0.3">
      <c r="I5629"/>
      <c r="J5629"/>
    </row>
    <row r="5630" spans="9:10" x14ac:dyDescent="0.3">
      <c r="I5630"/>
      <c r="J5630"/>
    </row>
    <row r="5631" spans="9:10" x14ac:dyDescent="0.3">
      <c r="I5631"/>
      <c r="J5631"/>
    </row>
    <row r="5632" spans="9:10" x14ac:dyDescent="0.3">
      <c r="I5632"/>
      <c r="J5632"/>
    </row>
    <row r="5633" spans="9:10" x14ac:dyDescent="0.3">
      <c r="I5633"/>
      <c r="J5633"/>
    </row>
    <row r="5634" spans="9:10" x14ac:dyDescent="0.3">
      <c r="I5634"/>
      <c r="J5634"/>
    </row>
    <row r="5635" spans="9:10" x14ac:dyDescent="0.3">
      <c r="I5635"/>
      <c r="J5635"/>
    </row>
    <row r="5636" spans="9:10" x14ac:dyDescent="0.3">
      <c r="I5636"/>
      <c r="J5636"/>
    </row>
    <row r="5637" spans="9:10" x14ac:dyDescent="0.3">
      <c r="I5637"/>
      <c r="J5637"/>
    </row>
    <row r="5638" spans="9:10" x14ac:dyDescent="0.3">
      <c r="I5638"/>
      <c r="J5638"/>
    </row>
    <row r="5639" spans="9:10" x14ac:dyDescent="0.3">
      <c r="I5639"/>
      <c r="J5639"/>
    </row>
    <row r="5640" spans="9:10" x14ac:dyDescent="0.3">
      <c r="I5640"/>
      <c r="J5640"/>
    </row>
    <row r="5641" spans="9:10" x14ac:dyDescent="0.3">
      <c r="I5641"/>
      <c r="J5641"/>
    </row>
    <row r="5642" spans="9:10" x14ac:dyDescent="0.3">
      <c r="I5642"/>
      <c r="J5642"/>
    </row>
    <row r="5643" spans="9:10" x14ac:dyDescent="0.3">
      <c r="I5643"/>
      <c r="J5643"/>
    </row>
    <row r="5644" spans="9:10" x14ac:dyDescent="0.3">
      <c r="I5644"/>
      <c r="J5644"/>
    </row>
    <row r="5645" spans="9:10" x14ac:dyDescent="0.3">
      <c r="I5645"/>
      <c r="J5645"/>
    </row>
    <row r="5646" spans="9:10" x14ac:dyDescent="0.3">
      <c r="I5646"/>
      <c r="J5646"/>
    </row>
    <row r="5647" spans="9:10" x14ac:dyDescent="0.3">
      <c r="I5647"/>
      <c r="J5647"/>
    </row>
    <row r="5648" spans="9:10" x14ac:dyDescent="0.3">
      <c r="I5648"/>
      <c r="J5648"/>
    </row>
    <row r="5649" spans="9:10" x14ac:dyDescent="0.3">
      <c r="I5649"/>
      <c r="J5649"/>
    </row>
    <row r="5650" spans="9:10" x14ac:dyDescent="0.3">
      <c r="I5650"/>
      <c r="J5650"/>
    </row>
    <row r="5651" spans="9:10" x14ac:dyDescent="0.3">
      <c r="I5651"/>
      <c r="J5651"/>
    </row>
    <row r="5652" spans="9:10" x14ac:dyDescent="0.3">
      <c r="I5652"/>
      <c r="J5652"/>
    </row>
    <row r="5653" spans="9:10" x14ac:dyDescent="0.3">
      <c r="I5653"/>
      <c r="J5653"/>
    </row>
    <row r="5654" spans="9:10" x14ac:dyDescent="0.3">
      <c r="I5654"/>
      <c r="J5654"/>
    </row>
    <row r="5655" spans="9:10" x14ac:dyDescent="0.3">
      <c r="I5655"/>
      <c r="J5655"/>
    </row>
    <row r="5656" spans="9:10" x14ac:dyDescent="0.3">
      <c r="I5656"/>
      <c r="J5656"/>
    </row>
    <row r="5657" spans="9:10" x14ac:dyDescent="0.3">
      <c r="I5657"/>
      <c r="J5657"/>
    </row>
    <row r="5658" spans="9:10" x14ac:dyDescent="0.3">
      <c r="I5658"/>
      <c r="J5658"/>
    </row>
    <row r="5659" spans="9:10" x14ac:dyDescent="0.3">
      <c r="I5659"/>
      <c r="J5659"/>
    </row>
    <row r="5660" spans="9:10" x14ac:dyDescent="0.3">
      <c r="I5660"/>
      <c r="J5660"/>
    </row>
    <row r="5661" spans="9:10" x14ac:dyDescent="0.3">
      <c r="I5661"/>
      <c r="J5661"/>
    </row>
    <row r="5662" spans="9:10" x14ac:dyDescent="0.3">
      <c r="I5662"/>
      <c r="J5662"/>
    </row>
    <row r="5663" spans="9:10" x14ac:dyDescent="0.3">
      <c r="I5663"/>
      <c r="J5663"/>
    </row>
    <row r="5664" spans="9:10" x14ac:dyDescent="0.3">
      <c r="I5664"/>
      <c r="J5664"/>
    </row>
    <row r="5665" spans="9:10" x14ac:dyDescent="0.3">
      <c r="I5665"/>
      <c r="J5665"/>
    </row>
    <row r="5666" spans="9:10" x14ac:dyDescent="0.3">
      <c r="I5666"/>
      <c r="J5666"/>
    </row>
    <row r="5667" spans="9:10" x14ac:dyDescent="0.3">
      <c r="I5667"/>
      <c r="J5667"/>
    </row>
    <row r="5668" spans="9:10" x14ac:dyDescent="0.3">
      <c r="I5668"/>
      <c r="J5668"/>
    </row>
    <row r="5669" spans="9:10" x14ac:dyDescent="0.3">
      <c r="I5669"/>
      <c r="J5669"/>
    </row>
    <row r="5670" spans="9:10" x14ac:dyDescent="0.3">
      <c r="I5670"/>
      <c r="J5670"/>
    </row>
    <row r="5671" spans="9:10" x14ac:dyDescent="0.3">
      <c r="I5671"/>
      <c r="J5671"/>
    </row>
    <row r="5672" spans="9:10" x14ac:dyDescent="0.3">
      <c r="I5672"/>
      <c r="J5672"/>
    </row>
    <row r="5673" spans="9:10" x14ac:dyDescent="0.3">
      <c r="I5673"/>
      <c r="J5673"/>
    </row>
    <row r="5674" spans="9:10" x14ac:dyDescent="0.3">
      <c r="I5674"/>
      <c r="J5674"/>
    </row>
    <row r="5675" spans="9:10" x14ac:dyDescent="0.3">
      <c r="I5675"/>
      <c r="J5675"/>
    </row>
    <row r="5676" spans="9:10" x14ac:dyDescent="0.3">
      <c r="I5676"/>
      <c r="J5676"/>
    </row>
    <row r="5677" spans="9:10" x14ac:dyDescent="0.3">
      <c r="I5677"/>
      <c r="J5677"/>
    </row>
    <row r="5678" spans="9:10" x14ac:dyDescent="0.3">
      <c r="I5678"/>
      <c r="J5678"/>
    </row>
    <row r="5679" spans="9:10" x14ac:dyDescent="0.3">
      <c r="I5679"/>
      <c r="J5679"/>
    </row>
    <row r="5680" spans="9:10" x14ac:dyDescent="0.3">
      <c r="I5680"/>
      <c r="J5680"/>
    </row>
    <row r="5681" spans="9:10" x14ac:dyDescent="0.3">
      <c r="I5681"/>
      <c r="J5681"/>
    </row>
    <row r="5682" spans="9:10" x14ac:dyDescent="0.3">
      <c r="I5682"/>
      <c r="J5682"/>
    </row>
    <row r="5683" spans="9:10" x14ac:dyDescent="0.3">
      <c r="I5683"/>
      <c r="J5683"/>
    </row>
    <row r="5684" spans="9:10" x14ac:dyDescent="0.3">
      <c r="I5684"/>
      <c r="J5684"/>
    </row>
    <row r="5685" spans="9:10" x14ac:dyDescent="0.3">
      <c r="I5685"/>
      <c r="J5685"/>
    </row>
    <row r="5686" spans="9:10" x14ac:dyDescent="0.3">
      <c r="I5686"/>
      <c r="J5686"/>
    </row>
    <row r="5687" spans="9:10" x14ac:dyDescent="0.3">
      <c r="I5687"/>
      <c r="J5687"/>
    </row>
    <row r="5688" spans="9:10" x14ac:dyDescent="0.3">
      <c r="I5688"/>
      <c r="J5688"/>
    </row>
    <row r="5689" spans="9:10" x14ac:dyDescent="0.3">
      <c r="I5689"/>
      <c r="J5689"/>
    </row>
    <row r="5690" spans="9:10" x14ac:dyDescent="0.3">
      <c r="I5690"/>
      <c r="J5690"/>
    </row>
    <row r="5691" spans="9:10" x14ac:dyDescent="0.3">
      <c r="I5691"/>
      <c r="J5691"/>
    </row>
    <row r="5692" spans="9:10" x14ac:dyDescent="0.3">
      <c r="I5692"/>
      <c r="J5692"/>
    </row>
    <row r="5693" spans="9:10" x14ac:dyDescent="0.3">
      <c r="I5693"/>
      <c r="J5693"/>
    </row>
    <row r="5694" spans="9:10" x14ac:dyDescent="0.3">
      <c r="I5694"/>
      <c r="J5694"/>
    </row>
    <row r="5695" spans="9:10" x14ac:dyDescent="0.3">
      <c r="I5695"/>
      <c r="J5695"/>
    </row>
    <row r="5696" spans="9:10" x14ac:dyDescent="0.3">
      <c r="I5696"/>
      <c r="J5696"/>
    </row>
    <row r="5697" spans="9:10" x14ac:dyDescent="0.3">
      <c r="I5697"/>
      <c r="J5697"/>
    </row>
    <row r="5698" spans="9:10" x14ac:dyDescent="0.3">
      <c r="I5698"/>
      <c r="J5698"/>
    </row>
    <row r="5699" spans="9:10" x14ac:dyDescent="0.3">
      <c r="I5699"/>
      <c r="J5699"/>
    </row>
    <row r="5700" spans="9:10" x14ac:dyDescent="0.3">
      <c r="I5700"/>
      <c r="J5700"/>
    </row>
    <row r="5701" spans="9:10" x14ac:dyDescent="0.3">
      <c r="I5701"/>
      <c r="J5701"/>
    </row>
    <row r="5702" spans="9:10" x14ac:dyDescent="0.3">
      <c r="I5702"/>
      <c r="J5702"/>
    </row>
    <row r="5703" spans="9:10" x14ac:dyDescent="0.3">
      <c r="I5703"/>
      <c r="J5703"/>
    </row>
    <row r="5704" spans="9:10" x14ac:dyDescent="0.3">
      <c r="I5704"/>
      <c r="J5704"/>
    </row>
    <row r="5705" spans="9:10" x14ac:dyDescent="0.3">
      <c r="I5705"/>
      <c r="J5705"/>
    </row>
    <row r="5706" spans="9:10" x14ac:dyDescent="0.3">
      <c r="I5706"/>
      <c r="J5706"/>
    </row>
    <row r="5707" spans="9:10" x14ac:dyDescent="0.3">
      <c r="I5707"/>
      <c r="J5707"/>
    </row>
    <row r="5708" spans="9:10" x14ac:dyDescent="0.3">
      <c r="I5708"/>
      <c r="J5708"/>
    </row>
    <row r="5709" spans="9:10" x14ac:dyDescent="0.3">
      <c r="I5709"/>
      <c r="J5709"/>
    </row>
    <row r="5710" spans="9:10" x14ac:dyDescent="0.3">
      <c r="I5710"/>
      <c r="J5710"/>
    </row>
    <row r="5711" spans="9:10" x14ac:dyDescent="0.3">
      <c r="I5711"/>
      <c r="J5711"/>
    </row>
    <row r="5712" spans="9:10" x14ac:dyDescent="0.3">
      <c r="I5712"/>
      <c r="J5712"/>
    </row>
    <row r="5713" spans="9:10" x14ac:dyDescent="0.3">
      <c r="I5713"/>
      <c r="J5713"/>
    </row>
    <row r="5714" spans="9:10" x14ac:dyDescent="0.3">
      <c r="I5714"/>
      <c r="J5714"/>
    </row>
    <row r="5715" spans="9:10" x14ac:dyDescent="0.3">
      <c r="I5715"/>
      <c r="J5715"/>
    </row>
    <row r="5716" spans="9:10" x14ac:dyDescent="0.3">
      <c r="I5716"/>
      <c r="J5716"/>
    </row>
    <row r="5717" spans="9:10" x14ac:dyDescent="0.3">
      <c r="I5717"/>
      <c r="J5717"/>
    </row>
    <row r="5718" spans="9:10" x14ac:dyDescent="0.3">
      <c r="I5718"/>
      <c r="J5718"/>
    </row>
    <row r="5719" spans="9:10" x14ac:dyDescent="0.3">
      <c r="I5719"/>
      <c r="J5719"/>
    </row>
    <row r="5720" spans="9:10" x14ac:dyDescent="0.3">
      <c r="I5720"/>
      <c r="J5720"/>
    </row>
    <row r="5721" spans="9:10" x14ac:dyDescent="0.3">
      <c r="I5721"/>
      <c r="J5721"/>
    </row>
    <row r="5722" spans="9:10" x14ac:dyDescent="0.3">
      <c r="I5722"/>
      <c r="J5722"/>
    </row>
    <row r="5723" spans="9:10" x14ac:dyDescent="0.3">
      <c r="I5723"/>
      <c r="J5723"/>
    </row>
    <row r="5724" spans="9:10" x14ac:dyDescent="0.3">
      <c r="I5724"/>
      <c r="J5724"/>
    </row>
    <row r="5725" spans="9:10" x14ac:dyDescent="0.3">
      <c r="I5725"/>
      <c r="J5725"/>
    </row>
    <row r="5726" spans="9:10" x14ac:dyDescent="0.3">
      <c r="I5726"/>
      <c r="J5726"/>
    </row>
    <row r="5727" spans="9:10" x14ac:dyDescent="0.3">
      <c r="I5727"/>
      <c r="J5727"/>
    </row>
    <row r="5728" spans="9:10" x14ac:dyDescent="0.3">
      <c r="I5728"/>
      <c r="J5728"/>
    </row>
    <row r="5729" spans="9:10" x14ac:dyDescent="0.3">
      <c r="I5729"/>
      <c r="J5729"/>
    </row>
    <row r="5730" spans="9:10" x14ac:dyDescent="0.3">
      <c r="I5730"/>
      <c r="J5730"/>
    </row>
    <row r="5731" spans="9:10" x14ac:dyDescent="0.3">
      <c r="I5731"/>
      <c r="J5731"/>
    </row>
    <row r="5732" spans="9:10" x14ac:dyDescent="0.3">
      <c r="I5732"/>
      <c r="J5732"/>
    </row>
    <row r="5733" spans="9:10" x14ac:dyDescent="0.3">
      <c r="I5733"/>
      <c r="J5733"/>
    </row>
    <row r="5734" spans="9:10" x14ac:dyDescent="0.3">
      <c r="I5734"/>
      <c r="J5734"/>
    </row>
    <row r="5735" spans="9:10" x14ac:dyDescent="0.3">
      <c r="I5735"/>
      <c r="J5735"/>
    </row>
    <row r="5736" spans="9:10" x14ac:dyDescent="0.3">
      <c r="I5736"/>
      <c r="J5736"/>
    </row>
    <row r="5737" spans="9:10" x14ac:dyDescent="0.3">
      <c r="I5737"/>
      <c r="J5737"/>
    </row>
    <row r="5738" spans="9:10" x14ac:dyDescent="0.3">
      <c r="I5738"/>
      <c r="J5738"/>
    </row>
    <row r="5739" spans="9:10" x14ac:dyDescent="0.3">
      <c r="I5739"/>
      <c r="J5739"/>
    </row>
    <row r="5740" spans="9:10" x14ac:dyDescent="0.3">
      <c r="I5740"/>
      <c r="J5740"/>
    </row>
    <row r="5741" spans="9:10" x14ac:dyDescent="0.3">
      <c r="I5741"/>
      <c r="J5741"/>
    </row>
    <row r="5742" spans="9:10" x14ac:dyDescent="0.3">
      <c r="I5742"/>
      <c r="J5742"/>
    </row>
    <row r="5743" spans="9:10" x14ac:dyDescent="0.3">
      <c r="I5743"/>
      <c r="J5743"/>
    </row>
    <row r="5744" spans="9:10" x14ac:dyDescent="0.3">
      <c r="I5744"/>
      <c r="J5744"/>
    </row>
    <row r="5745" spans="9:10" x14ac:dyDescent="0.3">
      <c r="I5745"/>
      <c r="J5745"/>
    </row>
    <row r="5746" spans="9:10" x14ac:dyDescent="0.3">
      <c r="I5746"/>
      <c r="J5746"/>
    </row>
    <row r="5747" spans="9:10" x14ac:dyDescent="0.3">
      <c r="I5747"/>
      <c r="J5747"/>
    </row>
    <row r="5748" spans="9:10" x14ac:dyDescent="0.3">
      <c r="I5748"/>
      <c r="J5748"/>
    </row>
    <row r="5749" spans="9:10" x14ac:dyDescent="0.3">
      <c r="I5749"/>
      <c r="J5749"/>
    </row>
    <row r="5750" spans="9:10" x14ac:dyDescent="0.3">
      <c r="I5750"/>
      <c r="J5750"/>
    </row>
    <row r="5751" spans="9:10" x14ac:dyDescent="0.3">
      <c r="I5751"/>
      <c r="J5751"/>
    </row>
    <row r="5752" spans="9:10" x14ac:dyDescent="0.3">
      <c r="I5752"/>
      <c r="J5752"/>
    </row>
    <row r="5753" spans="9:10" x14ac:dyDescent="0.3">
      <c r="I5753"/>
      <c r="J5753"/>
    </row>
    <row r="5754" spans="9:10" x14ac:dyDescent="0.3">
      <c r="I5754"/>
      <c r="J5754"/>
    </row>
    <row r="5755" spans="9:10" x14ac:dyDescent="0.3">
      <c r="I5755"/>
      <c r="J5755"/>
    </row>
    <row r="5756" spans="9:10" x14ac:dyDescent="0.3">
      <c r="I5756"/>
      <c r="J5756"/>
    </row>
    <row r="5757" spans="9:10" x14ac:dyDescent="0.3">
      <c r="I5757"/>
      <c r="J5757"/>
    </row>
    <row r="5758" spans="9:10" x14ac:dyDescent="0.3">
      <c r="I5758"/>
      <c r="J5758"/>
    </row>
    <row r="5759" spans="9:10" x14ac:dyDescent="0.3">
      <c r="I5759"/>
      <c r="J5759"/>
    </row>
    <row r="5760" spans="9:10" x14ac:dyDescent="0.3">
      <c r="I5760"/>
      <c r="J5760"/>
    </row>
    <row r="5761" spans="9:10" x14ac:dyDescent="0.3">
      <c r="I5761"/>
      <c r="J5761"/>
    </row>
    <row r="5762" spans="9:10" x14ac:dyDescent="0.3">
      <c r="I5762"/>
      <c r="J5762"/>
    </row>
    <row r="5763" spans="9:10" x14ac:dyDescent="0.3">
      <c r="I5763"/>
      <c r="J5763"/>
    </row>
    <row r="5764" spans="9:10" x14ac:dyDescent="0.3">
      <c r="I5764"/>
      <c r="J5764"/>
    </row>
    <row r="5765" spans="9:10" x14ac:dyDescent="0.3">
      <c r="I5765"/>
      <c r="J5765"/>
    </row>
    <row r="5766" spans="9:10" x14ac:dyDescent="0.3">
      <c r="I5766"/>
      <c r="J5766"/>
    </row>
    <row r="5767" spans="9:10" x14ac:dyDescent="0.3">
      <c r="I5767"/>
      <c r="J5767"/>
    </row>
    <row r="5768" spans="9:10" x14ac:dyDescent="0.3">
      <c r="I5768"/>
      <c r="J5768"/>
    </row>
    <row r="5769" spans="9:10" x14ac:dyDescent="0.3">
      <c r="I5769"/>
      <c r="J5769"/>
    </row>
    <row r="5770" spans="9:10" x14ac:dyDescent="0.3">
      <c r="I5770"/>
      <c r="J5770"/>
    </row>
    <row r="5771" spans="9:10" x14ac:dyDescent="0.3">
      <c r="I5771"/>
      <c r="J5771"/>
    </row>
    <row r="5772" spans="9:10" x14ac:dyDescent="0.3">
      <c r="I5772"/>
      <c r="J5772"/>
    </row>
    <row r="5773" spans="9:10" x14ac:dyDescent="0.3">
      <c r="I5773"/>
      <c r="J5773"/>
    </row>
    <row r="5774" spans="9:10" x14ac:dyDescent="0.3">
      <c r="I5774"/>
      <c r="J5774"/>
    </row>
    <row r="5775" spans="9:10" x14ac:dyDescent="0.3">
      <c r="I5775"/>
      <c r="J5775"/>
    </row>
    <row r="5776" spans="9:10" x14ac:dyDescent="0.3">
      <c r="I5776"/>
      <c r="J5776"/>
    </row>
    <row r="5777" spans="9:10" x14ac:dyDescent="0.3">
      <c r="I5777"/>
      <c r="J5777"/>
    </row>
    <row r="5778" spans="9:10" x14ac:dyDescent="0.3">
      <c r="I5778"/>
      <c r="J5778"/>
    </row>
    <row r="5779" spans="9:10" x14ac:dyDescent="0.3">
      <c r="I5779"/>
      <c r="J5779"/>
    </row>
    <row r="5780" spans="9:10" x14ac:dyDescent="0.3">
      <c r="I5780"/>
      <c r="J5780"/>
    </row>
    <row r="5781" spans="9:10" x14ac:dyDescent="0.3">
      <c r="I5781"/>
      <c r="J5781"/>
    </row>
    <row r="5782" spans="9:10" x14ac:dyDescent="0.3">
      <c r="I5782"/>
      <c r="J5782"/>
    </row>
    <row r="5783" spans="9:10" x14ac:dyDescent="0.3">
      <c r="I5783"/>
      <c r="J5783"/>
    </row>
    <row r="5784" spans="9:10" x14ac:dyDescent="0.3">
      <c r="I5784"/>
      <c r="J5784"/>
    </row>
    <row r="5785" spans="9:10" x14ac:dyDescent="0.3">
      <c r="I5785"/>
      <c r="J5785"/>
    </row>
    <row r="5786" spans="9:10" x14ac:dyDescent="0.3">
      <c r="I5786"/>
      <c r="J5786"/>
    </row>
    <row r="5787" spans="9:10" x14ac:dyDescent="0.3">
      <c r="I5787"/>
      <c r="J5787"/>
    </row>
    <row r="5788" spans="9:10" x14ac:dyDescent="0.3">
      <c r="I5788"/>
      <c r="J5788"/>
    </row>
    <row r="5789" spans="9:10" x14ac:dyDescent="0.3">
      <c r="I5789"/>
      <c r="J5789"/>
    </row>
    <row r="5790" spans="9:10" x14ac:dyDescent="0.3">
      <c r="I5790"/>
      <c r="J5790"/>
    </row>
    <row r="5791" spans="9:10" x14ac:dyDescent="0.3">
      <c r="I5791"/>
      <c r="J5791"/>
    </row>
    <row r="5792" spans="9:10" x14ac:dyDescent="0.3">
      <c r="I5792"/>
      <c r="J5792"/>
    </row>
    <row r="5793" spans="9:10" x14ac:dyDescent="0.3">
      <c r="I5793"/>
      <c r="J5793"/>
    </row>
    <row r="5794" spans="9:10" x14ac:dyDescent="0.3">
      <c r="I5794"/>
      <c r="J5794"/>
    </row>
    <row r="5795" spans="9:10" x14ac:dyDescent="0.3">
      <c r="I5795"/>
      <c r="J5795"/>
    </row>
    <row r="5796" spans="9:10" x14ac:dyDescent="0.3">
      <c r="I5796"/>
      <c r="J5796"/>
    </row>
    <row r="5797" spans="9:10" x14ac:dyDescent="0.3">
      <c r="I5797"/>
      <c r="J5797"/>
    </row>
    <row r="5798" spans="9:10" x14ac:dyDescent="0.3">
      <c r="I5798"/>
      <c r="J5798"/>
    </row>
    <row r="5799" spans="9:10" x14ac:dyDescent="0.3">
      <c r="I5799"/>
      <c r="J5799"/>
    </row>
    <row r="5800" spans="9:10" x14ac:dyDescent="0.3">
      <c r="I5800"/>
      <c r="J5800"/>
    </row>
    <row r="5801" spans="9:10" x14ac:dyDescent="0.3">
      <c r="I5801"/>
      <c r="J5801"/>
    </row>
    <row r="5802" spans="9:10" x14ac:dyDescent="0.3">
      <c r="I5802"/>
      <c r="J5802"/>
    </row>
    <row r="5803" spans="9:10" x14ac:dyDescent="0.3">
      <c r="I5803"/>
      <c r="J5803"/>
    </row>
    <row r="5804" spans="9:10" x14ac:dyDescent="0.3">
      <c r="I5804"/>
      <c r="J5804"/>
    </row>
    <row r="5805" spans="9:10" x14ac:dyDescent="0.3">
      <c r="I5805"/>
      <c r="J5805"/>
    </row>
    <row r="5806" spans="9:10" x14ac:dyDescent="0.3">
      <c r="I5806"/>
      <c r="J5806"/>
    </row>
    <row r="5807" spans="9:10" x14ac:dyDescent="0.3">
      <c r="I5807"/>
      <c r="J5807"/>
    </row>
    <row r="5808" spans="9:10" x14ac:dyDescent="0.3">
      <c r="I5808"/>
      <c r="J5808"/>
    </row>
    <row r="5809" spans="9:10" x14ac:dyDescent="0.3">
      <c r="I5809"/>
      <c r="J5809"/>
    </row>
    <row r="5810" spans="9:10" x14ac:dyDescent="0.3">
      <c r="I5810"/>
      <c r="J5810"/>
    </row>
    <row r="5811" spans="9:10" x14ac:dyDescent="0.3">
      <c r="I5811"/>
      <c r="J5811"/>
    </row>
    <row r="5812" spans="9:10" x14ac:dyDescent="0.3">
      <c r="I5812"/>
      <c r="J5812"/>
    </row>
    <row r="5813" spans="9:10" x14ac:dyDescent="0.3">
      <c r="I5813"/>
      <c r="J5813"/>
    </row>
    <row r="5814" spans="9:10" x14ac:dyDescent="0.3">
      <c r="I5814"/>
      <c r="J5814"/>
    </row>
    <row r="5815" spans="9:10" x14ac:dyDescent="0.3">
      <c r="I5815"/>
      <c r="J5815"/>
    </row>
    <row r="5816" spans="9:10" x14ac:dyDescent="0.3">
      <c r="I5816"/>
      <c r="J5816"/>
    </row>
    <row r="5817" spans="9:10" x14ac:dyDescent="0.3">
      <c r="I5817"/>
      <c r="J5817"/>
    </row>
    <row r="5818" spans="9:10" x14ac:dyDescent="0.3">
      <c r="I5818"/>
      <c r="J5818"/>
    </row>
    <row r="5819" spans="9:10" x14ac:dyDescent="0.3">
      <c r="I5819"/>
      <c r="J5819"/>
    </row>
    <row r="5820" spans="9:10" x14ac:dyDescent="0.3">
      <c r="I5820"/>
      <c r="J5820"/>
    </row>
    <row r="5821" spans="9:10" x14ac:dyDescent="0.3">
      <c r="I5821"/>
      <c r="J5821"/>
    </row>
    <row r="5822" spans="9:10" x14ac:dyDescent="0.3">
      <c r="I5822"/>
      <c r="J5822"/>
    </row>
    <row r="5823" spans="9:10" x14ac:dyDescent="0.3">
      <c r="I5823"/>
      <c r="J5823"/>
    </row>
    <row r="5824" spans="9:10" x14ac:dyDescent="0.3">
      <c r="I5824"/>
      <c r="J5824"/>
    </row>
    <row r="5825" spans="9:10" x14ac:dyDescent="0.3">
      <c r="I5825"/>
      <c r="J5825"/>
    </row>
    <row r="5826" spans="9:10" x14ac:dyDescent="0.3">
      <c r="I5826"/>
      <c r="J5826"/>
    </row>
    <row r="5827" spans="9:10" x14ac:dyDescent="0.3">
      <c r="I5827"/>
      <c r="J5827"/>
    </row>
    <row r="5828" spans="9:10" x14ac:dyDescent="0.3">
      <c r="I5828"/>
      <c r="J5828"/>
    </row>
    <row r="5829" spans="9:10" x14ac:dyDescent="0.3">
      <c r="I5829"/>
      <c r="J5829"/>
    </row>
    <row r="5830" spans="9:10" x14ac:dyDescent="0.3">
      <c r="I5830"/>
      <c r="J5830"/>
    </row>
    <row r="5831" spans="9:10" x14ac:dyDescent="0.3">
      <c r="I5831"/>
      <c r="J5831"/>
    </row>
    <row r="5832" spans="9:10" x14ac:dyDescent="0.3">
      <c r="I5832"/>
      <c r="J5832"/>
    </row>
    <row r="5833" spans="9:10" x14ac:dyDescent="0.3">
      <c r="I5833"/>
      <c r="J5833"/>
    </row>
    <row r="5834" spans="9:10" x14ac:dyDescent="0.3">
      <c r="I5834"/>
      <c r="J5834"/>
    </row>
    <row r="5835" spans="9:10" x14ac:dyDescent="0.3">
      <c r="I5835"/>
      <c r="J5835"/>
    </row>
    <row r="5836" spans="9:10" x14ac:dyDescent="0.3">
      <c r="I5836"/>
      <c r="J5836"/>
    </row>
    <row r="5837" spans="9:10" x14ac:dyDescent="0.3">
      <c r="I5837"/>
      <c r="J5837"/>
    </row>
    <row r="5838" spans="9:10" x14ac:dyDescent="0.3">
      <c r="I5838"/>
      <c r="J5838"/>
    </row>
    <row r="5839" spans="9:10" x14ac:dyDescent="0.3">
      <c r="I5839"/>
      <c r="J5839"/>
    </row>
    <row r="5840" spans="9:10" x14ac:dyDescent="0.3">
      <c r="I5840"/>
      <c r="J5840"/>
    </row>
    <row r="5841" spans="9:10" x14ac:dyDescent="0.3">
      <c r="I5841"/>
      <c r="J5841"/>
    </row>
    <row r="5842" spans="9:10" x14ac:dyDescent="0.3">
      <c r="I5842"/>
      <c r="J5842"/>
    </row>
    <row r="5843" spans="9:10" x14ac:dyDescent="0.3">
      <c r="I5843"/>
      <c r="J5843"/>
    </row>
    <row r="5844" spans="9:10" x14ac:dyDescent="0.3">
      <c r="I5844"/>
      <c r="J5844"/>
    </row>
    <row r="5845" spans="9:10" x14ac:dyDescent="0.3">
      <c r="I5845"/>
      <c r="J5845"/>
    </row>
    <row r="5846" spans="9:10" x14ac:dyDescent="0.3">
      <c r="I5846"/>
      <c r="J5846"/>
    </row>
    <row r="5847" spans="9:10" x14ac:dyDescent="0.3">
      <c r="I5847"/>
      <c r="J5847"/>
    </row>
    <row r="5848" spans="9:10" x14ac:dyDescent="0.3">
      <c r="I5848"/>
      <c r="J5848"/>
    </row>
    <row r="5849" spans="9:10" x14ac:dyDescent="0.3">
      <c r="I5849"/>
      <c r="J5849"/>
    </row>
    <row r="5850" spans="9:10" x14ac:dyDescent="0.3">
      <c r="I5850"/>
      <c r="J5850"/>
    </row>
    <row r="5851" spans="9:10" x14ac:dyDescent="0.3">
      <c r="I5851"/>
      <c r="J5851"/>
    </row>
    <row r="5852" spans="9:10" x14ac:dyDescent="0.3">
      <c r="I5852"/>
      <c r="J5852"/>
    </row>
    <row r="5853" spans="9:10" x14ac:dyDescent="0.3">
      <c r="I5853"/>
      <c r="J5853"/>
    </row>
    <row r="5854" spans="9:10" x14ac:dyDescent="0.3">
      <c r="I5854"/>
      <c r="J5854"/>
    </row>
    <row r="5855" spans="9:10" x14ac:dyDescent="0.3">
      <c r="I5855"/>
      <c r="J5855"/>
    </row>
    <row r="5856" spans="9:10" x14ac:dyDescent="0.3">
      <c r="I5856"/>
      <c r="J5856"/>
    </row>
    <row r="5857" spans="9:10" x14ac:dyDescent="0.3">
      <c r="I5857"/>
      <c r="J5857"/>
    </row>
    <row r="5858" spans="9:10" x14ac:dyDescent="0.3">
      <c r="I5858"/>
      <c r="J5858"/>
    </row>
    <row r="5859" spans="9:10" x14ac:dyDescent="0.3">
      <c r="I5859"/>
      <c r="J5859"/>
    </row>
    <row r="5860" spans="9:10" x14ac:dyDescent="0.3">
      <c r="I5860"/>
      <c r="J5860"/>
    </row>
    <row r="5861" spans="9:10" x14ac:dyDescent="0.3">
      <c r="I5861"/>
      <c r="J5861"/>
    </row>
    <row r="5862" spans="9:10" x14ac:dyDescent="0.3">
      <c r="I5862"/>
      <c r="J5862"/>
    </row>
    <row r="5863" spans="9:10" x14ac:dyDescent="0.3">
      <c r="I5863"/>
      <c r="J5863"/>
    </row>
    <row r="5864" spans="9:10" x14ac:dyDescent="0.3">
      <c r="I5864"/>
      <c r="J5864"/>
    </row>
    <row r="5865" spans="9:10" x14ac:dyDescent="0.3">
      <c r="I5865"/>
      <c r="J5865"/>
    </row>
    <row r="5866" spans="9:10" x14ac:dyDescent="0.3">
      <c r="I5866"/>
      <c r="J5866"/>
    </row>
    <row r="5867" spans="9:10" x14ac:dyDescent="0.3">
      <c r="I5867"/>
      <c r="J5867"/>
    </row>
    <row r="5868" spans="9:10" x14ac:dyDescent="0.3">
      <c r="I5868"/>
      <c r="J5868"/>
    </row>
    <row r="5869" spans="9:10" x14ac:dyDescent="0.3">
      <c r="I5869"/>
      <c r="J5869"/>
    </row>
    <row r="5870" spans="9:10" x14ac:dyDescent="0.3">
      <c r="I5870"/>
      <c r="J5870"/>
    </row>
    <row r="5871" spans="9:10" x14ac:dyDescent="0.3">
      <c r="I5871"/>
      <c r="J5871"/>
    </row>
    <row r="5872" spans="9:10" x14ac:dyDescent="0.3">
      <c r="I5872"/>
      <c r="J5872"/>
    </row>
    <row r="5873" spans="9:10" x14ac:dyDescent="0.3">
      <c r="I5873"/>
      <c r="J5873"/>
    </row>
    <row r="5874" spans="9:10" x14ac:dyDescent="0.3">
      <c r="I5874"/>
      <c r="J5874"/>
    </row>
    <row r="5875" spans="9:10" x14ac:dyDescent="0.3">
      <c r="I5875"/>
      <c r="J5875"/>
    </row>
    <row r="5876" spans="9:10" x14ac:dyDescent="0.3">
      <c r="I5876"/>
      <c r="J5876"/>
    </row>
    <row r="5877" spans="9:10" x14ac:dyDescent="0.3">
      <c r="I5877"/>
      <c r="J5877"/>
    </row>
    <row r="5878" spans="9:10" x14ac:dyDescent="0.3">
      <c r="I5878"/>
      <c r="J5878"/>
    </row>
    <row r="5879" spans="9:10" x14ac:dyDescent="0.3">
      <c r="I5879"/>
      <c r="J5879"/>
    </row>
    <row r="5880" spans="9:10" x14ac:dyDescent="0.3">
      <c r="I5880"/>
      <c r="J5880"/>
    </row>
    <row r="5881" spans="9:10" x14ac:dyDescent="0.3">
      <c r="I5881"/>
      <c r="J5881"/>
    </row>
    <row r="5882" spans="9:10" x14ac:dyDescent="0.3">
      <c r="I5882"/>
      <c r="J5882"/>
    </row>
    <row r="5883" spans="9:10" x14ac:dyDescent="0.3">
      <c r="I5883"/>
      <c r="J5883"/>
    </row>
    <row r="5884" spans="9:10" x14ac:dyDescent="0.3">
      <c r="I5884"/>
      <c r="J5884"/>
    </row>
    <row r="5885" spans="9:10" x14ac:dyDescent="0.3">
      <c r="I5885"/>
      <c r="J5885"/>
    </row>
    <row r="5886" spans="9:10" x14ac:dyDescent="0.3">
      <c r="I5886"/>
      <c r="J5886"/>
    </row>
    <row r="5887" spans="9:10" x14ac:dyDescent="0.3">
      <c r="I5887"/>
      <c r="J5887"/>
    </row>
    <row r="5888" spans="9:10" x14ac:dyDescent="0.3">
      <c r="I5888"/>
      <c r="J5888"/>
    </row>
    <row r="5889" spans="9:10" x14ac:dyDescent="0.3">
      <c r="I5889"/>
      <c r="J5889"/>
    </row>
    <row r="5890" spans="9:10" x14ac:dyDescent="0.3">
      <c r="I5890"/>
      <c r="J5890"/>
    </row>
    <row r="5891" spans="9:10" x14ac:dyDescent="0.3">
      <c r="I5891"/>
      <c r="J5891"/>
    </row>
    <row r="5892" spans="9:10" x14ac:dyDescent="0.3">
      <c r="I5892"/>
      <c r="J5892"/>
    </row>
    <row r="5893" spans="9:10" x14ac:dyDescent="0.3">
      <c r="I5893"/>
      <c r="J5893"/>
    </row>
    <row r="5894" spans="9:10" x14ac:dyDescent="0.3">
      <c r="I5894"/>
      <c r="J5894"/>
    </row>
    <row r="5895" spans="9:10" x14ac:dyDescent="0.3">
      <c r="I5895"/>
      <c r="J5895"/>
    </row>
    <row r="5896" spans="9:10" x14ac:dyDescent="0.3">
      <c r="I5896"/>
      <c r="J5896"/>
    </row>
    <row r="5897" spans="9:10" x14ac:dyDescent="0.3">
      <c r="I5897"/>
      <c r="J5897"/>
    </row>
    <row r="5898" spans="9:10" x14ac:dyDescent="0.3">
      <c r="I5898"/>
      <c r="J5898"/>
    </row>
    <row r="5899" spans="9:10" x14ac:dyDescent="0.3">
      <c r="I5899"/>
      <c r="J5899"/>
    </row>
    <row r="5900" spans="9:10" x14ac:dyDescent="0.3">
      <c r="I5900"/>
      <c r="J5900"/>
    </row>
    <row r="5901" spans="9:10" x14ac:dyDescent="0.3">
      <c r="I5901"/>
      <c r="J5901"/>
    </row>
    <row r="5902" spans="9:10" x14ac:dyDescent="0.3">
      <c r="I5902"/>
      <c r="J5902"/>
    </row>
    <row r="5903" spans="9:10" x14ac:dyDescent="0.3">
      <c r="I5903"/>
      <c r="J5903"/>
    </row>
    <row r="5904" spans="9:10" x14ac:dyDescent="0.3">
      <c r="I5904"/>
      <c r="J5904"/>
    </row>
    <row r="5905" spans="9:10" x14ac:dyDescent="0.3">
      <c r="I5905"/>
      <c r="J5905"/>
    </row>
    <row r="5906" spans="9:10" x14ac:dyDescent="0.3">
      <c r="I5906"/>
      <c r="J5906"/>
    </row>
    <row r="5907" spans="9:10" x14ac:dyDescent="0.3">
      <c r="I5907"/>
      <c r="J5907"/>
    </row>
    <row r="5908" spans="9:10" x14ac:dyDescent="0.3">
      <c r="I5908"/>
      <c r="J5908"/>
    </row>
    <row r="5909" spans="9:10" x14ac:dyDescent="0.3">
      <c r="I5909"/>
      <c r="J5909"/>
    </row>
    <row r="5910" spans="9:10" x14ac:dyDescent="0.3">
      <c r="I5910"/>
      <c r="J5910"/>
    </row>
    <row r="5911" spans="9:10" x14ac:dyDescent="0.3">
      <c r="I5911"/>
      <c r="J5911"/>
    </row>
    <row r="5912" spans="9:10" x14ac:dyDescent="0.3">
      <c r="I5912"/>
      <c r="J5912"/>
    </row>
    <row r="5913" spans="9:10" x14ac:dyDescent="0.3">
      <c r="I5913"/>
      <c r="J5913"/>
    </row>
    <row r="5914" spans="9:10" x14ac:dyDescent="0.3">
      <c r="I5914"/>
      <c r="J5914"/>
    </row>
    <row r="5915" spans="9:10" x14ac:dyDescent="0.3">
      <c r="I5915"/>
      <c r="J5915"/>
    </row>
    <row r="5916" spans="9:10" x14ac:dyDescent="0.3">
      <c r="I5916"/>
      <c r="J5916"/>
    </row>
    <row r="5917" spans="9:10" x14ac:dyDescent="0.3">
      <c r="I5917"/>
      <c r="J5917"/>
    </row>
    <row r="5918" spans="9:10" x14ac:dyDescent="0.3">
      <c r="I5918"/>
      <c r="J5918"/>
    </row>
    <row r="5919" spans="9:10" x14ac:dyDescent="0.3">
      <c r="I5919"/>
      <c r="J5919"/>
    </row>
    <row r="5920" spans="9:10" x14ac:dyDescent="0.3">
      <c r="I5920"/>
      <c r="J5920"/>
    </row>
    <row r="5921" spans="9:10" x14ac:dyDescent="0.3">
      <c r="I5921"/>
      <c r="J5921"/>
    </row>
    <row r="5922" spans="9:10" x14ac:dyDescent="0.3">
      <c r="I5922"/>
      <c r="J5922"/>
    </row>
    <row r="5923" spans="9:10" x14ac:dyDescent="0.3">
      <c r="I5923"/>
      <c r="J5923"/>
    </row>
    <row r="5924" spans="9:10" x14ac:dyDescent="0.3">
      <c r="I5924"/>
      <c r="J5924"/>
    </row>
    <row r="5925" spans="9:10" x14ac:dyDescent="0.3">
      <c r="I5925"/>
      <c r="J5925"/>
    </row>
    <row r="5926" spans="9:10" x14ac:dyDescent="0.3">
      <c r="I5926"/>
      <c r="J5926"/>
    </row>
    <row r="5927" spans="9:10" x14ac:dyDescent="0.3">
      <c r="I5927"/>
      <c r="J5927"/>
    </row>
    <row r="5928" spans="9:10" x14ac:dyDescent="0.3">
      <c r="I5928"/>
      <c r="J5928"/>
    </row>
    <row r="5929" spans="9:10" x14ac:dyDescent="0.3">
      <c r="I5929"/>
      <c r="J5929"/>
    </row>
    <row r="5930" spans="9:10" x14ac:dyDescent="0.3">
      <c r="I5930"/>
      <c r="J5930"/>
    </row>
    <row r="5931" spans="9:10" x14ac:dyDescent="0.3">
      <c r="I5931"/>
      <c r="J5931"/>
    </row>
    <row r="5932" spans="9:10" x14ac:dyDescent="0.3">
      <c r="I5932"/>
      <c r="J5932"/>
    </row>
    <row r="5933" spans="9:10" x14ac:dyDescent="0.3">
      <c r="I5933"/>
      <c r="J5933"/>
    </row>
    <row r="5934" spans="9:10" x14ac:dyDescent="0.3">
      <c r="I5934"/>
      <c r="J5934"/>
    </row>
    <row r="5935" spans="9:10" x14ac:dyDescent="0.3">
      <c r="I5935"/>
      <c r="J5935"/>
    </row>
    <row r="5936" spans="9:10" x14ac:dyDescent="0.3">
      <c r="I5936"/>
      <c r="J5936"/>
    </row>
    <row r="5937" spans="9:10" x14ac:dyDescent="0.3">
      <c r="I5937"/>
      <c r="J5937"/>
    </row>
    <row r="5938" spans="9:10" x14ac:dyDescent="0.3">
      <c r="I5938"/>
      <c r="J5938"/>
    </row>
    <row r="5939" spans="9:10" x14ac:dyDescent="0.3">
      <c r="I5939"/>
      <c r="J5939"/>
    </row>
    <row r="5940" spans="9:10" x14ac:dyDescent="0.3">
      <c r="I5940"/>
      <c r="J5940"/>
    </row>
    <row r="5941" spans="9:10" x14ac:dyDescent="0.3">
      <c r="I5941"/>
      <c r="J5941"/>
    </row>
    <row r="5942" spans="9:10" x14ac:dyDescent="0.3">
      <c r="I5942"/>
      <c r="J5942"/>
    </row>
    <row r="5943" spans="9:10" x14ac:dyDescent="0.3">
      <c r="I5943"/>
      <c r="J5943"/>
    </row>
    <row r="5944" spans="9:10" x14ac:dyDescent="0.3">
      <c r="I5944"/>
      <c r="J5944"/>
    </row>
    <row r="5945" spans="9:10" x14ac:dyDescent="0.3">
      <c r="I5945"/>
      <c r="J5945"/>
    </row>
    <row r="5946" spans="9:10" x14ac:dyDescent="0.3">
      <c r="I5946"/>
      <c r="J5946"/>
    </row>
    <row r="5947" spans="9:10" x14ac:dyDescent="0.3">
      <c r="I5947"/>
      <c r="J5947"/>
    </row>
    <row r="5948" spans="9:10" x14ac:dyDescent="0.3">
      <c r="I5948"/>
      <c r="J5948"/>
    </row>
    <row r="5949" spans="9:10" x14ac:dyDescent="0.3">
      <c r="I5949"/>
      <c r="J5949"/>
    </row>
    <row r="5950" spans="9:10" x14ac:dyDescent="0.3">
      <c r="I5950"/>
      <c r="J5950"/>
    </row>
    <row r="5951" spans="9:10" x14ac:dyDescent="0.3">
      <c r="I5951"/>
      <c r="J5951"/>
    </row>
    <row r="5952" spans="9:10" x14ac:dyDescent="0.3">
      <c r="I5952"/>
      <c r="J5952"/>
    </row>
    <row r="5953" spans="9:10" x14ac:dyDescent="0.3">
      <c r="I5953"/>
      <c r="J5953"/>
    </row>
    <row r="5954" spans="9:10" x14ac:dyDescent="0.3">
      <c r="I5954"/>
      <c r="J5954"/>
    </row>
    <row r="5955" spans="9:10" x14ac:dyDescent="0.3">
      <c r="I5955"/>
      <c r="J5955"/>
    </row>
    <row r="5956" spans="9:10" x14ac:dyDescent="0.3">
      <c r="I5956"/>
      <c r="J5956"/>
    </row>
    <row r="5957" spans="9:10" x14ac:dyDescent="0.3">
      <c r="I5957"/>
      <c r="J5957"/>
    </row>
    <row r="5958" spans="9:10" x14ac:dyDescent="0.3">
      <c r="I5958"/>
      <c r="J5958"/>
    </row>
    <row r="5959" spans="9:10" x14ac:dyDescent="0.3">
      <c r="I5959"/>
      <c r="J5959"/>
    </row>
    <row r="5960" spans="9:10" x14ac:dyDescent="0.3">
      <c r="I5960"/>
      <c r="J5960"/>
    </row>
    <row r="5961" spans="9:10" x14ac:dyDescent="0.3">
      <c r="I5961"/>
      <c r="J5961"/>
    </row>
    <row r="5962" spans="9:10" x14ac:dyDescent="0.3">
      <c r="I5962"/>
      <c r="J5962"/>
    </row>
    <row r="5963" spans="9:10" x14ac:dyDescent="0.3">
      <c r="I5963"/>
      <c r="J5963"/>
    </row>
    <row r="5964" spans="9:10" x14ac:dyDescent="0.3">
      <c r="I5964"/>
      <c r="J5964"/>
    </row>
    <row r="5965" spans="9:10" x14ac:dyDescent="0.3">
      <c r="I5965"/>
      <c r="J5965"/>
    </row>
    <row r="5966" spans="9:10" x14ac:dyDescent="0.3">
      <c r="I5966"/>
      <c r="J5966"/>
    </row>
    <row r="5967" spans="9:10" x14ac:dyDescent="0.3">
      <c r="I5967"/>
      <c r="J5967"/>
    </row>
    <row r="5968" spans="9:10" x14ac:dyDescent="0.3">
      <c r="I5968"/>
      <c r="J5968"/>
    </row>
    <row r="5969" spans="9:10" x14ac:dyDescent="0.3">
      <c r="I5969"/>
      <c r="J5969"/>
    </row>
    <row r="5970" spans="9:10" x14ac:dyDescent="0.3">
      <c r="I5970"/>
      <c r="J5970"/>
    </row>
    <row r="5971" spans="9:10" x14ac:dyDescent="0.3">
      <c r="I5971"/>
      <c r="J5971"/>
    </row>
    <row r="5972" spans="9:10" x14ac:dyDescent="0.3">
      <c r="I5972"/>
      <c r="J5972"/>
    </row>
    <row r="5973" spans="9:10" x14ac:dyDescent="0.3">
      <c r="I5973"/>
      <c r="J5973"/>
    </row>
    <row r="5974" spans="9:10" x14ac:dyDescent="0.3">
      <c r="I5974"/>
      <c r="J5974"/>
    </row>
    <row r="5975" spans="9:10" x14ac:dyDescent="0.3">
      <c r="I5975"/>
      <c r="J5975"/>
    </row>
    <row r="5976" spans="9:10" x14ac:dyDescent="0.3">
      <c r="I5976"/>
      <c r="J5976"/>
    </row>
    <row r="5977" spans="9:10" x14ac:dyDescent="0.3">
      <c r="I5977"/>
      <c r="J5977"/>
    </row>
    <row r="5978" spans="9:10" x14ac:dyDescent="0.3">
      <c r="I5978"/>
      <c r="J5978"/>
    </row>
    <row r="5979" spans="9:10" x14ac:dyDescent="0.3">
      <c r="I5979"/>
      <c r="J5979"/>
    </row>
    <row r="5980" spans="9:10" x14ac:dyDescent="0.3">
      <c r="I5980"/>
      <c r="J5980"/>
    </row>
    <row r="5981" spans="9:10" x14ac:dyDescent="0.3">
      <c r="I5981"/>
      <c r="J5981"/>
    </row>
    <row r="5982" spans="9:10" x14ac:dyDescent="0.3">
      <c r="I5982"/>
      <c r="J5982"/>
    </row>
    <row r="5983" spans="9:10" x14ac:dyDescent="0.3">
      <c r="I5983"/>
      <c r="J5983"/>
    </row>
    <row r="5984" spans="9:10" x14ac:dyDescent="0.3">
      <c r="I5984"/>
      <c r="J5984"/>
    </row>
    <row r="5985" spans="9:10" x14ac:dyDescent="0.3">
      <c r="I5985"/>
      <c r="J5985"/>
    </row>
    <row r="5986" spans="9:10" x14ac:dyDescent="0.3">
      <c r="I5986"/>
      <c r="J5986"/>
    </row>
    <row r="5987" spans="9:10" x14ac:dyDescent="0.3">
      <c r="I5987"/>
      <c r="J5987"/>
    </row>
    <row r="5988" spans="9:10" x14ac:dyDescent="0.3">
      <c r="I5988"/>
      <c r="J5988"/>
    </row>
    <row r="5989" spans="9:10" x14ac:dyDescent="0.3">
      <c r="I5989"/>
      <c r="J5989"/>
    </row>
    <row r="5990" spans="9:10" x14ac:dyDescent="0.3">
      <c r="I5990"/>
      <c r="J5990"/>
    </row>
    <row r="5991" spans="9:10" x14ac:dyDescent="0.3">
      <c r="I5991"/>
      <c r="J5991"/>
    </row>
    <row r="5992" spans="9:10" x14ac:dyDescent="0.3">
      <c r="I5992"/>
      <c r="J5992"/>
    </row>
    <row r="5993" spans="9:10" x14ac:dyDescent="0.3">
      <c r="I5993"/>
      <c r="J5993"/>
    </row>
    <row r="5994" spans="9:10" x14ac:dyDescent="0.3">
      <c r="I5994"/>
      <c r="J5994"/>
    </row>
    <row r="5995" spans="9:10" x14ac:dyDescent="0.3">
      <c r="I5995"/>
      <c r="J5995"/>
    </row>
    <row r="5996" spans="9:10" x14ac:dyDescent="0.3">
      <c r="I5996"/>
      <c r="J5996"/>
    </row>
    <row r="5997" spans="9:10" x14ac:dyDescent="0.3">
      <c r="I5997"/>
      <c r="J5997"/>
    </row>
    <row r="5998" spans="9:10" x14ac:dyDescent="0.3">
      <c r="I5998"/>
      <c r="J5998"/>
    </row>
    <row r="5999" spans="9:10" x14ac:dyDescent="0.3">
      <c r="I5999"/>
      <c r="J5999"/>
    </row>
    <row r="6000" spans="9:10" x14ac:dyDescent="0.3">
      <c r="I6000"/>
      <c r="J6000"/>
    </row>
    <row r="6001" spans="9:10" x14ac:dyDescent="0.3">
      <c r="I6001"/>
      <c r="J6001"/>
    </row>
    <row r="6002" spans="9:10" x14ac:dyDescent="0.3">
      <c r="I6002"/>
      <c r="J6002"/>
    </row>
    <row r="6003" spans="9:10" x14ac:dyDescent="0.3">
      <c r="I6003"/>
      <c r="J6003"/>
    </row>
    <row r="6004" spans="9:10" x14ac:dyDescent="0.3">
      <c r="I6004"/>
      <c r="J6004"/>
    </row>
    <row r="6005" spans="9:10" x14ac:dyDescent="0.3">
      <c r="I6005"/>
      <c r="J6005"/>
    </row>
    <row r="6006" spans="9:10" x14ac:dyDescent="0.3">
      <c r="I6006"/>
      <c r="J6006"/>
    </row>
    <row r="6007" spans="9:10" x14ac:dyDescent="0.3">
      <c r="I6007"/>
      <c r="J6007"/>
    </row>
    <row r="6008" spans="9:10" x14ac:dyDescent="0.3">
      <c r="I6008"/>
      <c r="J6008"/>
    </row>
    <row r="6009" spans="9:10" x14ac:dyDescent="0.3">
      <c r="I6009"/>
      <c r="J6009"/>
    </row>
    <row r="6010" spans="9:10" x14ac:dyDescent="0.3">
      <c r="I6010"/>
      <c r="J6010"/>
    </row>
    <row r="6011" spans="9:10" x14ac:dyDescent="0.3">
      <c r="I6011"/>
      <c r="J6011"/>
    </row>
    <row r="6012" spans="9:10" x14ac:dyDescent="0.3">
      <c r="I6012"/>
      <c r="J6012"/>
    </row>
    <row r="6013" spans="9:10" x14ac:dyDescent="0.3">
      <c r="I6013"/>
      <c r="J6013"/>
    </row>
    <row r="6014" spans="9:10" x14ac:dyDescent="0.3">
      <c r="I6014"/>
      <c r="J6014"/>
    </row>
    <row r="6015" spans="9:10" x14ac:dyDescent="0.3">
      <c r="I6015"/>
      <c r="J6015"/>
    </row>
    <row r="6016" spans="9:10" x14ac:dyDescent="0.3">
      <c r="I6016"/>
      <c r="J6016"/>
    </row>
    <row r="6017" spans="9:10" x14ac:dyDescent="0.3">
      <c r="I6017"/>
      <c r="J6017"/>
    </row>
    <row r="6018" spans="9:10" x14ac:dyDescent="0.3">
      <c r="I6018"/>
      <c r="J6018"/>
    </row>
    <row r="6019" spans="9:10" x14ac:dyDescent="0.3">
      <c r="I6019"/>
      <c r="J6019"/>
    </row>
    <row r="6020" spans="9:10" x14ac:dyDescent="0.3">
      <c r="I6020"/>
      <c r="J6020"/>
    </row>
    <row r="6021" spans="9:10" x14ac:dyDescent="0.3">
      <c r="I6021"/>
      <c r="J6021"/>
    </row>
    <row r="6022" spans="9:10" x14ac:dyDescent="0.3">
      <c r="I6022"/>
      <c r="J6022"/>
    </row>
    <row r="6023" spans="9:10" x14ac:dyDescent="0.3">
      <c r="I6023"/>
      <c r="J6023"/>
    </row>
    <row r="6024" spans="9:10" x14ac:dyDescent="0.3">
      <c r="I6024"/>
      <c r="J6024"/>
    </row>
    <row r="6025" spans="9:10" x14ac:dyDescent="0.3">
      <c r="I6025"/>
      <c r="J6025"/>
    </row>
    <row r="6026" spans="9:10" x14ac:dyDescent="0.3">
      <c r="I6026"/>
      <c r="J6026"/>
    </row>
    <row r="6027" spans="9:10" x14ac:dyDescent="0.3">
      <c r="I6027"/>
      <c r="J6027"/>
    </row>
    <row r="6028" spans="9:10" x14ac:dyDescent="0.3">
      <c r="I6028"/>
      <c r="J6028"/>
    </row>
    <row r="6029" spans="9:10" x14ac:dyDescent="0.3">
      <c r="I6029"/>
      <c r="J6029"/>
    </row>
    <row r="6030" spans="9:10" x14ac:dyDescent="0.3">
      <c r="I6030"/>
      <c r="J6030"/>
    </row>
    <row r="6031" spans="9:10" x14ac:dyDescent="0.3">
      <c r="I6031"/>
      <c r="J6031"/>
    </row>
    <row r="6032" spans="9:10" x14ac:dyDescent="0.3">
      <c r="I6032"/>
      <c r="J6032"/>
    </row>
    <row r="6033" spans="9:10" x14ac:dyDescent="0.3">
      <c r="I6033"/>
      <c r="J6033"/>
    </row>
    <row r="6034" spans="9:10" x14ac:dyDescent="0.3">
      <c r="I6034"/>
      <c r="J6034"/>
    </row>
    <row r="6035" spans="9:10" x14ac:dyDescent="0.3">
      <c r="I6035"/>
      <c r="J6035"/>
    </row>
    <row r="6036" spans="9:10" x14ac:dyDescent="0.3">
      <c r="I6036"/>
      <c r="J6036"/>
    </row>
    <row r="6037" spans="9:10" x14ac:dyDescent="0.3">
      <c r="I6037"/>
      <c r="J6037"/>
    </row>
    <row r="6038" spans="9:10" x14ac:dyDescent="0.3">
      <c r="I6038"/>
      <c r="J6038"/>
    </row>
    <row r="6039" spans="9:10" x14ac:dyDescent="0.3">
      <c r="I6039"/>
      <c r="J6039"/>
    </row>
    <row r="6040" spans="9:10" x14ac:dyDescent="0.3">
      <c r="I6040"/>
      <c r="J6040"/>
    </row>
    <row r="6041" spans="9:10" x14ac:dyDescent="0.3">
      <c r="I6041"/>
      <c r="J6041"/>
    </row>
    <row r="6042" spans="9:10" x14ac:dyDescent="0.3">
      <c r="I6042"/>
      <c r="J6042"/>
    </row>
    <row r="6043" spans="9:10" x14ac:dyDescent="0.3">
      <c r="I6043"/>
      <c r="J6043"/>
    </row>
    <row r="6044" spans="9:10" x14ac:dyDescent="0.3">
      <c r="I6044"/>
      <c r="J6044"/>
    </row>
    <row r="6045" spans="9:10" x14ac:dyDescent="0.3">
      <c r="I6045"/>
      <c r="J6045"/>
    </row>
    <row r="6046" spans="9:10" x14ac:dyDescent="0.3">
      <c r="I6046"/>
      <c r="J6046"/>
    </row>
    <row r="6047" spans="9:10" x14ac:dyDescent="0.3">
      <c r="I6047"/>
      <c r="J6047"/>
    </row>
    <row r="6048" spans="9:10" x14ac:dyDescent="0.3">
      <c r="I6048"/>
      <c r="J6048"/>
    </row>
    <row r="6049" spans="9:10" x14ac:dyDescent="0.3">
      <c r="I6049"/>
      <c r="J6049"/>
    </row>
    <row r="6050" spans="9:10" x14ac:dyDescent="0.3">
      <c r="I6050"/>
      <c r="J6050"/>
    </row>
    <row r="6051" spans="9:10" x14ac:dyDescent="0.3">
      <c r="I6051"/>
      <c r="J6051"/>
    </row>
    <row r="6052" spans="9:10" x14ac:dyDescent="0.3">
      <c r="I6052"/>
      <c r="J6052"/>
    </row>
    <row r="6053" spans="9:10" x14ac:dyDescent="0.3">
      <c r="I6053"/>
      <c r="J6053"/>
    </row>
    <row r="6054" spans="9:10" x14ac:dyDescent="0.3">
      <c r="I6054"/>
      <c r="J6054"/>
    </row>
    <row r="6055" spans="9:10" x14ac:dyDescent="0.3">
      <c r="I6055"/>
      <c r="J6055"/>
    </row>
    <row r="6056" spans="9:10" x14ac:dyDescent="0.3">
      <c r="I6056"/>
      <c r="J6056"/>
    </row>
    <row r="6057" spans="9:10" x14ac:dyDescent="0.3">
      <c r="I6057"/>
      <c r="J6057"/>
    </row>
    <row r="6058" spans="9:10" x14ac:dyDescent="0.3">
      <c r="I6058"/>
      <c r="J6058"/>
    </row>
    <row r="6059" spans="9:10" x14ac:dyDescent="0.3">
      <c r="I6059"/>
      <c r="J6059"/>
    </row>
    <row r="6060" spans="9:10" x14ac:dyDescent="0.3">
      <c r="I6060"/>
      <c r="J6060"/>
    </row>
    <row r="6061" spans="9:10" x14ac:dyDescent="0.3">
      <c r="I6061"/>
      <c r="J6061"/>
    </row>
    <row r="6062" spans="9:10" x14ac:dyDescent="0.3">
      <c r="I6062"/>
      <c r="J6062"/>
    </row>
    <row r="6063" spans="9:10" x14ac:dyDescent="0.3">
      <c r="I6063"/>
      <c r="J6063"/>
    </row>
    <row r="6064" spans="9:10" x14ac:dyDescent="0.3">
      <c r="I6064"/>
      <c r="J6064"/>
    </row>
    <row r="6065" spans="9:10" x14ac:dyDescent="0.3">
      <c r="I6065"/>
      <c r="J6065"/>
    </row>
    <row r="6066" spans="9:10" x14ac:dyDescent="0.3">
      <c r="I6066"/>
      <c r="J6066"/>
    </row>
    <row r="6067" spans="9:10" x14ac:dyDescent="0.3">
      <c r="I6067"/>
      <c r="J6067"/>
    </row>
    <row r="6068" spans="9:10" x14ac:dyDescent="0.3">
      <c r="I6068"/>
      <c r="J6068"/>
    </row>
    <row r="6069" spans="9:10" x14ac:dyDescent="0.3">
      <c r="I6069"/>
      <c r="J6069"/>
    </row>
    <row r="6070" spans="9:10" x14ac:dyDescent="0.3">
      <c r="I6070"/>
      <c r="J6070"/>
    </row>
    <row r="6071" spans="9:10" x14ac:dyDescent="0.3">
      <c r="I6071"/>
      <c r="J6071"/>
    </row>
    <row r="6072" spans="9:10" x14ac:dyDescent="0.3">
      <c r="I6072"/>
      <c r="J6072"/>
    </row>
    <row r="6073" spans="9:10" x14ac:dyDescent="0.3">
      <c r="I6073"/>
      <c r="J6073"/>
    </row>
    <row r="6074" spans="9:10" x14ac:dyDescent="0.3">
      <c r="I6074"/>
      <c r="J6074"/>
    </row>
    <row r="6075" spans="9:10" x14ac:dyDescent="0.3">
      <c r="I6075"/>
      <c r="J6075"/>
    </row>
    <row r="6076" spans="9:10" x14ac:dyDescent="0.3">
      <c r="I6076"/>
      <c r="J6076"/>
    </row>
    <row r="6077" spans="9:10" x14ac:dyDescent="0.3">
      <c r="I6077"/>
      <c r="J6077"/>
    </row>
    <row r="6078" spans="9:10" x14ac:dyDescent="0.3">
      <c r="I6078"/>
      <c r="J6078"/>
    </row>
    <row r="6079" spans="9:10" x14ac:dyDescent="0.3">
      <c r="I6079"/>
      <c r="J6079"/>
    </row>
    <row r="6080" spans="9:10" x14ac:dyDescent="0.3">
      <c r="I6080"/>
      <c r="J6080"/>
    </row>
    <row r="6081" spans="9:10" x14ac:dyDescent="0.3">
      <c r="I6081"/>
      <c r="J6081"/>
    </row>
    <row r="6082" spans="9:10" x14ac:dyDescent="0.3">
      <c r="I6082"/>
      <c r="J6082"/>
    </row>
    <row r="6083" spans="9:10" x14ac:dyDescent="0.3">
      <c r="I6083"/>
      <c r="J6083"/>
    </row>
    <row r="6084" spans="9:10" x14ac:dyDescent="0.3">
      <c r="I6084"/>
      <c r="J6084"/>
    </row>
    <row r="6085" spans="9:10" x14ac:dyDescent="0.3">
      <c r="I6085"/>
      <c r="J6085"/>
    </row>
    <row r="6086" spans="9:10" x14ac:dyDescent="0.3">
      <c r="I6086"/>
      <c r="J6086"/>
    </row>
    <row r="6087" spans="9:10" x14ac:dyDescent="0.3">
      <c r="I6087"/>
      <c r="J6087"/>
    </row>
    <row r="6088" spans="9:10" x14ac:dyDescent="0.3">
      <c r="I6088"/>
      <c r="J6088"/>
    </row>
    <row r="6089" spans="9:10" x14ac:dyDescent="0.3">
      <c r="I6089"/>
      <c r="J6089"/>
    </row>
    <row r="6090" spans="9:10" x14ac:dyDescent="0.3">
      <c r="I6090"/>
      <c r="J6090"/>
    </row>
    <row r="6091" spans="9:10" x14ac:dyDescent="0.3">
      <c r="I6091"/>
      <c r="J6091"/>
    </row>
    <row r="6092" spans="9:10" x14ac:dyDescent="0.3">
      <c r="I6092"/>
      <c r="J6092"/>
    </row>
    <row r="6093" spans="9:10" x14ac:dyDescent="0.3">
      <c r="I6093"/>
      <c r="J6093"/>
    </row>
    <row r="6094" spans="9:10" x14ac:dyDescent="0.3">
      <c r="I6094"/>
      <c r="J6094"/>
    </row>
    <row r="6095" spans="9:10" x14ac:dyDescent="0.3">
      <c r="I6095"/>
      <c r="J6095"/>
    </row>
    <row r="6096" spans="9:10" x14ac:dyDescent="0.3">
      <c r="I6096"/>
      <c r="J6096"/>
    </row>
    <row r="6097" spans="9:10" x14ac:dyDescent="0.3">
      <c r="I6097"/>
      <c r="J6097"/>
    </row>
    <row r="6098" spans="9:10" x14ac:dyDescent="0.3">
      <c r="I6098"/>
      <c r="J6098"/>
    </row>
    <row r="6099" spans="9:10" x14ac:dyDescent="0.3">
      <c r="I6099"/>
      <c r="J6099"/>
    </row>
    <row r="6100" spans="9:10" x14ac:dyDescent="0.3">
      <c r="I6100"/>
      <c r="J6100"/>
    </row>
    <row r="6101" spans="9:10" x14ac:dyDescent="0.3">
      <c r="I6101"/>
      <c r="J6101"/>
    </row>
    <row r="6102" spans="9:10" x14ac:dyDescent="0.3">
      <c r="I6102"/>
      <c r="J6102"/>
    </row>
    <row r="6103" spans="9:10" x14ac:dyDescent="0.3">
      <c r="I6103"/>
      <c r="J6103"/>
    </row>
    <row r="6104" spans="9:10" x14ac:dyDescent="0.3">
      <c r="I6104"/>
      <c r="J6104"/>
    </row>
    <row r="6105" spans="9:10" x14ac:dyDescent="0.3">
      <c r="I6105"/>
      <c r="J6105"/>
    </row>
    <row r="6106" spans="9:10" x14ac:dyDescent="0.3">
      <c r="I6106"/>
      <c r="J6106"/>
    </row>
    <row r="6107" spans="9:10" x14ac:dyDescent="0.3">
      <c r="I6107"/>
      <c r="J6107"/>
    </row>
    <row r="6108" spans="9:10" x14ac:dyDescent="0.3">
      <c r="I6108"/>
      <c r="J6108"/>
    </row>
    <row r="6109" spans="9:10" x14ac:dyDescent="0.3">
      <c r="I6109"/>
      <c r="J6109"/>
    </row>
    <row r="6110" spans="9:10" x14ac:dyDescent="0.3">
      <c r="I6110"/>
      <c r="J6110"/>
    </row>
    <row r="6111" spans="9:10" x14ac:dyDescent="0.3">
      <c r="I6111"/>
      <c r="J6111"/>
    </row>
    <row r="6112" spans="9:10" x14ac:dyDescent="0.3">
      <c r="I6112"/>
      <c r="J6112"/>
    </row>
    <row r="6113" spans="9:10" x14ac:dyDescent="0.3">
      <c r="I6113"/>
      <c r="J6113"/>
    </row>
    <row r="6114" spans="9:10" x14ac:dyDescent="0.3">
      <c r="I6114"/>
      <c r="J6114"/>
    </row>
    <row r="6115" spans="9:10" x14ac:dyDescent="0.3">
      <c r="I6115"/>
      <c r="J6115"/>
    </row>
    <row r="6116" spans="9:10" x14ac:dyDescent="0.3">
      <c r="I6116"/>
      <c r="J6116"/>
    </row>
    <row r="6117" spans="9:10" x14ac:dyDescent="0.3">
      <c r="I6117"/>
      <c r="J6117"/>
    </row>
    <row r="6118" spans="9:10" x14ac:dyDescent="0.3">
      <c r="I6118"/>
      <c r="J6118"/>
    </row>
    <row r="6119" spans="9:10" x14ac:dyDescent="0.3">
      <c r="I6119"/>
      <c r="J6119"/>
    </row>
    <row r="6120" spans="9:10" x14ac:dyDescent="0.3">
      <c r="I6120"/>
      <c r="J6120"/>
    </row>
    <row r="6121" spans="9:10" x14ac:dyDescent="0.3">
      <c r="I6121"/>
      <c r="J6121"/>
    </row>
    <row r="6122" spans="9:10" x14ac:dyDescent="0.3">
      <c r="I6122"/>
      <c r="J6122"/>
    </row>
    <row r="6123" spans="9:10" x14ac:dyDescent="0.3">
      <c r="I6123"/>
      <c r="J6123"/>
    </row>
    <row r="6124" spans="9:10" x14ac:dyDescent="0.3">
      <c r="I6124"/>
      <c r="J6124"/>
    </row>
    <row r="6125" spans="9:10" x14ac:dyDescent="0.3">
      <c r="I6125"/>
      <c r="J6125"/>
    </row>
    <row r="6126" spans="9:10" x14ac:dyDescent="0.3">
      <c r="I6126"/>
      <c r="J6126"/>
    </row>
    <row r="6127" spans="9:10" x14ac:dyDescent="0.3">
      <c r="I6127"/>
      <c r="J6127"/>
    </row>
    <row r="6128" spans="9:10" x14ac:dyDescent="0.3">
      <c r="I6128"/>
      <c r="J6128"/>
    </row>
    <row r="6129" spans="9:10" x14ac:dyDescent="0.3">
      <c r="I6129"/>
      <c r="J6129"/>
    </row>
    <row r="6130" spans="9:10" x14ac:dyDescent="0.3">
      <c r="I6130"/>
      <c r="J6130"/>
    </row>
    <row r="6131" spans="9:10" x14ac:dyDescent="0.3">
      <c r="I6131"/>
      <c r="J6131"/>
    </row>
    <row r="6132" spans="9:10" x14ac:dyDescent="0.3">
      <c r="I6132"/>
      <c r="J6132"/>
    </row>
    <row r="6133" spans="9:10" x14ac:dyDescent="0.3">
      <c r="I6133"/>
      <c r="J6133"/>
    </row>
    <row r="6134" spans="9:10" x14ac:dyDescent="0.3">
      <c r="I6134"/>
      <c r="J6134"/>
    </row>
    <row r="6135" spans="9:10" x14ac:dyDescent="0.3">
      <c r="I6135"/>
      <c r="J6135"/>
    </row>
    <row r="6136" spans="9:10" x14ac:dyDescent="0.3">
      <c r="I6136"/>
      <c r="J6136"/>
    </row>
    <row r="6137" spans="9:10" x14ac:dyDescent="0.3">
      <c r="I6137"/>
      <c r="J6137"/>
    </row>
    <row r="6138" spans="9:10" x14ac:dyDescent="0.3">
      <c r="I6138"/>
      <c r="J6138"/>
    </row>
    <row r="6139" spans="9:10" x14ac:dyDescent="0.3">
      <c r="I6139"/>
      <c r="J6139"/>
    </row>
    <row r="6140" spans="9:10" x14ac:dyDescent="0.3">
      <c r="I6140"/>
      <c r="J6140"/>
    </row>
    <row r="6141" spans="9:10" x14ac:dyDescent="0.3">
      <c r="I6141"/>
      <c r="J6141"/>
    </row>
    <row r="6142" spans="9:10" x14ac:dyDescent="0.3">
      <c r="I6142"/>
      <c r="J6142"/>
    </row>
    <row r="6143" spans="9:10" x14ac:dyDescent="0.3">
      <c r="I6143"/>
      <c r="J6143"/>
    </row>
    <row r="6144" spans="9:10" x14ac:dyDescent="0.3">
      <c r="I6144"/>
      <c r="J6144"/>
    </row>
    <row r="6145" spans="9:10" x14ac:dyDescent="0.3">
      <c r="I6145"/>
      <c r="J6145"/>
    </row>
    <row r="6146" spans="9:10" x14ac:dyDescent="0.3">
      <c r="I6146"/>
      <c r="J6146"/>
    </row>
    <row r="6147" spans="9:10" x14ac:dyDescent="0.3">
      <c r="I6147"/>
      <c r="J6147"/>
    </row>
    <row r="6148" spans="9:10" x14ac:dyDescent="0.3">
      <c r="I6148"/>
      <c r="J6148"/>
    </row>
    <row r="6149" spans="9:10" x14ac:dyDescent="0.3">
      <c r="I6149"/>
      <c r="J6149"/>
    </row>
    <row r="6150" spans="9:10" x14ac:dyDescent="0.3">
      <c r="I6150"/>
      <c r="J6150"/>
    </row>
    <row r="6151" spans="9:10" x14ac:dyDescent="0.3">
      <c r="I6151"/>
      <c r="J6151"/>
    </row>
    <row r="6152" spans="9:10" x14ac:dyDescent="0.3">
      <c r="I6152"/>
      <c r="J6152"/>
    </row>
    <row r="6153" spans="9:10" x14ac:dyDescent="0.3">
      <c r="I6153"/>
      <c r="J6153"/>
    </row>
    <row r="6154" spans="9:10" x14ac:dyDescent="0.3">
      <c r="I6154"/>
      <c r="J6154"/>
    </row>
    <row r="6155" spans="9:10" x14ac:dyDescent="0.3">
      <c r="I6155"/>
      <c r="J6155"/>
    </row>
    <row r="6156" spans="9:10" x14ac:dyDescent="0.3">
      <c r="I6156"/>
      <c r="J6156"/>
    </row>
    <row r="6157" spans="9:10" x14ac:dyDescent="0.3">
      <c r="I6157"/>
      <c r="J6157"/>
    </row>
    <row r="6158" spans="9:10" x14ac:dyDescent="0.3">
      <c r="I6158"/>
      <c r="J6158"/>
    </row>
    <row r="6159" spans="9:10" x14ac:dyDescent="0.3">
      <c r="I6159"/>
      <c r="J6159"/>
    </row>
    <row r="6160" spans="9:10" x14ac:dyDescent="0.3">
      <c r="I6160"/>
      <c r="J6160"/>
    </row>
    <row r="6161" spans="9:10" x14ac:dyDescent="0.3">
      <c r="I6161"/>
      <c r="J6161"/>
    </row>
    <row r="6162" spans="9:10" x14ac:dyDescent="0.3">
      <c r="I6162"/>
      <c r="J6162"/>
    </row>
    <row r="6163" spans="9:10" x14ac:dyDescent="0.3">
      <c r="I6163"/>
      <c r="J6163"/>
    </row>
    <row r="6164" spans="9:10" x14ac:dyDescent="0.3">
      <c r="I6164"/>
      <c r="J6164"/>
    </row>
    <row r="6165" spans="9:10" x14ac:dyDescent="0.3">
      <c r="I6165"/>
      <c r="J6165"/>
    </row>
    <row r="6166" spans="9:10" x14ac:dyDescent="0.3">
      <c r="I6166"/>
      <c r="J6166"/>
    </row>
    <row r="6167" spans="9:10" x14ac:dyDescent="0.3">
      <c r="I6167"/>
      <c r="J6167"/>
    </row>
    <row r="6168" spans="9:10" x14ac:dyDescent="0.3">
      <c r="I6168"/>
      <c r="J6168"/>
    </row>
    <row r="6169" spans="9:10" x14ac:dyDescent="0.3">
      <c r="I6169"/>
      <c r="J6169"/>
    </row>
    <row r="6170" spans="9:10" x14ac:dyDescent="0.3">
      <c r="I6170"/>
      <c r="J6170"/>
    </row>
    <row r="6171" spans="9:10" x14ac:dyDescent="0.3">
      <c r="I6171"/>
      <c r="J6171"/>
    </row>
    <row r="6172" spans="9:10" x14ac:dyDescent="0.3">
      <c r="I6172"/>
      <c r="J6172"/>
    </row>
    <row r="6173" spans="9:10" x14ac:dyDescent="0.3">
      <c r="I6173"/>
      <c r="J6173"/>
    </row>
    <row r="6174" spans="9:10" x14ac:dyDescent="0.3">
      <c r="I6174"/>
      <c r="J6174"/>
    </row>
    <row r="6175" spans="9:10" x14ac:dyDescent="0.3">
      <c r="I6175"/>
      <c r="J6175"/>
    </row>
    <row r="6176" spans="9:10" x14ac:dyDescent="0.3">
      <c r="I6176"/>
      <c r="J6176"/>
    </row>
    <row r="6177" spans="9:10" x14ac:dyDescent="0.3">
      <c r="I6177"/>
      <c r="J6177"/>
    </row>
    <row r="6178" spans="9:10" x14ac:dyDescent="0.3">
      <c r="I6178"/>
      <c r="J6178"/>
    </row>
    <row r="6179" spans="9:10" x14ac:dyDescent="0.3">
      <c r="I6179"/>
      <c r="J6179"/>
    </row>
    <row r="6180" spans="9:10" x14ac:dyDescent="0.3">
      <c r="I6180"/>
      <c r="J6180"/>
    </row>
    <row r="6181" spans="9:10" x14ac:dyDescent="0.3">
      <c r="I6181"/>
      <c r="J6181"/>
    </row>
    <row r="6182" spans="9:10" x14ac:dyDescent="0.3">
      <c r="I6182"/>
      <c r="J6182"/>
    </row>
    <row r="6183" spans="9:10" x14ac:dyDescent="0.3">
      <c r="I6183"/>
      <c r="J6183"/>
    </row>
    <row r="6184" spans="9:10" x14ac:dyDescent="0.3">
      <c r="I6184"/>
      <c r="J6184"/>
    </row>
    <row r="6185" spans="9:10" x14ac:dyDescent="0.3">
      <c r="I6185"/>
      <c r="J6185"/>
    </row>
    <row r="6186" spans="9:10" x14ac:dyDescent="0.3">
      <c r="I6186"/>
      <c r="J6186"/>
    </row>
    <row r="6187" spans="9:10" x14ac:dyDescent="0.3">
      <c r="I6187"/>
      <c r="J6187"/>
    </row>
    <row r="6188" spans="9:10" x14ac:dyDescent="0.3">
      <c r="I6188"/>
      <c r="J6188"/>
    </row>
    <row r="6189" spans="9:10" x14ac:dyDescent="0.3">
      <c r="I6189"/>
      <c r="J6189"/>
    </row>
    <row r="6190" spans="9:10" x14ac:dyDescent="0.3">
      <c r="I6190"/>
      <c r="J6190"/>
    </row>
    <row r="6191" spans="9:10" x14ac:dyDescent="0.3">
      <c r="I6191"/>
      <c r="J6191"/>
    </row>
    <row r="6192" spans="9:10" x14ac:dyDescent="0.3">
      <c r="I6192"/>
      <c r="J6192"/>
    </row>
    <row r="6193" spans="9:10" x14ac:dyDescent="0.3">
      <c r="I6193"/>
      <c r="J6193"/>
    </row>
    <row r="6194" spans="9:10" x14ac:dyDescent="0.3">
      <c r="I6194"/>
      <c r="J6194"/>
    </row>
    <row r="6195" spans="9:10" x14ac:dyDescent="0.3">
      <c r="I6195"/>
      <c r="J6195"/>
    </row>
    <row r="6196" spans="9:10" x14ac:dyDescent="0.3">
      <c r="I6196"/>
      <c r="J6196"/>
    </row>
    <row r="6197" spans="9:10" x14ac:dyDescent="0.3">
      <c r="I6197"/>
      <c r="J6197"/>
    </row>
    <row r="6198" spans="9:10" x14ac:dyDescent="0.3">
      <c r="I6198"/>
      <c r="J6198"/>
    </row>
    <row r="6199" spans="9:10" x14ac:dyDescent="0.3">
      <c r="I6199"/>
      <c r="J6199"/>
    </row>
    <row r="6200" spans="9:10" x14ac:dyDescent="0.3">
      <c r="I6200"/>
      <c r="J6200"/>
    </row>
    <row r="6201" spans="9:10" x14ac:dyDescent="0.3">
      <c r="I6201"/>
      <c r="J6201"/>
    </row>
    <row r="6202" spans="9:10" x14ac:dyDescent="0.3">
      <c r="I6202"/>
      <c r="J6202"/>
    </row>
    <row r="6203" spans="9:10" x14ac:dyDescent="0.3">
      <c r="I6203"/>
      <c r="J6203"/>
    </row>
    <row r="6204" spans="9:10" x14ac:dyDescent="0.3">
      <c r="I6204"/>
      <c r="J6204"/>
    </row>
    <row r="6205" spans="9:10" x14ac:dyDescent="0.3">
      <c r="I6205"/>
      <c r="J6205"/>
    </row>
    <row r="6206" spans="9:10" x14ac:dyDescent="0.3">
      <c r="I6206"/>
      <c r="J6206"/>
    </row>
    <row r="6207" spans="9:10" x14ac:dyDescent="0.3">
      <c r="I6207"/>
      <c r="J6207"/>
    </row>
    <row r="6208" spans="9:10" x14ac:dyDescent="0.3">
      <c r="I6208"/>
      <c r="J6208"/>
    </row>
    <row r="6209" spans="9:10" x14ac:dyDescent="0.3">
      <c r="I6209"/>
      <c r="J6209"/>
    </row>
    <row r="6210" spans="9:10" x14ac:dyDescent="0.3">
      <c r="I6210"/>
      <c r="J6210"/>
    </row>
    <row r="6211" spans="9:10" x14ac:dyDescent="0.3">
      <c r="I6211"/>
      <c r="J6211"/>
    </row>
    <row r="6212" spans="9:10" x14ac:dyDescent="0.3">
      <c r="I6212"/>
      <c r="J6212"/>
    </row>
    <row r="6213" spans="9:10" x14ac:dyDescent="0.3">
      <c r="I6213"/>
      <c r="J6213"/>
    </row>
    <row r="6214" spans="9:10" x14ac:dyDescent="0.3">
      <c r="I6214"/>
      <c r="J6214"/>
    </row>
    <row r="6215" spans="9:10" x14ac:dyDescent="0.3">
      <c r="I6215"/>
      <c r="J6215"/>
    </row>
    <row r="6216" spans="9:10" x14ac:dyDescent="0.3">
      <c r="I6216"/>
      <c r="J6216"/>
    </row>
    <row r="6217" spans="9:10" x14ac:dyDescent="0.3">
      <c r="I6217"/>
      <c r="J6217"/>
    </row>
    <row r="6218" spans="9:10" x14ac:dyDescent="0.3">
      <c r="I6218"/>
      <c r="J6218"/>
    </row>
    <row r="6219" spans="9:10" x14ac:dyDescent="0.3">
      <c r="I6219"/>
      <c r="J6219"/>
    </row>
    <row r="6220" spans="9:10" x14ac:dyDescent="0.3">
      <c r="I6220"/>
      <c r="J6220"/>
    </row>
    <row r="6221" spans="9:10" x14ac:dyDescent="0.3">
      <c r="I6221"/>
      <c r="J6221"/>
    </row>
    <row r="6222" spans="9:10" x14ac:dyDescent="0.3">
      <c r="I6222"/>
      <c r="J6222"/>
    </row>
    <row r="6223" spans="9:10" x14ac:dyDescent="0.3">
      <c r="I6223"/>
      <c r="J6223"/>
    </row>
    <row r="6224" spans="9:10" x14ac:dyDescent="0.3">
      <c r="I6224"/>
      <c r="J6224"/>
    </row>
    <row r="6225" spans="9:10" x14ac:dyDescent="0.3">
      <c r="I6225"/>
      <c r="J6225"/>
    </row>
    <row r="6226" spans="9:10" x14ac:dyDescent="0.3">
      <c r="I6226"/>
      <c r="J6226"/>
    </row>
    <row r="6227" spans="9:10" x14ac:dyDescent="0.3">
      <c r="I6227"/>
      <c r="J6227"/>
    </row>
    <row r="6228" spans="9:10" x14ac:dyDescent="0.3">
      <c r="I6228"/>
      <c r="J6228"/>
    </row>
    <row r="6229" spans="9:10" x14ac:dyDescent="0.3">
      <c r="I6229"/>
      <c r="J6229"/>
    </row>
    <row r="6230" spans="9:10" x14ac:dyDescent="0.3">
      <c r="I6230"/>
      <c r="J6230"/>
    </row>
    <row r="6231" spans="9:10" x14ac:dyDescent="0.3">
      <c r="I6231"/>
      <c r="J6231"/>
    </row>
    <row r="6232" spans="9:10" x14ac:dyDescent="0.3">
      <c r="I6232"/>
      <c r="J6232"/>
    </row>
    <row r="6233" spans="9:10" x14ac:dyDescent="0.3">
      <c r="I6233"/>
      <c r="J6233"/>
    </row>
    <row r="6234" spans="9:10" x14ac:dyDescent="0.3">
      <c r="I6234"/>
      <c r="J6234"/>
    </row>
    <row r="6235" spans="9:10" x14ac:dyDescent="0.3">
      <c r="I6235"/>
      <c r="J6235"/>
    </row>
    <row r="6236" spans="9:10" x14ac:dyDescent="0.3">
      <c r="I6236"/>
      <c r="J6236"/>
    </row>
    <row r="6237" spans="9:10" x14ac:dyDescent="0.3">
      <c r="I6237"/>
      <c r="J6237"/>
    </row>
    <row r="6238" spans="9:10" x14ac:dyDescent="0.3">
      <c r="I6238"/>
      <c r="J6238"/>
    </row>
    <row r="6239" spans="9:10" x14ac:dyDescent="0.3">
      <c r="I6239"/>
      <c r="J6239"/>
    </row>
    <row r="6240" spans="9:10" x14ac:dyDescent="0.3">
      <c r="I6240"/>
      <c r="J6240"/>
    </row>
    <row r="6241" spans="9:10" x14ac:dyDescent="0.3">
      <c r="I6241"/>
      <c r="J6241"/>
    </row>
    <row r="6242" spans="9:10" x14ac:dyDescent="0.3">
      <c r="I6242"/>
      <c r="J6242"/>
    </row>
    <row r="6243" spans="9:10" x14ac:dyDescent="0.3">
      <c r="I6243"/>
      <c r="J6243"/>
    </row>
    <row r="6244" spans="9:10" x14ac:dyDescent="0.3">
      <c r="I6244"/>
      <c r="J6244"/>
    </row>
    <row r="6245" spans="9:10" x14ac:dyDescent="0.3">
      <c r="I6245"/>
      <c r="J6245"/>
    </row>
    <row r="6246" spans="9:10" x14ac:dyDescent="0.3">
      <c r="I6246"/>
      <c r="J6246"/>
    </row>
    <row r="6247" spans="9:10" x14ac:dyDescent="0.3">
      <c r="I6247"/>
      <c r="J6247"/>
    </row>
    <row r="6248" spans="9:10" x14ac:dyDescent="0.3">
      <c r="I6248"/>
      <c r="J6248"/>
    </row>
    <row r="6249" spans="9:10" x14ac:dyDescent="0.3">
      <c r="I6249"/>
      <c r="J6249"/>
    </row>
    <row r="6250" spans="9:10" x14ac:dyDescent="0.3">
      <c r="I6250"/>
      <c r="J6250"/>
    </row>
    <row r="6251" spans="9:10" x14ac:dyDescent="0.3">
      <c r="I6251"/>
      <c r="J6251"/>
    </row>
    <row r="6252" spans="9:10" x14ac:dyDescent="0.3">
      <c r="I6252"/>
      <c r="J6252"/>
    </row>
    <row r="6253" spans="9:10" x14ac:dyDescent="0.3">
      <c r="I6253"/>
      <c r="J6253"/>
    </row>
    <row r="6254" spans="9:10" x14ac:dyDescent="0.3">
      <c r="I6254"/>
      <c r="J6254"/>
    </row>
    <row r="6255" spans="9:10" x14ac:dyDescent="0.3">
      <c r="I6255"/>
      <c r="J6255"/>
    </row>
    <row r="6256" spans="9:10" x14ac:dyDescent="0.3">
      <c r="I6256"/>
      <c r="J6256"/>
    </row>
    <row r="6257" spans="9:10" x14ac:dyDescent="0.3">
      <c r="I6257"/>
      <c r="J6257"/>
    </row>
    <row r="6258" spans="9:10" x14ac:dyDescent="0.3">
      <c r="I6258"/>
      <c r="J6258"/>
    </row>
    <row r="6259" spans="9:10" x14ac:dyDescent="0.3">
      <c r="I6259"/>
      <c r="J6259"/>
    </row>
    <row r="6260" spans="9:10" x14ac:dyDescent="0.3">
      <c r="I6260"/>
      <c r="J6260"/>
    </row>
    <row r="6261" spans="9:10" x14ac:dyDescent="0.3">
      <c r="I6261"/>
      <c r="J6261"/>
    </row>
    <row r="6262" spans="9:10" x14ac:dyDescent="0.3">
      <c r="I6262"/>
      <c r="J6262"/>
    </row>
    <row r="6263" spans="9:10" x14ac:dyDescent="0.3">
      <c r="I6263"/>
      <c r="J6263"/>
    </row>
    <row r="6264" spans="9:10" x14ac:dyDescent="0.3">
      <c r="I6264"/>
      <c r="J6264"/>
    </row>
    <row r="6265" spans="9:10" x14ac:dyDescent="0.3">
      <c r="I6265"/>
      <c r="J6265"/>
    </row>
    <row r="6266" spans="9:10" x14ac:dyDescent="0.3">
      <c r="I6266"/>
      <c r="J6266"/>
    </row>
    <row r="6267" spans="9:10" x14ac:dyDescent="0.3">
      <c r="I6267"/>
      <c r="J6267"/>
    </row>
    <row r="6268" spans="9:10" x14ac:dyDescent="0.3">
      <c r="I6268"/>
      <c r="J6268"/>
    </row>
    <row r="6269" spans="9:10" x14ac:dyDescent="0.3">
      <c r="I6269"/>
      <c r="J6269"/>
    </row>
    <row r="6270" spans="9:10" x14ac:dyDescent="0.3">
      <c r="I6270"/>
      <c r="J6270"/>
    </row>
    <row r="6271" spans="9:10" x14ac:dyDescent="0.3">
      <c r="I6271"/>
      <c r="J6271"/>
    </row>
    <row r="6272" spans="9:10" x14ac:dyDescent="0.3">
      <c r="I6272"/>
      <c r="J6272"/>
    </row>
    <row r="6273" spans="9:10" x14ac:dyDescent="0.3">
      <c r="I6273"/>
      <c r="J6273"/>
    </row>
    <row r="6274" spans="9:10" x14ac:dyDescent="0.3">
      <c r="I6274"/>
      <c r="J6274"/>
    </row>
    <row r="6275" spans="9:10" x14ac:dyDescent="0.3">
      <c r="I6275"/>
      <c r="J6275"/>
    </row>
    <row r="6276" spans="9:10" x14ac:dyDescent="0.3">
      <c r="I6276"/>
      <c r="J6276"/>
    </row>
    <row r="6277" spans="9:10" x14ac:dyDescent="0.3">
      <c r="I6277"/>
      <c r="J6277"/>
    </row>
    <row r="6278" spans="9:10" x14ac:dyDescent="0.3">
      <c r="I6278"/>
      <c r="J6278"/>
    </row>
    <row r="6279" spans="9:10" x14ac:dyDescent="0.3">
      <c r="I6279"/>
      <c r="J6279"/>
    </row>
    <row r="6280" spans="9:10" x14ac:dyDescent="0.3">
      <c r="I6280"/>
      <c r="J6280"/>
    </row>
    <row r="6281" spans="9:10" x14ac:dyDescent="0.3">
      <c r="I6281"/>
      <c r="J6281"/>
    </row>
    <row r="6282" spans="9:10" x14ac:dyDescent="0.3">
      <c r="I6282"/>
      <c r="J6282"/>
    </row>
    <row r="6283" spans="9:10" x14ac:dyDescent="0.3">
      <c r="I6283"/>
      <c r="J6283"/>
    </row>
    <row r="6284" spans="9:10" x14ac:dyDescent="0.3">
      <c r="I6284"/>
      <c r="J6284"/>
    </row>
    <row r="6285" spans="9:10" x14ac:dyDescent="0.3">
      <c r="I6285"/>
      <c r="J6285"/>
    </row>
    <row r="6286" spans="9:10" x14ac:dyDescent="0.3">
      <c r="I6286"/>
      <c r="J6286"/>
    </row>
    <row r="6287" spans="9:10" x14ac:dyDescent="0.3">
      <c r="I6287"/>
      <c r="J6287"/>
    </row>
    <row r="6288" spans="9:10" x14ac:dyDescent="0.3">
      <c r="I6288"/>
      <c r="J6288"/>
    </row>
    <row r="6289" spans="9:10" x14ac:dyDescent="0.3">
      <c r="I6289"/>
      <c r="J6289"/>
    </row>
    <row r="6290" spans="9:10" x14ac:dyDescent="0.3">
      <c r="I6290"/>
      <c r="J6290"/>
    </row>
    <row r="6291" spans="9:10" x14ac:dyDescent="0.3">
      <c r="I6291"/>
      <c r="J6291"/>
    </row>
    <row r="6292" spans="9:10" x14ac:dyDescent="0.3">
      <c r="I6292"/>
      <c r="J6292"/>
    </row>
    <row r="6293" spans="9:10" x14ac:dyDescent="0.3">
      <c r="I6293"/>
      <c r="J6293"/>
    </row>
    <row r="6294" spans="9:10" x14ac:dyDescent="0.3">
      <c r="I6294"/>
      <c r="J6294"/>
    </row>
    <row r="6295" spans="9:10" x14ac:dyDescent="0.3">
      <c r="I6295"/>
      <c r="J6295"/>
    </row>
    <row r="6296" spans="9:10" x14ac:dyDescent="0.3">
      <c r="I6296"/>
      <c r="J6296"/>
    </row>
    <row r="6297" spans="9:10" x14ac:dyDescent="0.3">
      <c r="I6297"/>
      <c r="J6297"/>
    </row>
    <row r="6298" spans="9:10" x14ac:dyDescent="0.3">
      <c r="I6298"/>
      <c r="J6298"/>
    </row>
    <row r="6299" spans="9:10" x14ac:dyDescent="0.3">
      <c r="I6299"/>
      <c r="J6299"/>
    </row>
    <row r="6300" spans="9:10" x14ac:dyDescent="0.3">
      <c r="I6300"/>
      <c r="J6300"/>
    </row>
    <row r="6301" spans="9:10" x14ac:dyDescent="0.3">
      <c r="I6301"/>
      <c r="J6301"/>
    </row>
    <row r="6302" spans="9:10" x14ac:dyDescent="0.3">
      <c r="I6302"/>
      <c r="J6302"/>
    </row>
    <row r="6303" spans="9:10" x14ac:dyDescent="0.3">
      <c r="I6303"/>
      <c r="J6303"/>
    </row>
    <row r="6304" spans="9:10" x14ac:dyDescent="0.3">
      <c r="I6304"/>
      <c r="J6304"/>
    </row>
    <row r="6305" spans="9:10" x14ac:dyDescent="0.3">
      <c r="I6305"/>
      <c r="J6305"/>
    </row>
    <row r="6306" spans="9:10" x14ac:dyDescent="0.3">
      <c r="I6306"/>
      <c r="J6306"/>
    </row>
    <row r="6307" spans="9:10" x14ac:dyDescent="0.3">
      <c r="I6307"/>
      <c r="J6307"/>
    </row>
    <row r="6308" spans="9:10" x14ac:dyDescent="0.3">
      <c r="I6308"/>
      <c r="J6308"/>
    </row>
    <row r="6309" spans="9:10" x14ac:dyDescent="0.3">
      <c r="I6309"/>
      <c r="J6309"/>
    </row>
    <row r="6310" spans="9:10" x14ac:dyDescent="0.3">
      <c r="I6310"/>
      <c r="J6310"/>
    </row>
    <row r="6311" spans="9:10" x14ac:dyDescent="0.3">
      <c r="I6311"/>
      <c r="J6311"/>
    </row>
    <row r="6312" spans="9:10" x14ac:dyDescent="0.3">
      <c r="I6312"/>
      <c r="J6312"/>
    </row>
    <row r="6313" spans="9:10" x14ac:dyDescent="0.3">
      <c r="I6313"/>
      <c r="J6313"/>
    </row>
    <row r="6314" spans="9:10" x14ac:dyDescent="0.3">
      <c r="I6314"/>
      <c r="J6314"/>
    </row>
    <row r="6315" spans="9:10" x14ac:dyDescent="0.3">
      <c r="I6315"/>
      <c r="J6315"/>
    </row>
    <row r="6316" spans="9:10" x14ac:dyDescent="0.3">
      <c r="I6316"/>
      <c r="J6316"/>
    </row>
    <row r="6317" spans="9:10" x14ac:dyDescent="0.3">
      <c r="I6317"/>
      <c r="J6317"/>
    </row>
    <row r="6318" spans="9:10" x14ac:dyDescent="0.3">
      <c r="I6318"/>
      <c r="J6318"/>
    </row>
    <row r="6319" spans="9:10" x14ac:dyDescent="0.3">
      <c r="I6319"/>
      <c r="J6319"/>
    </row>
    <row r="6320" spans="9:10" x14ac:dyDescent="0.3">
      <c r="I6320"/>
      <c r="J6320"/>
    </row>
    <row r="6321" spans="9:10" x14ac:dyDescent="0.3">
      <c r="I6321"/>
      <c r="J6321"/>
    </row>
    <row r="6322" spans="9:10" x14ac:dyDescent="0.3">
      <c r="I6322"/>
      <c r="J6322"/>
    </row>
    <row r="6323" spans="9:10" x14ac:dyDescent="0.3">
      <c r="I6323"/>
      <c r="J6323"/>
    </row>
    <row r="6324" spans="9:10" x14ac:dyDescent="0.3">
      <c r="I6324"/>
      <c r="J6324"/>
    </row>
    <row r="6325" spans="9:10" x14ac:dyDescent="0.3">
      <c r="I6325"/>
      <c r="J6325"/>
    </row>
    <row r="6326" spans="9:10" x14ac:dyDescent="0.3">
      <c r="I6326"/>
      <c r="J6326"/>
    </row>
    <row r="6327" spans="9:10" x14ac:dyDescent="0.3">
      <c r="I6327"/>
      <c r="J6327"/>
    </row>
    <row r="6328" spans="9:10" x14ac:dyDescent="0.3">
      <c r="I6328"/>
      <c r="J6328"/>
    </row>
    <row r="6329" spans="9:10" x14ac:dyDescent="0.3">
      <c r="I6329"/>
      <c r="J6329"/>
    </row>
    <row r="6330" spans="9:10" x14ac:dyDescent="0.3">
      <c r="I6330"/>
      <c r="J6330"/>
    </row>
    <row r="6331" spans="9:10" x14ac:dyDescent="0.3">
      <c r="I6331"/>
      <c r="J6331"/>
    </row>
    <row r="6332" spans="9:10" x14ac:dyDescent="0.3">
      <c r="I6332"/>
      <c r="J6332"/>
    </row>
    <row r="6333" spans="9:10" x14ac:dyDescent="0.3">
      <c r="I6333"/>
      <c r="J6333"/>
    </row>
    <row r="6334" spans="9:10" x14ac:dyDescent="0.3">
      <c r="I6334"/>
      <c r="J6334"/>
    </row>
    <row r="6335" spans="9:10" x14ac:dyDescent="0.3">
      <c r="I6335"/>
      <c r="J6335"/>
    </row>
    <row r="6336" spans="9:10" x14ac:dyDescent="0.3">
      <c r="I6336"/>
      <c r="J6336"/>
    </row>
    <row r="6337" spans="9:10" x14ac:dyDescent="0.3">
      <c r="I6337"/>
      <c r="J6337"/>
    </row>
    <row r="6338" spans="9:10" x14ac:dyDescent="0.3">
      <c r="I6338"/>
      <c r="J6338"/>
    </row>
    <row r="6339" spans="9:10" x14ac:dyDescent="0.3">
      <c r="I6339"/>
      <c r="J6339"/>
    </row>
    <row r="6340" spans="9:10" x14ac:dyDescent="0.3">
      <c r="I6340"/>
      <c r="J6340"/>
    </row>
    <row r="6341" spans="9:10" x14ac:dyDescent="0.3">
      <c r="I6341"/>
      <c r="J6341"/>
    </row>
    <row r="6342" spans="9:10" x14ac:dyDescent="0.3">
      <c r="I6342"/>
      <c r="J6342"/>
    </row>
    <row r="6343" spans="9:10" x14ac:dyDescent="0.3">
      <c r="I6343"/>
      <c r="J6343"/>
    </row>
    <row r="6344" spans="9:10" x14ac:dyDescent="0.3">
      <c r="I6344"/>
      <c r="J6344"/>
    </row>
    <row r="6345" spans="9:10" x14ac:dyDescent="0.3">
      <c r="I6345"/>
      <c r="J6345"/>
    </row>
    <row r="6346" spans="9:10" x14ac:dyDescent="0.3">
      <c r="I6346"/>
      <c r="J6346"/>
    </row>
    <row r="6347" spans="9:10" x14ac:dyDescent="0.3">
      <c r="I6347"/>
      <c r="J6347"/>
    </row>
    <row r="6348" spans="9:10" x14ac:dyDescent="0.3">
      <c r="I6348"/>
      <c r="J6348"/>
    </row>
    <row r="6349" spans="9:10" x14ac:dyDescent="0.3">
      <c r="I6349"/>
      <c r="J6349"/>
    </row>
    <row r="6350" spans="9:10" x14ac:dyDescent="0.3">
      <c r="I6350"/>
      <c r="J6350"/>
    </row>
    <row r="6351" spans="9:10" x14ac:dyDescent="0.3">
      <c r="I6351"/>
      <c r="J6351"/>
    </row>
    <row r="6352" spans="9:10" x14ac:dyDescent="0.3">
      <c r="I6352"/>
      <c r="J6352"/>
    </row>
    <row r="6353" spans="9:10" x14ac:dyDescent="0.3">
      <c r="I6353"/>
      <c r="J6353"/>
    </row>
    <row r="6354" spans="9:10" x14ac:dyDescent="0.3">
      <c r="I6354"/>
      <c r="J6354"/>
    </row>
    <row r="6355" spans="9:10" x14ac:dyDescent="0.3">
      <c r="I6355"/>
      <c r="J6355"/>
    </row>
    <row r="6356" spans="9:10" x14ac:dyDescent="0.3">
      <c r="I6356"/>
      <c r="J6356"/>
    </row>
    <row r="6357" spans="9:10" x14ac:dyDescent="0.3">
      <c r="I6357"/>
      <c r="J6357"/>
    </row>
    <row r="6358" spans="9:10" x14ac:dyDescent="0.3">
      <c r="I6358"/>
      <c r="J6358"/>
    </row>
    <row r="6359" spans="9:10" x14ac:dyDescent="0.3">
      <c r="I6359"/>
      <c r="J6359"/>
    </row>
    <row r="6360" spans="9:10" x14ac:dyDescent="0.3">
      <c r="I6360"/>
      <c r="J6360"/>
    </row>
    <row r="6361" spans="9:10" x14ac:dyDescent="0.3">
      <c r="I6361"/>
      <c r="J6361"/>
    </row>
    <row r="6362" spans="9:10" x14ac:dyDescent="0.3">
      <c r="I6362"/>
      <c r="J6362"/>
    </row>
    <row r="6363" spans="9:10" x14ac:dyDescent="0.3">
      <c r="I6363"/>
      <c r="J6363"/>
    </row>
    <row r="6364" spans="9:10" x14ac:dyDescent="0.3">
      <c r="I6364"/>
      <c r="J6364"/>
    </row>
    <row r="6365" spans="9:10" x14ac:dyDescent="0.3">
      <c r="I6365"/>
      <c r="J6365"/>
    </row>
    <row r="6366" spans="9:10" x14ac:dyDescent="0.3">
      <c r="I6366"/>
      <c r="J6366"/>
    </row>
    <row r="6367" spans="9:10" x14ac:dyDescent="0.3">
      <c r="I6367"/>
      <c r="J6367"/>
    </row>
    <row r="6368" spans="9:10" x14ac:dyDescent="0.3">
      <c r="I6368"/>
      <c r="J6368"/>
    </row>
    <row r="6369" spans="9:10" x14ac:dyDescent="0.3">
      <c r="I6369"/>
      <c r="J6369"/>
    </row>
    <row r="6370" spans="9:10" x14ac:dyDescent="0.3">
      <c r="I6370"/>
      <c r="J6370"/>
    </row>
    <row r="6371" spans="9:10" x14ac:dyDescent="0.3">
      <c r="I6371"/>
      <c r="J6371"/>
    </row>
    <row r="6372" spans="9:10" x14ac:dyDescent="0.3">
      <c r="I6372"/>
      <c r="J6372"/>
    </row>
    <row r="6373" spans="9:10" x14ac:dyDescent="0.3">
      <c r="I6373"/>
      <c r="J6373"/>
    </row>
    <row r="6374" spans="9:10" x14ac:dyDescent="0.3">
      <c r="I6374"/>
      <c r="J6374"/>
    </row>
    <row r="6375" spans="9:10" x14ac:dyDescent="0.3">
      <c r="I6375"/>
      <c r="J6375"/>
    </row>
    <row r="6376" spans="9:10" x14ac:dyDescent="0.3">
      <c r="I6376"/>
      <c r="J6376"/>
    </row>
    <row r="6377" spans="9:10" x14ac:dyDescent="0.3">
      <c r="I6377"/>
      <c r="J6377"/>
    </row>
    <row r="6378" spans="9:10" x14ac:dyDescent="0.3">
      <c r="I6378"/>
      <c r="J6378"/>
    </row>
    <row r="6379" spans="9:10" x14ac:dyDescent="0.3">
      <c r="I6379"/>
      <c r="J6379"/>
    </row>
    <row r="6380" spans="9:10" x14ac:dyDescent="0.3">
      <c r="I6380"/>
      <c r="J6380"/>
    </row>
    <row r="6381" spans="9:10" x14ac:dyDescent="0.3">
      <c r="I6381"/>
      <c r="J6381"/>
    </row>
    <row r="6382" spans="9:10" x14ac:dyDescent="0.3">
      <c r="I6382"/>
      <c r="J6382"/>
    </row>
    <row r="6383" spans="9:10" x14ac:dyDescent="0.3">
      <c r="I6383"/>
      <c r="J6383"/>
    </row>
    <row r="6384" spans="9:10" x14ac:dyDescent="0.3">
      <c r="I6384"/>
      <c r="J6384"/>
    </row>
    <row r="6385" spans="9:10" x14ac:dyDescent="0.3">
      <c r="I6385"/>
      <c r="J6385"/>
    </row>
    <row r="6386" spans="9:10" x14ac:dyDescent="0.3">
      <c r="I6386"/>
      <c r="J6386"/>
    </row>
    <row r="6387" spans="9:10" x14ac:dyDescent="0.3">
      <c r="I6387"/>
      <c r="J6387"/>
    </row>
    <row r="6388" spans="9:10" x14ac:dyDescent="0.3">
      <c r="I6388"/>
      <c r="J6388"/>
    </row>
    <row r="6389" spans="9:10" x14ac:dyDescent="0.3">
      <c r="I6389"/>
      <c r="J6389"/>
    </row>
    <row r="6390" spans="9:10" x14ac:dyDescent="0.3">
      <c r="I6390"/>
      <c r="J6390"/>
    </row>
    <row r="6391" spans="9:10" x14ac:dyDescent="0.3">
      <c r="I6391"/>
      <c r="J6391"/>
    </row>
    <row r="6392" spans="9:10" x14ac:dyDescent="0.3">
      <c r="I6392"/>
      <c r="J6392"/>
    </row>
    <row r="6393" spans="9:10" x14ac:dyDescent="0.3">
      <c r="I6393"/>
      <c r="J6393"/>
    </row>
    <row r="6394" spans="9:10" x14ac:dyDescent="0.3">
      <c r="I6394"/>
      <c r="J6394"/>
    </row>
    <row r="6395" spans="9:10" x14ac:dyDescent="0.3">
      <c r="I6395"/>
      <c r="J6395"/>
    </row>
    <row r="6396" spans="9:10" x14ac:dyDescent="0.3">
      <c r="I6396"/>
      <c r="J6396"/>
    </row>
    <row r="6397" spans="9:10" x14ac:dyDescent="0.3">
      <c r="I6397"/>
      <c r="J6397"/>
    </row>
    <row r="6398" spans="9:10" x14ac:dyDescent="0.3">
      <c r="I6398"/>
      <c r="J6398"/>
    </row>
    <row r="6399" spans="9:10" x14ac:dyDescent="0.3">
      <c r="I6399"/>
      <c r="J6399"/>
    </row>
    <row r="6400" spans="9:10" x14ac:dyDescent="0.3">
      <c r="I6400"/>
      <c r="J6400"/>
    </row>
    <row r="6401" spans="9:10" x14ac:dyDescent="0.3">
      <c r="I6401"/>
      <c r="J6401"/>
    </row>
    <row r="6402" spans="9:10" x14ac:dyDescent="0.3">
      <c r="I6402"/>
      <c r="J6402"/>
    </row>
    <row r="6403" spans="9:10" x14ac:dyDescent="0.3">
      <c r="I6403"/>
      <c r="J6403"/>
    </row>
    <row r="6404" spans="9:10" x14ac:dyDescent="0.3">
      <c r="I6404"/>
      <c r="J6404"/>
    </row>
    <row r="6405" spans="9:10" x14ac:dyDescent="0.3">
      <c r="I6405"/>
      <c r="J6405"/>
    </row>
    <row r="6406" spans="9:10" x14ac:dyDescent="0.3">
      <c r="I6406"/>
      <c r="J6406"/>
    </row>
    <row r="6407" spans="9:10" x14ac:dyDescent="0.3">
      <c r="I6407"/>
      <c r="J6407"/>
    </row>
    <row r="6408" spans="9:10" x14ac:dyDescent="0.3">
      <c r="I6408"/>
      <c r="J6408"/>
    </row>
    <row r="6409" spans="9:10" x14ac:dyDescent="0.3">
      <c r="I6409"/>
      <c r="J6409"/>
    </row>
    <row r="6410" spans="9:10" x14ac:dyDescent="0.3">
      <c r="I6410"/>
      <c r="J6410"/>
    </row>
    <row r="6411" spans="9:10" x14ac:dyDescent="0.3">
      <c r="I6411"/>
      <c r="J6411"/>
    </row>
    <row r="6412" spans="9:10" x14ac:dyDescent="0.3">
      <c r="I6412"/>
      <c r="J6412"/>
    </row>
    <row r="6413" spans="9:10" x14ac:dyDescent="0.3">
      <c r="I6413"/>
      <c r="J6413"/>
    </row>
    <row r="6414" spans="9:10" x14ac:dyDescent="0.3">
      <c r="I6414"/>
      <c r="J6414"/>
    </row>
    <row r="6415" spans="9:10" x14ac:dyDescent="0.3">
      <c r="I6415"/>
      <c r="J6415"/>
    </row>
    <row r="6416" spans="9:10" x14ac:dyDescent="0.3">
      <c r="I6416"/>
      <c r="J6416"/>
    </row>
    <row r="6417" spans="9:10" x14ac:dyDescent="0.3">
      <c r="I6417"/>
      <c r="J6417"/>
    </row>
    <row r="6418" spans="9:10" x14ac:dyDescent="0.3">
      <c r="I6418"/>
      <c r="J6418"/>
    </row>
    <row r="6419" spans="9:10" x14ac:dyDescent="0.3">
      <c r="I6419"/>
      <c r="J6419"/>
    </row>
    <row r="6420" spans="9:10" x14ac:dyDescent="0.3">
      <c r="I6420"/>
      <c r="J6420"/>
    </row>
    <row r="6421" spans="9:10" x14ac:dyDescent="0.3">
      <c r="I6421"/>
      <c r="J6421"/>
    </row>
    <row r="6422" spans="9:10" x14ac:dyDescent="0.3">
      <c r="I6422"/>
      <c r="J6422"/>
    </row>
    <row r="6423" spans="9:10" x14ac:dyDescent="0.3">
      <c r="I6423"/>
      <c r="J6423"/>
    </row>
    <row r="6424" spans="9:10" x14ac:dyDescent="0.3">
      <c r="I6424"/>
      <c r="J6424"/>
    </row>
    <row r="6425" spans="9:10" x14ac:dyDescent="0.3">
      <c r="I6425"/>
      <c r="J6425"/>
    </row>
    <row r="6426" spans="9:10" x14ac:dyDescent="0.3">
      <c r="I6426"/>
      <c r="J6426"/>
    </row>
    <row r="6427" spans="9:10" x14ac:dyDescent="0.3">
      <c r="I6427"/>
      <c r="J6427"/>
    </row>
    <row r="6428" spans="9:10" x14ac:dyDescent="0.3">
      <c r="I6428"/>
      <c r="J6428"/>
    </row>
    <row r="6429" spans="9:10" x14ac:dyDescent="0.3">
      <c r="I6429"/>
      <c r="J6429"/>
    </row>
    <row r="6430" spans="9:10" x14ac:dyDescent="0.3">
      <c r="I6430"/>
      <c r="J6430"/>
    </row>
    <row r="6431" spans="9:10" x14ac:dyDescent="0.3">
      <c r="I6431"/>
      <c r="J6431"/>
    </row>
    <row r="6432" spans="9:10" x14ac:dyDescent="0.3">
      <c r="I6432"/>
      <c r="J6432"/>
    </row>
    <row r="6433" spans="9:10" x14ac:dyDescent="0.3">
      <c r="I6433"/>
      <c r="J6433"/>
    </row>
    <row r="6434" spans="9:10" x14ac:dyDescent="0.3">
      <c r="I6434"/>
      <c r="J6434"/>
    </row>
    <row r="6435" spans="9:10" x14ac:dyDescent="0.3">
      <c r="I6435"/>
      <c r="J6435"/>
    </row>
    <row r="6436" spans="9:10" x14ac:dyDescent="0.3">
      <c r="I6436"/>
      <c r="J6436"/>
    </row>
    <row r="6437" spans="9:10" x14ac:dyDescent="0.3">
      <c r="I6437"/>
      <c r="J6437"/>
    </row>
    <row r="6438" spans="9:10" x14ac:dyDescent="0.3">
      <c r="I6438"/>
      <c r="J6438"/>
    </row>
    <row r="6439" spans="9:10" x14ac:dyDescent="0.3">
      <c r="I6439"/>
      <c r="J6439"/>
    </row>
    <row r="6440" spans="9:10" x14ac:dyDescent="0.3">
      <c r="I6440"/>
      <c r="J6440"/>
    </row>
    <row r="6441" spans="9:10" x14ac:dyDescent="0.3">
      <c r="I6441"/>
      <c r="J6441"/>
    </row>
    <row r="6442" spans="9:10" x14ac:dyDescent="0.3">
      <c r="I6442"/>
      <c r="J6442"/>
    </row>
    <row r="6443" spans="9:10" x14ac:dyDescent="0.3">
      <c r="I6443"/>
      <c r="J6443"/>
    </row>
    <row r="6444" spans="9:10" x14ac:dyDescent="0.3">
      <c r="I6444"/>
      <c r="J6444"/>
    </row>
    <row r="6445" spans="9:10" x14ac:dyDescent="0.3">
      <c r="I6445"/>
      <c r="J6445"/>
    </row>
    <row r="6446" spans="9:10" x14ac:dyDescent="0.3">
      <c r="I6446"/>
      <c r="J6446"/>
    </row>
    <row r="6447" spans="9:10" x14ac:dyDescent="0.3">
      <c r="I6447"/>
      <c r="J6447"/>
    </row>
    <row r="6448" spans="9:10" x14ac:dyDescent="0.3">
      <c r="I6448"/>
      <c r="J6448"/>
    </row>
    <row r="6449" spans="9:10" x14ac:dyDescent="0.3">
      <c r="I6449"/>
      <c r="J6449"/>
    </row>
    <row r="6450" spans="9:10" x14ac:dyDescent="0.3">
      <c r="I6450"/>
      <c r="J6450"/>
    </row>
    <row r="6451" spans="9:10" x14ac:dyDescent="0.3">
      <c r="I6451"/>
      <c r="J6451"/>
    </row>
    <row r="6452" spans="9:10" x14ac:dyDescent="0.3">
      <c r="I6452"/>
      <c r="J6452"/>
    </row>
    <row r="6453" spans="9:10" x14ac:dyDescent="0.3">
      <c r="I6453"/>
      <c r="J6453"/>
    </row>
    <row r="6454" spans="9:10" x14ac:dyDescent="0.3">
      <c r="I6454"/>
      <c r="J6454"/>
    </row>
    <row r="6455" spans="9:10" x14ac:dyDescent="0.3">
      <c r="I6455"/>
      <c r="J6455"/>
    </row>
    <row r="6456" spans="9:10" x14ac:dyDescent="0.3">
      <c r="I6456"/>
      <c r="J6456"/>
    </row>
    <row r="6457" spans="9:10" x14ac:dyDescent="0.3">
      <c r="I6457"/>
      <c r="J6457"/>
    </row>
    <row r="6458" spans="9:10" x14ac:dyDescent="0.3">
      <c r="I6458"/>
      <c r="J6458"/>
    </row>
    <row r="6459" spans="9:10" x14ac:dyDescent="0.3">
      <c r="I6459"/>
      <c r="J6459"/>
    </row>
    <row r="6460" spans="9:10" x14ac:dyDescent="0.3">
      <c r="I6460"/>
      <c r="J6460"/>
    </row>
    <row r="6461" spans="9:10" x14ac:dyDescent="0.3">
      <c r="I6461"/>
      <c r="J6461"/>
    </row>
    <row r="6462" spans="9:10" x14ac:dyDescent="0.3">
      <c r="I6462"/>
      <c r="J6462"/>
    </row>
    <row r="6463" spans="9:10" x14ac:dyDescent="0.3">
      <c r="I6463"/>
      <c r="J6463"/>
    </row>
    <row r="6464" spans="9:10" x14ac:dyDescent="0.3">
      <c r="I6464"/>
      <c r="J6464"/>
    </row>
    <row r="6465" spans="9:10" x14ac:dyDescent="0.3">
      <c r="I6465"/>
      <c r="J6465"/>
    </row>
    <row r="6466" spans="9:10" x14ac:dyDescent="0.3">
      <c r="I6466"/>
      <c r="J6466"/>
    </row>
    <row r="6467" spans="9:10" x14ac:dyDescent="0.3">
      <c r="I6467"/>
      <c r="J6467"/>
    </row>
    <row r="6468" spans="9:10" x14ac:dyDescent="0.3">
      <c r="I6468"/>
      <c r="J6468"/>
    </row>
    <row r="6469" spans="9:10" x14ac:dyDescent="0.3">
      <c r="I6469"/>
      <c r="J6469"/>
    </row>
    <row r="6470" spans="9:10" x14ac:dyDescent="0.3">
      <c r="I6470"/>
      <c r="J6470"/>
    </row>
    <row r="6471" spans="9:10" x14ac:dyDescent="0.3">
      <c r="I6471"/>
      <c r="J6471"/>
    </row>
    <row r="6472" spans="9:10" x14ac:dyDescent="0.3">
      <c r="I6472"/>
      <c r="J6472"/>
    </row>
    <row r="6473" spans="9:10" x14ac:dyDescent="0.3">
      <c r="I6473"/>
      <c r="J6473"/>
    </row>
    <row r="6474" spans="9:10" x14ac:dyDescent="0.3">
      <c r="I6474"/>
      <c r="J6474"/>
    </row>
    <row r="6475" spans="9:10" x14ac:dyDescent="0.3">
      <c r="I6475"/>
      <c r="J6475"/>
    </row>
    <row r="6476" spans="9:10" x14ac:dyDescent="0.3">
      <c r="I6476"/>
      <c r="J6476"/>
    </row>
    <row r="6477" spans="9:10" x14ac:dyDescent="0.3">
      <c r="I6477"/>
      <c r="J6477"/>
    </row>
    <row r="6478" spans="9:10" x14ac:dyDescent="0.3">
      <c r="I6478"/>
      <c r="J6478"/>
    </row>
    <row r="6479" spans="9:10" x14ac:dyDescent="0.3">
      <c r="I6479"/>
      <c r="J6479"/>
    </row>
    <row r="6480" spans="9:10" x14ac:dyDescent="0.3">
      <c r="I6480"/>
      <c r="J6480"/>
    </row>
    <row r="6481" spans="9:10" x14ac:dyDescent="0.3">
      <c r="I6481"/>
      <c r="J6481"/>
    </row>
    <row r="6482" spans="9:10" x14ac:dyDescent="0.3">
      <c r="I6482"/>
      <c r="J6482"/>
    </row>
    <row r="6483" spans="9:10" x14ac:dyDescent="0.3">
      <c r="I6483"/>
      <c r="J6483"/>
    </row>
    <row r="6484" spans="9:10" x14ac:dyDescent="0.3">
      <c r="I6484"/>
      <c r="J6484"/>
    </row>
    <row r="6485" spans="9:10" x14ac:dyDescent="0.3">
      <c r="I6485"/>
      <c r="J6485"/>
    </row>
    <row r="6486" spans="9:10" x14ac:dyDescent="0.3">
      <c r="I6486"/>
      <c r="J6486"/>
    </row>
    <row r="6487" spans="9:10" x14ac:dyDescent="0.3">
      <c r="I6487"/>
      <c r="J6487"/>
    </row>
    <row r="6488" spans="9:10" x14ac:dyDescent="0.3">
      <c r="I6488"/>
      <c r="J6488"/>
    </row>
    <row r="6489" spans="9:10" x14ac:dyDescent="0.3">
      <c r="I6489"/>
      <c r="J6489"/>
    </row>
    <row r="6490" spans="9:10" x14ac:dyDescent="0.3">
      <c r="I6490"/>
      <c r="J6490"/>
    </row>
    <row r="6491" spans="9:10" x14ac:dyDescent="0.3">
      <c r="I6491"/>
      <c r="J6491"/>
    </row>
    <row r="6492" spans="9:10" x14ac:dyDescent="0.3">
      <c r="I6492"/>
      <c r="J6492"/>
    </row>
    <row r="6493" spans="9:10" x14ac:dyDescent="0.3">
      <c r="I6493"/>
      <c r="J6493"/>
    </row>
    <row r="6494" spans="9:10" x14ac:dyDescent="0.3">
      <c r="I6494"/>
      <c r="J6494"/>
    </row>
    <row r="6495" spans="9:10" x14ac:dyDescent="0.3">
      <c r="I6495"/>
      <c r="J6495"/>
    </row>
    <row r="6496" spans="9:10" x14ac:dyDescent="0.3">
      <c r="I6496"/>
      <c r="J6496"/>
    </row>
    <row r="6497" spans="9:10" x14ac:dyDescent="0.3">
      <c r="I6497"/>
      <c r="J6497"/>
    </row>
    <row r="6498" spans="9:10" x14ac:dyDescent="0.3">
      <c r="I6498"/>
      <c r="J6498"/>
    </row>
    <row r="6499" spans="9:10" x14ac:dyDescent="0.3">
      <c r="I6499"/>
      <c r="J6499"/>
    </row>
    <row r="6500" spans="9:10" x14ac:dyDescent="0.3">
      <c r="I6500"/>
      <c r="J6500"/>
    </row>
    <row r="6501" spans="9:10" x14ac:dyDescent="0.3">
      <c r="I6501"/>
      <c r="J6501"/>
    </row>
    <row r="6502" spans="9:10" x14ac:dyDescent="0.3">
      <c r="I6502"/>
      <c r="J6502"/>
    </row>
    <row r="6503" spans="9:10" x14ac:dyDescent="0.3">
      <c r="I6503"/>
      <c r="J6503"/>
    </row>
    <row r="6504" spans="9:10" x14ac:dyDescent="0.3">
      <c r="I6504"/>
      <c r="J6504"/>
    </row>
    <row r="6505" spans="9:10" x14ac:dyDescent="0.3">
      <c r="I6505"/>
      <c r="J6505"/>
    </row>
    <row r="6506" spans="9:10" x14ac:dyDescent="0.3">
      <c r="I6506"/>
      <c r="J6506"/>
    </row>
    <row r="6507" spans="9:10" x14ac:dyDescent="0.3">
      <c r="I6507"/>
      <c r="J6507"/>
    </row>
    <row r="6508" spans="9:10" x14ac:dyDescent="0.3">
      <c r="I6508"/>
      <c r="J6508"/>
    </row>
    <row r="6509" spans="9:10" x14ac:dyDescent="0.3">
      <c r="I6509"/>
      <c r="J6509"/>
    </row>
    <row r="6510" spans="9:10" x14ac:dyDescent="0.3">
      <c r="I6510"/>
      <c r="J6510"/>
    </row>
    <row r="6511" spans="9:10" x14ac:dyDescent="0.3">
      <c r="I6511"/>
      <c r="J6511"/>
    </row>
    <row r="6512" spans="9:10" x14ac:dyDescent="0.3">
      <c r="I6512"/>
      <c r="J6512"/>
    </row>
    <row r="6513" spans="9:10" x14ac:dyDescent="0.3">
      <c r="I6513"/>
      <c r="J6513"/>
    </row>
    <row r="6514" spans="9:10" x14ac:dyDescent="0.3">
      <c r="I6514"/>
      <c r="J6514"/>
    </row>
    <row r="6515" spans="9:10" x14ac:dyDescent="0.3">
      <c r="I6515"/>
      <c r="J6515"/>
    </row>
    <row r="6516" spans="9:10" x14ac:dyDescent="0.3">
      <c r="I6516"/>
      <c r="J6516"/>
    </row>
    <row r="6517" spans="9:10" x14ac:dyDescent="0.3">
      <c r="I6517"/>
      <c r="J6517"/>
    </row>
    <row r="6518" spans="9:10" x14ac:dyDescent="0.3">
      <c r="I6518"/>
      <c r="J6518"/>
    </row>
    <row r="6519" spans="9:10" x14ac:dyDescent="0.3">
      <c r="I6519"/>
      <c r="J6519"/>
    </row>
    <row r="6520" spans="9:10" x14ac:dyDescent="0.3">
      <c r="I6520"/>
      <c r="J6520"/>
    </row>
    <row r="6521" spans="9:10" x14ac:dyDescent="0.3">
      <c r="I6521"/>
      <c r="J6521"/>
    </row>
    <row r="6522" spans="9:10" x14ac:dyDescent="0.3">
      <c r="I6522"/>
      <c r="J6522"/>
    </row>
    <row r="6523" spans="9:10" x14ac:dyDescent="0.3">
      <c r="I6523"/>
      <c r="J6523"/>
    </row>
    <row r="6524" spans="9:10" x14ac:dyDescent="0.3">
      <c r="I6524"/>
      <c r="J6524"/>
    </row>
    <row r="6525" spans="9:10" x14ac:dyDescent="0.3">
      <c r="I6525"/>
      <c r="J6525"/>
    </row>
    <row r="6526" spans="9:10" x14ac:dyDescent="0.3">
      <c r="I6526"/>
      <c r="J6526"/>
    </row>
    <row r="6527" spans="9:10" x14ac:dyDescent="0.3">
      <c r="I6527"/>
      <c r="J6527"/>
    </row>
    <row r="6528" spans="9:10" x14ac:dyDescent="0.3">
      <c r="I6528"/>
      <c r="J6528"/>
    </row>
    <row r="6529" spans="9:10" x14ac:dyDescent="0.3">
      <c r="I6529"/>
      <c r="J6529"/>
    </row>
    <row r="6530" spans="9:10" x14ac:dyDescent="0.3">
      <c r="I6530"/>
      <c r="J6530"/>
    </row>
    <row r="6531" spans="9:10" x14ac:dyDescent="0.3">
      <c r="I6531"/>
      <c r="J6531"/>
    </row>
    <row r="6532" spans="9:10" x14ac:dyDescent="0.3">
      <c r="I6532"/>
      <c r="J6532"/>
    </row>
    <row r="6533" spans="9:10" x14ac:dyDescent="0.3">
      <c r="I6533"/>
      <c r="J6533"/>
    </row>
    <row r="6534" spans="9:10" x14ac:dyDescent="0.3">
      <c r="I6534"/>
      <c r="J6534"/>
    </row>
    <row r="6535" spans="9:10" x14ac:dyDescent="0.3">
      <c r="I6535"/>
      <c r="J6535"/>
    </row>
    <row r="6536" spans="9:10" x14ac:dyDescent="0.3">
      <c r="I6536"/>
      <c r="J6536"/>
    </row>
    <row r="6537" spans="9:10" x14ac:dyDescent="0.3">
      <c r="I6537"/>
      <c r="J6537"/>
    </row>
    <row r="6538" spans="9:10" x14ac:dyDescent="0.3">
      <c r="I6538"/>
      <c r="J6538"/>
    </row>
    <row r="6539" spans="9:10" x14ac:dyDescent="0.3">
      <c r="I6539"/>
      <c r="J6539"/>
    </row>
    <row r="6540" spans="9:10" x14ac:dyDescent="0.3">
      <c r="I6540"/>
      <c r="J6540"/>
    </row>
    <row r="6541" spans="9:10" x14ac:dyDescent="0.3">
      <c r="I6541"/>
      <c r="J6541"/>
    </row>
    <row r="6542" spans="9:10" x14ac:dyDescent="0.3">
      <c r="I6542"/>
      <c r="J6542"/>
    </row>
    <row r="6543" spans="9:10" x14ac:dyDescent="0.3">
      <c r="I6543"/>
      <c r="J6543"/>
    </row>
    <row r="6544" spans="9:10" x14ac:dyDescent="0.3">
      <c r="I6544"/>
      <c r="J6544"/>
    </row>
    <row r="6545" spans="9:10" x14ac:dyDescent="0.3">
      <c r="I6545"/>
      <c r="J6545"/>
    </row>
    <row r="6546" spans="9:10" x14ac:dyDescent="0.3">
      <c r="I6546"/>
      <c r="J6546"/>
    </row>
    <row r="6547" spans="9:10" x14ac:dyDescent="0.3">
      <c r="I6547"/>
      <c r="J6547"/>
    </row>
    <row r="6548" spans="9:10" x14ac:dyDescent="0.3">
      <c r="I6548"/>
      <c r="J6548"/>
    </row>
    <row r="6549" spans="9:10" x14ac:dyDescent="0.3">
      <c r="I6549"/>
      <c r="J6549"/>
    </row>
    <row r="6550" spans="9:10" x14ac:dyDescent="0.3">
      <c r="I6550"/>
      <c r="J6550"/>
    </row>
    <row r="6551" spans="9:10" x14ac:dyDescent="0.3">
      <c r="I6551"/>
      <c r="J6551"/>
    </row>
    <row r="6552" spans="9:10" x14ac:dyDescent="0.3">
      <c r="I6552"/>
      <c r="J6552"/>
    </row>
    <row r="6553" spans="9:10" x14ac:dyDescent="0.3">
      <c r="I6553"/>
      <c r="J6553"/>
    </row>
    <row r="6554" spans="9:10" x14ac:dyDescent="0.3">
      <c r="I6554"/>
      <c r="J6554"/>
    </row>
    <row r="6555" spans="9:10" x14ac:dyDescent="0.3">
      <c r="I6555"/>
      <c r="J6555"/>
    </row>
    <row r="6556" spans="9:10" x14ac:dyDescent="0.3">
      <c r="I6556"/>
      <c r="J6556"/>
    </row>
    <row r="6557" spans="9:10" x14ac:dyDescent="0.3">
      <c r="I6557"/>
      <c r="J6557"/>
    </row>
    <row r="6558" spans="9:10" x14ac:dyDescent="0.3">
      <c r="I6558"/>
      <c r="J6558"/>
    </row>
    <row r="6559" spans="9:10" x14ac:dyDescent="0.3">
      <c r="I6559"/>
      <c r="J6559"/>
    </row>
    <row r="6560" spans="9:10" x14ac:dyDescent="0.3">
      <c r="I6560"/>
      <c r="J6560"/>
    </row>
    <row r="6561" spans="9:10" x14ac:dyDescent="0.3">
      <c r="I6561"/>
      <c r="J6561"/>
    </row>
    <row r="6562" spans="9:10" x14ac:dyDescent="0.3">
      <c r="I6562"/>
      <c r="J6562"/>
    </row>
    <row r="6563" spans="9:10" x14ac:dyDescent="0.3">
      <c r="I6563"/>
      <c r="J6563"/>
    </row>
    <row r="6564" spans="9:10" x14ac:dyDescent="0.3">
      <c r="I6564"/>
      <c r="J6564"/>
    </row>
    <row r="6565" spans="9:10" x14ac:dyDescent="0.3">
      <c r="I6565"/>
      <c r="J6565"/>
    </row>
    <row r="6566" spans="9:10" x14ac:dyDescent="0.3">
      <c r="I6566"/>
      <c r="J6566"/>
    </row>
    <row r="6567" spans="9:10" x14ac:dyDescent="0.3">
      <c r="I6567"/>
      <c r="J6567"/>
    </row>
    <row r="6568" spans="9:10" x14ac:dyDescent="0.3">
      <c r="I6568"/>
      <c r="J6568"/>
    </row>
    <row r="6569" spans="9:10" x14ac:dyDescent="0.3">
      <c r="I6569"/>
      <c r="J6569"/>
    </row>
    <row r="6570" spans="9:10" x14ac:dyDescent="0.3">
      <c r="I6570"/>
      <c r="J6570"/>
    </row>
    <row r="6571" spans="9:10" x14ac:dyDescent="0.3">
      <c r="I6571"/>
      <c r="J6571"/>
    </row>
    <row r="6572" spans="9:10" x14ac:dyDescent="0.3">
      <c r="I6572"/>
      <c r="J6572"/>
    </row>
    <row r="6573" spans="9:10" x14ac:dyDescent="0.3">
      <c r="I6573"/>
      <c r="J6573"/>
    </row>
    <row r="6574" spans="9:10" x14ac:dyDescent="0.3">
      <c r="I6574"/>
      <c r="J6574"/>
    </row>
    <row r="6575" spans="9:10" x14ac:dyDescent="0.3">
      <c r="I6575"/>
      <c r="J6575"/>
    </row>
    <row r="6576" spans="9:10" x14ac:dyDescent="0.3">
      <c r="I6576"/>
      <c r="J6576"/>
    </row>
    <row r="6577" spans="9:10" x14ac:dyDescent="0.3">
      <c r="I6577"/>
      <c r="J6577"/>
    </row>
    <row r="6578" spans="9:10" x14ac:dyDescent="0.3">
      <c r="I6578"/>
      <c r="J6578"/>
    </row>
    <row r="6579" spans="9:10" x14ac:dyDescent="0.3">
      <c r="I6579"/>
      <c r="J6579"/>
    </row>
    <row r="6580" spans="9:10" x14ac:dyDescent="0.3">
      <c r="I6580"/>
      <c r="J6580"/>
    </row>
    <row r="6581" spans="9:10" x14ac:dyDescent="0.3">
      <c r="I6581"/>
      <c r="J6581"/>
    </row>
    <row r="6582" spans="9:10" x14ac:dyDescent="0.3">
      <c r="I6582"/>
      <c r="J6582"/>
    </row>
    <row r="6583" spans="9:10" x14ac:dyDescent="0.3">
      <c r="I6583"/>
      <c r="J6583"/>
    </row>
    <row r="6584" spans="9:10" x14ac:dyDescent="0.3">
      <c r="I6584"/>
      <c r="J6584"/>
    </row>
    <row r="6585" spans="9:10" x14ac:dyDescent="0.3">
      <c r="I6585"/>
      <c r="J6585"/>
    </row>
    <row r="6586" spans="9:10" x14ac:dyDescent="0.3">
      <c r="I6586"/>
      <c r="J6586"/>
    </row>
    <row r="6587" spans="9:10" x14ac:dyDescent="0.3">
      <c r="I6587"/>
      <c r="J6587"/>
    </row>
    <row r="6588" spans="9:10" x14ac:dyDescent="0.3">
      <c r="I6588"/>
      <c r="J6588"/>
    </row>
    <row r="6589" spans="9:10" x14ac:dyDescent="0.3">
      <c r="I6589"/>
      <c r="J6589"/>
    </row>
    <row r="6590" spans="9:10" x14ac:dyDescent="0.3">
      <c r="I6590"/>
      <c r="J6590"/>
    </row>
    <row r="6591" spans="9:10" x14ac:dyDescent="0.3">
      <c r="I6591"/>
      <c r="J6591"/>
    </row>
    <row r="6592" spans="9:10" x14ac:dyDescent="0.3">
      <c r="I6592"/>
      <c r="J6592"/>
    </row>
    <row r="6593" spans="9:10" x14ac:dyDescent="0.3">
      <c r="I6593"/>
      <c r="J6593"/>
    </row>
    <row r="6594" spans="9:10" x14ac:dyDescent="0.3">
      <c r="I6594"/>
      <c r="J6594"/>
    </row>
    <row r="6595" spans="9:10" x14ac:dyDescent="0.3">
      <c r="I6595"/>
      <c r="J6595"/>
    </row>
    <row r="6596" spans="9:10" x14ac:dyDescent="0.3">
      <c r="I6596"/>
      <c r="J6596"/>
    </row>
    <row r="6597" spans="9:10" x14ac:dyDescent="0.3">
      <c r="I6597"/>
      <c r="J6597"/>
    </row>
    <row r="6598" spans="9:10" x14ac:dyDescent="0.3">
      <c r="I6598"/>
      <c r="J6598"/>
    </row>
    <row r="6599" spans="9:10" x14ac:dyDescent="0.3">
      <c r="I6599"/>
      <c r="J6599"/>
    </row>
    <row r="6600" spans="9:10" x14ac:dyDescent="0.3">
      <c r="I6600"/>
      <c r="J6600"/>
    </row>
    <row r="6601" spans="9:10" x14ac:dyDescent="0.3">
      <c r="I6601"/>
      <c r="J6601"/>
    </row>
    <row r="6602" spans="9:10" x14ac:dyDescent="0.3">
      <c r="I6602"/>
      <c r="J6602"/>
    </row>
    <row r="6603" spans="9:10" x14ac:dyDescent="0.3">
      <c r="I6603"/>
      <c r="J6603"/>
    </row>
    <row r="6604" spans="9:10" x14ac:dyDescent="0.3">
      <c r="I6604"/>
      <c r="J6604"/>
    </row>
    <row r="6605" spans="9:10" x14ac:dyDescent="0.3">
      <c r="I6605"/>
      <c r="J6605"/>
    </row>
    <row r="6606" spans="9:10" x14ac:dyDescent="0.3">
      <c r="I6606"/>
      <c r="J6606"/>
    </row>
    <row r="6607" spans="9:10" x14ac:dyDescent="0.3">
      <c r="I6607"/>
      <c r="J6607"/>
    </row>
    <row r="6608" spans="9:10" x14ac:dyDescent="0.3">
      <c r="I6608"/>
      <c r="J6608"/>
    </row>
    <row r="6609" spans="9:10" x14ac:dyDescent="0.3">
      <c r="I6609"/>
      <c r="J6609"/>
    </row>
    <row r="6610" spans="9:10" x14ac:dyDescent="0.3">
      <c r="I6610"/>
      <c r="J6610"/>
    </row>
    <row r="6611" spans="9:10" x14ac:dyDescent="0.3">
      <c r="I6611"/>
      <c r="J6611"/>
    </row>
    <row r="6612" spans="9:10" x14ac:dyDescent="0.3">
      <c r="I6612"/>
      <c r="J6612"/>
    </row>
    <row r="6613" spans="9:10" x14ac:dyDescent="0.3">
      <c r="I6613"/>
      <c r="J6613"/>
    </row>
    <row r="6614" spans="9:10" x14ac:dyDescent="0.3">
      <c r="I6614"/>
      <c r="J6614"/>
    </row>
    <row r="6615" spans="9:10" x14ac:dyDescent="0.3">
      <c r="I6615"/>
      <c r="J6615"/>
    </row>
    <row r="6616" spans="9:10" x14ac:dyDescent="0.3">
      <c r="I6616"/>
      <c r="J6616"/>
    </row>
    <row r="6617" spans="9:10" x14ac:dyDescent="0.3">
      <c r="I6617"/>
      <c r="J6617"/>
    </row>
    <row r="6618" spans="9:10" x14ac:dyDescent="0.3">
      <c r="I6618"/>
      <c r="J6618"/>
    </row>
    <row r="6619" spans="9:10" x14ac:dyDescent="0.3">
      <c r="I6619"/>
      <c r="J6619"/>
    </row>
    <row r="6620" spans="9:10" x14ac:dyDescent="0.3">
      <c r="I6620"/>
      <c r="J6620"/>
    </row>
    <row r="6621" spans="9:10" x14ac:dyDescent="0.3">
      <c r="I6621"/>
      <c r="J6621"/>
    </row>
    <row r="6622" spans="9:10" x14ac:dyDescent="0.3">
      <c r="I6622"/>
      <c r="J6622"/>
    </row>
    <row r="6623" spans="9:10" x14ac:dyDescent="0.3">
      <c r="I6623"/>
      <c r="J6623"/>
    </row>
    <row r="6624" spans="9:10" x14ac:dyDescent="0.3">
      <c r="I6624"/>
      <c r="J6624"/>
    </row>
    <row r="6625" spans="9:10" x14ac:dyDescent="0.3">
      <c r="I6625"/>
      <c r="J6625"/>
    </row>
    <row r="6626" spans="9:10" x14ac:dyDescent="0.3">
      <c r="I6626"/>
      <c r="J6626"/>
    </row>
    <row r="6627" spans="9:10" x14ac:dyDescent="0.3">
      <c r="I6627"/>
      <c r="J6627"/>
    </row>
    <row r="6628" spans="9:10" x14ac:dyDescent="0.3">
      <c r="I6628"/>
      <c r="J6628"/>
    </row>
    <row r="6629" spans="9:10" x14ac:dyDescent="0.3">
      <c r="I6629"/>
      <c r="J6629"/>
    </row>
    <row r="6630" spans="9:10" x14ac:dyDescent="0.3">
      <c r="I6630"/>
      <c r="J6630"/>
    </row>
    <row r="6631" spans="9:10" x14ac:dyDescent="0.3">
      <c r="I6631"/>
      <c r="J6631"/>
    </row>
    <row r="6632" spans="9:10" x14ac:dyDescent="0.3">
      <c r="I6632"/>
      <c r="J6632"/>
    </row>
    <row r="6633" spans="9:10" x14ac:dyDescent="0.3">
      <c r="I6633"/>
      <c r="J6633"/>
    </row>
    <row r="6634" spans="9:10" x14ac:dyDescent="0.3">
      <c r="I6634"/>
      <c r="J6634"/>
    </row>
    <row r="6635" spans="9:10" x14ac:dyDescent="0.3">
      <c r="I6635"/>
      <c r="J6635"/>
    </row>
    <row r="6636" spans="9:10" x14ac:dyDescent="0.3">
      <c r="I6636"/>
      <c r="J6636"/>
    </row>
    <row r="6637" spans="9:10" x14ac:dyDescent="0.3">
      <c r="I6637"/>
      <c r="J6637"/>
    </row>
    <row r="6638" spans="9:10" x14ac:dyDescent="0.3">
      <c r="I6638"/>
      <c r="J6638"/>
    </row>
    <row r="6639" spans="9:10" x14ac:dyDescent="0.3">
      <c r="I6639"/>
      <c r="J6639"/>
    </row>
    <row r="6640" spans="9:10" x14ac:dyDescent="0.3">
      <c r="I6640"/>
      <c r="J6640"/>
    </row>
    <row r="6641" spans="9:10" x14ac:dyDescent="0.3">
      <c r="I6641"/>
      <c r="J6641"/>
    </row>
    <row r="6642" spans="9:10" x14ac:dyDescent="0.3">
      <c r="I6642"/>
      <c r="J6642"/>
    </row>
    <row r="6643" spans="9:10" x14ac:dyDescent="0.3">
      <c r="I6643"/>
      <c r="J6643"/>
    </row>
    <row r="6644" spans="9:10" x14ac:dyDescent="0.3">
      <c r="I6644"/>
      <c r="J6644"/>
    </row>
    <row r="6645" spans="9:10" x14ac:dyDescent="0.3">
      <c r="I6645"/>
      <c r="J6645"/>
    </row>
    <row r="6646" spans="9:10" x14ac:dyDescent="0.3">
      <c r="I6646"/>
      <c r="J6646"/>
    </row>
    <row r="6647" spans="9:10" x14ac:dyDescent="0.3">
      <c r="I6647"/>
      <c r="J6647"/>
    </row>
    <row r="6648" spans="9:10" x14ac:dyDescent="0.3">
      <c r="I6648"/>
      <c r="J6648"/>
    </row>
    <row r="6649" spans="9:10" x14ac:dyDescent="0.3">
      <c r="I6649"/>
      <c r="J6649"/>
    </row>
    <row r="6650" spans="9:10" x14ac:dyDescent="0.3">
      <c r="I6650"/>
      <c r="J6650"/>
    </row>
    <row r="6651" spans="9:10" x14ac:dyDescent="0.3">
      <c r="I6651"/>
      <c r="J6651"/>
    </row>
    <row r="6652" spans="9:10" x14ac:dyDescent="0.3">
      <c r="I6652"/>
      <c r="J6652"/>
    </row>
    <row r="6653" spans="9:10" x14ac:dyDescent="0.3">
      <c r="I6653"/>
      <c r="J6653"/>
    </row>
    <row r="6654" spans="9:10" x14ac:dyDescent="0.3">
      <c r="I6654"/>
      <c r="J6654"/>
    </row>
    <row r="6655" spans="9:10" x14ac:dyDescent="0.3">
      <c r="I6655"/>
      <c r="J6655"/>
    </row>
    <row r="6656" spans="9:10" x14ac:dyDescent="0.3">
      <c r="I6656"/>
      <c r="J6656"/>
    </row>
    <row r="6657" spans="9:10" x14ac:dyDescent="0.3">
      <c r="I6657"/>
      <c r="J6657"/>
    </row>
    <row r="6658" spans="9:10" x14ac:dyDescent="0.3">
      <c r="I6658"/>
      <c r="J6658"/>
    </row>
    <row r="6659" spans="9:10" x14ac:dyDescent="0.3">
      <c r="I6659"/>
      <c r="J6659"/>
    </row>
    <row r="6660" spans="9:10" x14ac:dyDescent="0.3">
      <c r="I6660"/>
      <c r="J6660"/>
    </row>
    <row r="6661" spans="9:10" x14ac:dyDescent="0.3">
      <c r="I6661"/>
      <c r="J6661"/>
    </row>
    <row r="6662" spans="9:10" x14ac:dyDescent="0.3">
      <c r="I6662"/>
      <c r="J6662"/>
    </row>
    <row r="6663" spans="9:10" x14ac:dyDescent="0.3">
      <c r="I6663"/>
      <c r="J6663"/>
    </row>
    <row r="6664" spans="9:10" x14ac:dyDescent="0.3">
      <c r="I6664"/>
      <c r="J6664"/>
    </row>
    <row r="6665" spans="9:10" x14ac:dyDescent="0.3">
      <c r="I6665"/>
      <c r="J6665"/>
    </row>
    <row r="6666" spans="9:10" x14ac:dyDescent="0.3">
      <c r="I6666"/>
      <c r="J6666"/>
    </row>
    <row r="6667" spans="9:10" x14ac:dyDescent="0.3">
      <c r="I6667"/>
      <c r="J6667"/>
    </row>
    <row r="6668" spans="9:10" x14ac:dyDescent="0.3">
      <c r="I6668"/>
      <c r="J6668"/>
    </row>
    <row r="6669" spans="9:10" x14ac:dyDescent="0.3">
      <c r="I6669"/>
      <c r="J6669"/>
    </row>
    <row r="6670" spans="9:10" x14ac:dyDescent="0.3">
      <c r="I6670"/>
      <c r="J6670"/>
    </row>
    <row r="6671" spans="9:10" x14ac:dyDescent="0.3">
      <c r="I6671"/>
      <c r="J6671"/>
    </row>
    <row r="6672" spans="9:10" x14ac:dyDescent="0.3">
      <c r="I6672"/>
      <c r="J6672"/>
    </row>
    <row r="6673" spans="9:10" x14ac:dyDescent="0.3">
      <c r="I6673"/>
      <c r="J6673"/>
    </row>
    <row r="6674" spans="9:10" x14ac:dyDescent="0.3">
      <c r="I6674"/>
      <c r="J6674"/>
    </row>
    <row r="6675" spans="9:10" x14ac:dyDescent="0.3">
      <c r="I6675"/>
      <c r="J6675"/>
    </row>
    <row r="6676" spans="9:10" x14ac:dyDescent="0.3">
      <c r="I6676"/>
      <c r="J6676"/>
    </row>
    <row r="6677" spans="9:10" x14ac:dyDescent="0.3">
      <c r="I6677"/>
      <c r="J6677"/>
    </row>
    <row r="6678" spans="9:10" x14ac:dyDescent="0.3">
      <c r="I6678"/>
      <c r="J6678"/>
    </row>
    <row r="6679" spans="9:10" x14ac:dyDescent="0.3">
      <c r="I6679"/>
      <c r="J6679"/>
    </row>
    <row r="6680" spans="9:10" x14ac:dyDescent="0.3">
      <c r="I6680"/>
      <c r="J6680"/>
    </row>
    <row r="6681" spans="9:10" x14ac:dyDescent="0.3">
      <c r="I6681"/>
      <c r="J6681"/>
    </row>
    <row r="6682" spans="9:10" x14ac:dyDescent="0.3">
      <c r="I6682"/>
      <c r="J6682"/>
    </row>
    <row r="6683" spans="9:10" x14ac:dyDescent="0.3">
      <c r="I6683"/>
      <c r="J6683"/>
    </row>
    <row r="6684" spans="9:10" x14ac:dyDescent="0.3">
      <c r="I6684"/>
      <c r="J6684"/>
    </row>
    <row r="6685" spans="9:10" x14ac:dyDescent="0.3">
      <c r="I6685"/>
      <c r="J6685"/>
    </row>
    <row r="6686" spans="9:10" x14ac:dyDescent="0.3">
      <c r="I6686"/>
      <c r="J6686"/>
    </row>
    <row r="6687" spans="9:10" x14ac:dyDescent="0.3">
      <c r="I6687"/>
      <c r="J6687"/>
    </row>
    <row r="6688" spans="9:10" x14ac:dyDescent="0.3">
      <c r="I6688"/>
      <c r="J6688"/>
    </row>
    <row r="6689" spans="9:10" x14ac:dyDescent="0.3">
      <c r="I6689"/>
      <c r="J6689"/>
    </row>
    <row r="6690" spans="9:10" x14ac:dyDescent="0.3">
      <c r="I6690"/>
      <c r="J6690"/>
    </row>
    <row r="6691" spans="9:10" x14ac:dyDescent="0.3">
      <c r="I6691"/>
      <c r="J6691"/>
    </row>
    <row r="6692" spans="9:10" x14ac:dyDescent="0.3">
      <c r="I6692"/>
      <c r="J6692"/>
    </row>
    <row r="6693" spans="9:10" x14ac:dyDescent="0.3">
      <c r="I6693"/>
      <c r="J6693"/>
    </row>
    <row r="6694" spans="9:10" x14ac:dyDescent="0.3">
      <c r="I6694"/>
      <c r="J6694"/>
    </row>
    <row r="6695" spans="9:10" x14ac:dyDescent="0.3">
      <c r="I6695"/>
      <c r="J6695"/>
    </row>
    <row r="6696" spans="9:10" x14ac:dyDescent="0.3">
      <c r="I6696"/>
      <c r="J6696"/>
    </row>
    <row r="6697" spans="9:10" x14ac:dyDescent="0.3">
      <c r="I6697"/>
      <c r="J6697"/>
    </row>
    <row r="6698" spans="9:10" x14ac:dyDescent="0.3">
      <c r="I6698"/>
      <c r="J6698"/>
    </row>
    <row r="6699" spans="9:10" x14ac:dyDescent="0.3">
      <c r="I6699"/>
      <c r="J6699"/>
    </row>
    <row r="6700" spans="9:10" x14ac:dyDescent="0.3">
      <c r="I6700"/>
      <c r="J6700"/>
    </row>
    <row r="6701" spans="9:10" x14ac:dyDescent="0.3">
      <c r="I6701"/>
      <c r="J6701"/>
    </row>
    <row r="6702" spans="9:10" x14ac:dyDescent="0.3">
      <c r="I6702"/>
      <c r="J6702"/>
    </row>
    <row r="6703" spans="9:10" x14ac:dyDescent="0.3">
      <c r="I6703"/>
      <c r="J6703"/>
    </row>
    <row r="6704" spans="9:10" x14ac:dyDescent="0.3">
      <c r="I6704"/>
      <c r="J6704"/>
    </row>
    <row r="6705" spans="9:10" x14ac:dyDescent="0.3">
      <c r="I6705"/>
      <c r="J6705"/>
    </row>
    <row r="6706" spans="9:10" x14ac:dyDescent="0.3">
      <c r="I6706"/>
      <c r="J6706"/>
    </row>
    <row r="6707" spans="9:10" x14ac:dyDescent="0.3">
      <c r="I6707"/>
      <c r="J6707"/>
    </row>
    <row r="6708" spans="9:10" x14ac:dyDescent="0.3">
      <c r="I6708"/>
      <c r="J6708"/>
    </row>
    <row r="6709" spans="9:10" x14ac:dyDescent="0.3">
      <c r="I6709"/>
      <c r="J6709"/>
    </row>
    <row r="6710" spans="9:10" x14ac:dyDescent="0.3">
      <c r="I6710"/>
      <c r="J6710"/>
    </row>
    <row r="6711" spans="9:10" x14ac:dyDescent="0.3">
      <c r="I6711"/>
      <c r="J6711"/>
    </row>
    <row r="6712" spans="9:10" x14ac:dyDescent="0.3">
      <c r="I6712"/>
      <c r="J6712"/>
    </row>
    <row r="6713" spans="9:10" x14ac:dyDescent="0.3">
      <c r="I6713"/>
      <c r="J6713"/>
    </row>
    <row r="6714" spans="9:10" x14ac:dyDescent="0.3">
      <c r="I6714"/>
      <c r="J6714"/>
    </row>
    <row r="6715" spans="9:10" x14ac:dyDescent="0.3">
      <c r="I6715"/>
      <c r="J6715"/>
    </row>
    <row r="6716" spans="9:10" x14ac:dyDescent="0.3">
      <c r="I6716"/>
      <c r="J6716"/>
    </row>
    <row r="6717" spans="9:10" x14ac:dyDescent="0.3">
      <c r="I6717"/>
      <c r="J6717"/>
    </row>
    <row r="6718" spans="9:10" x14ac:dyDescent="0.3">
      <c r="I6718"/>
      <c r="J6718"/>
    </row>
    <row r="6719" spans="9:10" x14ac:dyDescent="0.3">
      <c r="I6719"/>
      <c r="J6719"/>
    </row>
    <row r="6720" spans="9:10" x14ac:dyDescent="0.3">
      <c r="I6720"/>
      <c r="J6720"/>
    </row>
    <row r="6721" spans="9:10" x14ac:dyDescent="0.3">
      <c r="I6721"/>
      <c r="J6721"/>
    </row>
    <row r="6722" spans="9:10" x14ac:dyDescent="0.3">
      <c r="I6722"/>
      <c r="J6722"/>
    </row>
    <row r="6723" spans="9:10" x14ac:dyDescent="0.3">
      <c r="I6723"/>
      <c r="J6723"/>
    </row>
    <row r="6724" spans="9:10" x14ac:dyDescent="0.3">
      <c r="I6724"/>
      <c r="J6724"/>
    </row>
    <row r="6725" spans="9:10" x14ac:dyDescent="0.3">
      <c r="I6725"/>
      <c r="J6725"/>
    </row>
    <row r="6726" spans="9:10" x14ac:dyDescent="0.3">
      <c r="I6726"/>
      <c r="J6726"/>
    </row>
    <row r="6727" spans="9:10" x14ac:dyDescent="0.3">
      <c r="I6727"/>
      <c r="J6727"/>
    </row>
    <row r="6728" spans="9:10" x14ac:dyDescent="0.3">
      <c r="I6728"/>
      <c r="J6728"/>
    </row>
    <row r="6729" spans="9:10" x14ac:dyDescent="0.3">
      <c r="I6729"/>
      <c r="J6729"/>
    </row>
    <row r="6730" spans="9:10" x14ac:dyDescent="0.3">
      <c r="I6730"/>
      <c r="J6730"/>
    </row>
    <row r="6731" spans="9:10" x14ac:dyDescent="0.3">
      <c r="I6731"/>
      <c r="J6731"/>
    </row>
    <row r="6732" spans="9:10" x14ac:dyDescent="0.3">
      <c r="I6732"/>
      <c r="J6732"/>
    </row>
    <row r="6733" spans="9:10" x14ac:dyDescent="0.3">
      <c r="I6733"/>
      <c r="J6733"/>
    </row>
    <row r="6734" spans="9:10" x14ac:dyDescent="0.3">
      <c r="I6734"/>
      <c r="J6734"/>
    </row>
    <row r="6735" spans="9:10" x14ac:dyDescent="0.3">
      <c r="I6735"/>
      <c r="J6735"/>
    </row>
    <row r="6736" spans="9:10" x14ac:dyDescent="0.3">
      <c r="I6736"/>
      <c r="J6736"/>
    </row>
    <row r="6737" spans="9:10" x14ac:dyDescent="0.3">
      <c r="I6737"/>
      <c r="J6737"/>
    </row>
    <row r="6738" spans="9:10" x14ac:dyDescent="0.3">
      <c r="I6738"/>
      <c r="J6738"/>
    </row>
    <row r="6739" spans="9:10" x14ac:dyDescent="0.3">
      <c r="I6739"/>
      <c r="J6739"/>
    </row>
    <row r="6740" spans="9:10" x14ac:dyDescent="0.3">
      <c r="I6740"/>
      <c r="J6740"/>
    </row>
    <row r="6741" spans="9:10" x14ac:dyDescent="0.3">
      <c r="I6741"/>
      <c r="J6741"/>
    </row>
    <row r="6742" spans="9:10" x14ac:dyDescent="0.3">
      <c r="I6742"/>
      <c r="J6742"/>
    </row>
    <row r="6743" spans="9:10" x14ac:dyDescent="0.3">
      <c r="I6743"/>
      <c r="J6743"/>
    </row>
    <row r="6744" spans="9:10" x14ac:dyDescent="0.3">
      <c r="I6744"/>
      <c r="J6744"/>
    </row>
    <row r="6745" spans="9:10" x14ac:dyDescent="0.3">
      <c r="I6745"/>
      <c r="J6745"/>
    </row>
    <row r="6746" spans="9:10" x14ac:dyDescent="0.3">
      <c r="I6746"/>
      <c r="J6746"/>
    </row>
    <row r="6747" spans="9:10" x14ac:dyDescent="0.3">
      <c r="I6747"/>
      <c r="J6747"/>
    </row>
    <row r="6748" spans="9:10" x14ac:dyDescent="0.3">
      <c r="I6748"/>
      <c r="J6748"/>
    </row>
    <row r="6749" spans="9:10" x14ac:dyDescent="0.3">
      <c r="I6749"/>
      <c r="J6749"/>
    </row>
    <row r="6750" spans="9:10" x14ac:dyDescent="0.3">
      <c r="I6750"/>
      <c r="J6750"/>
    </row>
    <row r="6751" spans="9:10" x14ac:dyDescent="0.3">
      <c r="I6751"/>
      <c r="J6751"/>
    </row>
    <row r="6752" spans="9:10" x14ac:dyDescent="0.3">
      <c r="I6752"/>
      <c r="J6752"/>
    </row>
    <row r="6753" spans="9:10" x14ac:dyDescent="0.3">
      <c r="I6753"/>
      <c r="J6753"/>
    </row>
    <row r="6754" spans="9:10" x14ac:dyDescent="0.3">
      <c r="I6754"/>
      <c r="J6754"/>
    </row>
    <row r="6755" spans="9:10" x14ac:dyDescent="0.3">
      <c r="I6755"/>
      <c r="J6755"/>
    </row>
    <row r="6756" spans="9:10" x14ac:dyDescent="0.3">
      <c r="I6756"/>
      <c r="J6756"/>
    </row>
    <row r="6757" spans="9:10" x14ac:dyDescent="0.3">
      <c r="I6757"/>
      <c r="J6757"/>
    </row>
    <row r="6758" spans="9:10" x14ac:dyDescent="0.3">
      <c r="I6758"/>
      <c r="J6758"/>
    </row>
    <row r="6759" spans="9:10" x14ac:dyDescent="0.3">
      <c r="I6759"/>
      <c r="J6759"/>
    </row>
    <row r="6760" spans="9:10" x14ac:dyDescent="0.3">
      <c r="I6760"/>
      <c r="J6760"/>
    </row>
    <row r="6761" spans="9:10" x14ac:dyDescent="0.3">
      <c r="I6761"/>
      <c r="J6761"/>
    </row>
    <row r="6762" spans="9:10" x14ac:dyDescent="0.3">
      <c r="I6762"/>
      <c r="J6762"/>
    </row>
    <row r="6763" spans="9:10" x14ac:dyDescent="0.3">
      <c r="I6763"/>
      <c r="J6763"/>
    </row>
    <row r="6764" spans="9:10" x14ac:dyDescent="0.3">
      <c r="I6764"/>
      <c r="J6764"/>
    </row>
    <row r="6765" spans="9:10" x14ac:dyDescent="0.3">
      <c r="I6765"/>
      <c r="J6765"/>
    </row>
    <row r="6766" spans="9:10" x14ac:dyDescent="0.3">
      <c r="I6766"/>
      <c r="J6766"/>
    </row>
    <row r="6767" spans="9:10" x14ac:dyDescent="0.3">
      <c r="I6767"/>
      <c r="J6767"/>
    </row>
    <row r="6768" spans="9:10" x14ac:dyDescent="0.3">
      <c r="I6768"/>
      <c r="J6768"/>
    </row>
    <row r="6769" spans="9:10" x14ac:dyDescent="0.3">
      <c r="I6769"/>
      <c r="J6769"/>
    </row>
    <row r="6770" spans="9:10" x14ac:dyDescent="0.3">
      <c r="I6770"/>
      <c r="J6770"/>
    </row>
    <row r="6771" spans="9:10" x14ac:dyDescent="0.3">
      <c r="I6771"/>
      <c r="J6771"/>
    </row>
    <row r="6772" spans="9:10" x14ac:dyDescent="0.3">
      <c r="I6772"/>
      <c r="J6772"/>
    </row>
    <row r="6773" spans="9:10" x14ac:dyDescent="0.3">
      <c r="I6773"/>
      <c r="J6773"/>
    </row>
    <row r="6774" spans="9:10" x14ac:dyDescent="0.3">
      <c r="I6774"/>
      <c r="J6774"/>
    </row>
    <row r="6775" spans="9:10" x14ac:dyDescent="0.3">
      <c r="I6775"/>
      <c r="J6775"/>
    </row>
    <row r="6776" spans="9:10" x14ac:dyDescent="0.3">
      <c r="I6776"/>
      <c r="J6776"/>
    </row>
    <row r="6777" spans="9:10" x14ac:dyDescent="0.3">
      <c r="I6777"/>
      <c r="J6777"/>
    </row>
    <row r="6778" spans="9:10" x14ac:dyDescent="0.3">
      <c r="I6778"/>
      <c r="J6778"/>
    </row>
    <row r="6779" spans="9:10" x14ac:dyDescent="0.3">
      <c r="I6779"/>
      <c r="J6779"/>
    </row>
    <row r="6780" spans="9:10" x14ac:dyDescent="0.3">
      <c r="I6780"/>
      <c r="J6780"/>
    </row>
    <row r="6781" spans="9:10" x14ac:dyDescent="0.3">
      <c r="I6781"/>
      <c r="J6781"/>
    </row>
    <row r="6782" spans="9:10" x14ac:dyDescent="0.3">
      <c r="I6782"/>
      <c r="J6782"/>
    </row>
    <row r="6783" spans="9:10" x14ac:dyDescent="0.3">
      <c r="I6783"/>
      <c r="J6783"/>
    </row>
    <row r="6784" spans="9:10" x14ac:dyDescent="0.3">
      <c r="I6784"/>
      <c r="J6784"/>
    </row>
    <row r="6785" spans="9:10" x14ac:dyDescent="0.3">
      <c r="I6785"/>
      <c r="J6785"/>
    </row>
    <row r="6786" spans="9:10" x14ac:dyDescent="0.3">
      <c r="I6786"/>
      <c r="J6786"/>
    </row>
    <row r="6787" spans="9:10" x14ac:dyDescent="0.3">
      <c r="I6787"/>
      <c r="J6787"/>
    </row>
    <row r="6788" spans="9:10" x14ac:dyDescent="0.3">
      <c r="I6788"/>
      <c r="J6788"/>
    </row>
    <row r="6789" spans="9:10" x14ac:dyDescent="0.3">
      <c r="I6789"/>
      <c r="J6789"/>
    </row>
    <row r="6790" spans="9:10" x14ac:dyDescent="0.3">
      <c r="I6790"/>
      <c r="J6790"/>
    </row>
    <row r="6791" spans="9:10" x14ac:dyDescent="0.3">
      <c r="I6791"/>
      <c r="J6791"/>
    </row>
    <row r="6792" spans="9:10" x14ac:dyDescent="0.3">
      <c r="I6792"/>
      <c r="J6792"/>
    </row>
    <row r="6793" spans="9:10" x14ac:dyDescent="0.3">
      <c r="I6793"/>
      <c r="J6793"/>
    </row>
    <row r="6794" spans="9:10" x14ac:dyDescent="0.3">
      <c r="I6794"/>
      <c r="J6794"/>
    </row>
    <row r="6795" spans="9:10" x14ac:dyDescent="0.3">
      <c r="I6795"/>
      <c r="J6795"/>
    </row>
    <row r="6796" spans="9:10" x14ac:dyDescent="0.3">
      <c r="I6796"/>
      <c r="J6796"/>
    </row>
    <row r="6797" spans="9:10" x14ac:dyDescent="0.3">
      <c r="I6797"/>
      <c r="J6797"/>
    </row>
    <row r="6798" spans="9:10" x14ac:dyDescent="0.3">
      <c r="I6798"/>
      <c r="J6798"/>
    </row>
    <row r="6799" spans="9:10" x14ac:dyDescent="0.3">
      <c r="I6799"/>
      <c r="J6799"/>
    </row>
    <row r="6800" spans="9:10" x14ac:dyDescent="0.3">
      <c r="I6800"/>
      <c r="J6800"/>
    </row>
    <row r="6801" spans="9:10" x14ac:dyDescent="0.3">
      <c r="I6801"/>
      <c r="J6801"/>
    </row>
    <row r="6802" spans="9:10" x14ac:dyDescent="0.3">
      <c r="I6802"/>
      <c r="J6802"/>
    </row>
    <row r="6803" spans="9:10" x14ac:dyDescent="0.3">
      <c r="I6803"/>
      <c r="J6803"/>
    </row>
    <row r="6804" spans="9:10" x14ac:dyDescent="0.3">
      <c r="I6804"/>
      <c r="J6804"/>
    </row>
    <row r="6805" spans="9:10" x14ac:dyDescent="0.3">
      <c r="I6805"/>
      <c r="J6805"/>
    </row>
    <row r="6806" spans="9:10" x14ac:dyDescent="0.3">
      <c r="I6806"/>
      <c r="J6806"/>
    </row>
    <row r="6807" spans="9:10" x14ac:dyDescent="0.3">
      <c r="I6807"/>
      <c r="J6807"/>
    </row>
    <row r="6808" spans="9:10" x14ac:dyDescent="0.3">
      <c r="I6808"/>
      <c r="J6808"/>
    </row>
    <row r="6809" spans="9:10" x14ac:dyDescent="0.3">
      <c r="I6809"/>
      <c r="J6809"/>
    </row>
    <row r="6810" spans="9:10" x14ac:dyDescent="0.3">
      <c r="I6810"/>
      <c r="J6810"/>
    </row>
    <row r="6811" spans="9:10" x14ac:dyDescent="0.3">
      <c r="I6811"/>
      <c r="J6811"/>
    </row>
    <row r="6812" spans="9:10" x14ac:dyDescent="0.3">
      <c r="I6812"/>
      <c r="J6812"/>
    </row>
    <row r="6813" spans="9:10" x14ac:dyDescent="0.3">
      <c r="I6813"/>
      <c r="J6813"/>
    </row>
    <row r="6814" spans="9:10" x14ac:dyDescent="0.3">
      <c r="I6814"/>
      <c r="J6814"/>
    </row>
    <row r="6815" spans="9:10" x14ac:dyDescent="0.3">
      <c r="I6815"/>
      <c r="J6815"/>
    </row>
    <row r="6816" spans="9:10" x14ac:dyDescent="0.3">
      <c r="I6816"/>
      <c r="J6816"/>
    </row>
    <row r="6817" spans="9:10" x14ac:dyDescent="0.3">
      <c r="I6817"/>
      <c r="J6817"/>
    </row>
    <row r="6818" spans="9:10" x14ac:dyDescent="0.3">
      <c r="I6818"/>
      <c r="J6818"/>
    </row>
    <row r="6819" spans="9:10" x14ac:dyDescent="0.3">
      <c r="I6819"/>
      <c r="J6819"/>
    </row>
    <row r="6820" spans="9:10" x14ac:dyDescent="0.3">
      <c r="I6820"/>
      <c r="J6820"/>
    </row>
    <row r="6821" spans="9:10" x14ac:dyDescent="0.3">
      <c r="I6821"/>
      <c r="J6821"/>
    </row>
    <row r="6822" spans="9:10" x14ac:dyDescent="0.3">
      <c r="I6822"/>
      <c r="J6822"/>
    </row>
    <row r="6823" spans="9:10" x14ac:dyDescent="0.3">
      <c r="I6823"/>
      <c r="J6823"/>
    </row>
    <row r="6824" spans="9:10" x14ac:dyDescent="0.3">
      <c r="I6824"/>
      <c r="J6824"/>
    </row>
    <row r="6825" spans="9:10" x14ac:dyDescent="0.3">
      <c r="I6825"/>
      <c r="J6825"/>
    </row>
    <row r="6826" spans="9:10" x14ac:dyDescent="0.3">
      <c r="I6826"/>
      <c r="J6826"/>
    </row>
    <row r="6827" spans="9:10" x14ac:dyDescent="0.3">
      <c r="I6827"/>
      <c r="J6827"/>
    </row>
    <row r="6828" spans="9:10" x14ac:dyDescent="0.3">
      <c r="I6828"/>
      <c r="J6828"/>
    </row>
    <row r="6829" spans="9:10" x14ac:dyDescent="0.3">
      <c r="I6829"/>
      <c r="J6829"/>
    </row>
    <row r="6830" spans="9:10" x14ac:dyDescent="0.3">
      <c r="I6830"/>
      <c r="J6830"/>
    </row>
    <row r="6831" spans="9:10" x14ac:dyDescent="0.3">
      <c r="I6831"/>
      <c r="J6831"/>
    </row>
    <row r="6832" spans="9:10" x14ac:dyDescent="0.3">
      <c r="I6832"/>
      <c r="J6832"/>
    </row>
    <row r="6833" spans="9:10" x14ac:dyDescent="0.3">
      <c r="I6833"/>
      <c r="J6833"/>
    </row>
    <row r="6834" spans="9:10" x14ac:dyDescent="0.3">
      <c r="I6834"/>
      <c r="J6834"/>
    </row>
    <row r="6835" spans="9:10" x14ac:dyDescent="0.3">
      <c r="I6835"/>
      <c r="J6835"/>
    </row>
    <row r="6836" spans="9:10" x14ac:dyDescent="0.3">
      <c r="I6836"/>
      <c r="J6836"/>
    </row>
    <row r="6837" spans="9:10" x14ac:dyDescent="0.3">
      <c r="I6837"/>
      <c r="J6837"/>
    </row>
    <row r="6838" spans="9:10" x14ac:dyDescent="0.3">
      <c r="I6838"/>
      <c r="J6838"/>
    </row>
    <row r="6839" spans="9:10" x14ac:dyDescent="0.3">
      <c r="I6839"/>
      <c r="J6839"/>
    </row>
    <row r="6840" spans="9:10" x14ac:dyDescent="0.3">
      <c r="I6840"/>
      <c r="J6840"/>
    </row>
    <row r="6841" spans="9:10" x14ac:dyDescent="0.3">
      <c r="I6841"/>
      <c r="J6841"/>
    </row>
    <row r="6842" spans="9:10" x14ac:dyDescent="0.3">
      <c r="I6842"/>
      <c r="J6842"/>
    </row>
    <row r="6843" spans="9:10" x14ac:dyDescent="0.3">
      <c r="I6843"/>
      <c r="J6843"/>
    </row>
    <row r="6844" spans="9:10" x14ac:dyDescent="0.3">
      <c r="I6844"/>
      <c r="J6844"/>
    </row>
    <row r="6845" spans="9:10" x14ac:dyDescent="0.3">
      <c r="I6845"/>
      <c r="J6845"/>
    </row>
    <row r="6846" spans="9:10" x14ac:dyDescent="0.3">
      <c r="I6846"/>
      <c r="J6846"/>
    </row>
    <row r="6847" spans="9:10" x14ac:dyDescent="0.3">
      <c r="I6847"/>
      <c r="J6847"/>
    </row>
    <row r="6848" spans="9:10" x14ac:dyDescent="0.3">
      <c r="I6848"/>
      <c r="J6848"/>
    </row>
    <row r="6849" spans="9:10" x14ac:dyDescent="0.3">
      <c r="I6849"/>
      <c r="J6849"/>
    </row>
    <row r="6850" spans="9:10" x14ac:dyDescent="0.3">
      <c r="I6850"/>
      <c r="J6850"/>
    </row>
    <row r="6851" spans="9:10" x14ac:dyDescent="0.3">
      <c r="I6851"/>
      <c r="J6851"/>
    </row>
    <row r="6852" spans="9:10" x14ac:dyDescent="0.3">
      <c r="I6852"/>
      <c r="J6852"/>
    </row>
    <row r="6853" spans="9:10" x14ac:dyDescent="0.3">
      <c r="I6853"/>
      <c r="J6853"/>
    </row>
    <row r="6854" spans="9:10" x14ac:dyDescent="0.3">
      <c r="I6854"/>
      <c r="J6854"/>
    </row>
    <row r="6855" spans="9:10" x14ac:dyDescent="0.3">
      <c r="I6855"/>
      <c r="J6855"/>
    </row>
    <row r="6856" spans="9:10" x14ac:dyDescent="0.3">
      <c r="I6856"/>
      <c r="J6856"/>
    </row>
    <row r="6857" spans="9:10" x14ac:dyDescent="0.3">
      <c r="I6857"/>
      <c r="J6857"/>
    </row>
    <row r="6858" spans="9:10" x14ac:dyDescent="0.3">
      <c r="I6858"/>
      <c r="J6858"/>
    </row>
    <row r="6859" spans="9:10" x14ac:dyDescent="0.3">
      <c r="I6859"/>
      <c r="J6859"/>
    </row>
    <row r="6860" spans="9:10" x14ac:dyDescent="0.3">
      <c r="I6860"/>
      <c r="J6860"/>
    </row>
    <row r="6861" spans="9:10" x14ac:dyDescent="0.3">
      <c r="I6861"/>
      <c r="J6861"/>
    </row>
    <row r="6862" spans="9:10" x14ac:dyDescent="0.3">
      <c r="I6862"/>
      <c r="J6862"/>
    </row>
    <row r="6863" spans="9:10" x14ac:dyDescent="0.3">
      <c r="I6863"/>
      <c r="J6863"/>
    </row>
    <row r="6864" spans="9:10" x14ac:dyDescent="0.3">
      <c r="I6864"/>
      <c r="J6864"/>
    </row>
    <row r="6865" spans="9:10" x14ac:dyDescent="0.3">
      <c r="I6865"/>
      <c r="J6865"/>
    </row>
    <row r="6866" spans="9:10" x14ac:dyDescent="0.3">
      <c r="I6866"/>
      <c r="J6866"/>
    </row>
    <row r="6867" spans="9:10" x14ac:dyDescent="0.3">
      <c r="I6867"/>
      <c r="J6867"/>
    </row>
    <row r="6868" spans="9:10" x14ac:dyDescent="0.3">
      <c r="I6868"/>
      <c r="J6868"/>
    </row>
    <row r="6869" spans="9:10" x14ac:dyDescent="0.3">
      <c r="I6869"/>
      <c r="J6869"/>
    </row>
    <row r="6870" spans="9:10" x14ac:dyDescent="0.3">
      <c r="I6870"/>
      <c r="J6870"/>
    </row>
    <row r="6871" spans="9:10" x14ac:dyDescent="0.3">
      <c r="I6871"/>
      <c r="J6871"/>
    </row>
    <row r="6872" spans="9:10" x14ac:dyDescent="0.3">
      <c r="I6872"/>
      <c r="J6872"/>
    </row>
    <row r="6873" spans="9:10" x14ac:dyDescent="0.3">
      <c r="I6873"/>
      <c r="J6873"/>
    </row>
    <row r="6874" spans="9:10" x14ac:dyDescent="0.3">
      <c r="I6874"/>
      <c r="J6874"/>
    </row>
    <row r="6875" spans="9:10" x14ac:dyDescent="0.3">
      <c r="I6875"/>
      <c r="J6875"/>
    </row>
    <row r="6876" spans="9:10" x14ac:dyDescent="0.3">
      <c r="I6876"/>
      <c r="J6876"/>
    </row>
    <row r="6877" spans="9:10" x14ac:dyDescent="0.3">
      <c r="I6877"/>
      <c r="J6877"/>
    </row>
    <row r="6878" spans="9:10" x14ac:dyDescent="0.3">
      <c r="I6878"/>
      <c r="J6878"/>
    </row>
    <row r="6879" spans="9:10" x14ac:dyDescent="0.3">
      <c r="I6879"/>
      <c r="J6879"/>
    </row>
    <row r="6880" spans="9:10" x14ac:dyDescent="0.3">
      <c r="I6880"/>
      <c r="J6880"/>
    </row>
    <row r="6881" spans="9:10" x14ac:dyDescent="0.3">
      <c r="I6881"/>
      <c r="J6881"/>
    </row>
    <row r="6882" spans="9:10" x14ac:dyDescent="0.3">
      <c r="I6882"/>
      <c r="J6882"/>
    </row>
    <row r="6883" spans="9:10" x14ac:dyDescent="0.3">
      <c r="I6883"/>
      <c r="J6883"/>
    </row>
    <row r="6884" spans="9:10" x14ac:dyDescent="0.3">
      <c r="I6884"/>
      <c r="J6884"/>
    </row>
    <row r="6885" spans="9:10" x14ac:dyDescent="0.3">
      <c r="I6885"/>
      <c r="J6885"/>
    </row>
    <row r="6886" spans="9:10" x14ac:dyDescent="0.3">
      <c r="I6886"/>
      <c r="J6886"/>
    </row>
    <row r="6887" spans="9:10" x14ac:dyDescent="0.3">
      <c r="I6887"/>
      <c r="J6887"/>
    </row>
    <row r="6888" spans="9:10" x14ac:dyDescent="0.3">
      <c r="I6888"/>
      <c r="J6888"/>
    </row>
    <row r="6889" spans="9:10" x14ac:dyDescent="0.3">
      <c r="I6889"/>
      <c r="J6889"/>
    </row>
    <row r="6890" spans="9:10" x14ac:dyDescent="0.3">
      <c r="I6890"/>
      <c r="J6890"/>
    </row>
    <row r="6891" spans="9:10" x14ac:dyDescent="0.3">
      <c r="I6891"/>
      <c r="J6891"/>
    </row>
    <row r="6892" spans="9:10" x14ac:dyDescent="0.3">
      <c r="I6892"/>
      <c r="J6892"/>
    </row>
    <row r="6893" spans="9:10" x14ac:dyDescent="0.3">
      <c r="I6893"/>
      <c r="J6893"/>
    </row>
    <row r="6894" spans="9:10" x14ac:dyDescent="0.3">
      <c r="I6894"/>
      <c r="J6894"/>
    </row>
    <row r="6895" spans="9:10" x14ac:dyDescent="0.3">
      <c r="I6895"/>
      <c r="J6895"/>
    </row>
    <row r="6896" spans="9:10" x14ac:dyDescent="0.3">
      <c r="I6896"/>
      <c r="J6896"/>
    </row>
    <row r="6897" spans="9:10" x14ac:dyDescent="0.3">
      <c r="I6897"/>
      <c r="J6897"/>
    </row>
    <row r="6898" spans="9:10" x14ac:dyDescent="0.3">
      <c r="I6898"/>
      <c r="J6898"/>
    </row>
    <row r="6899" spans="9:10" x14ac:dyDescent="0.3">
      <c r="I6899"/>
      <c r="J6899"/>
    </row>
    <row r="6900" spans="9:10" x14ac:dyDescent="0.3">
      <c r="I6900"/>
      <c r="J6900"/>
    </row>
    <row r="6901" spans="9:10" x14ac:dyDescent="0.3">
      <c r="I6901"/>
      <c r="J6901"/>
    </row>
    <row r="6902" spans="9:10" x14ac:dyDescent="0.3">
      <c r="I6902"/>
      <c r="J6902"/>
    </row>
    <row r="6903" spans="9:10" x14ac:dyDescent="0.3">
      <c r="I6903"/>
      <c r="J6903"/>
    </row>
    <row r="6904" spans="9:10" x14ac:dyDescent="0.3">
      <c r="I6904"/>
      <c r="J6904"/>
    </row>
    <row r="6905" spans="9:10" x14ac:dyDescent="0.3">
      <c r="I6905"/>
      <c r="J6905"/>
    </row>
    <row r="6906" spans="9:10" x14ac:dyDescent="0.3">
      <c r="I6906"/>
      <c r="J6906"/>
    </row>
    <row r="6907" spans="9:10" x14ac:dyDescent="0.3">
      <c r="I6907"/>
      <c r="J6907"/>
    </row>
    <row r="6908" spans="9:10" x14ac:dyDescent="0.3">
      <c r="I6908"/>
      <c r="J6908"/>
    </row>
    <row r="6909" spans="9:10" x14ac:dyDescent="0.3">
      <c r="I6909"/>
      <c r="J6909"/>
    </row>
    <row r="6910" spans="9:10" x14ac:dyDescent="0.3">
      <c r="I6910"/>
      <c r="J6910"/>
    </row>
    <row r="6911" spans="9:10" x14ac:dyDescent="0.3">
      <c r="I6911"/>
      <c r="J6911"/>
    </row>
    <row r="6912" spans="9:10" x14ac:dyDescent="0.3">
      <c r="I6912"/>
      <c r="J6912"/>
    </row>
    <row r="6913" spans="9:10" x14ac:dyDescent="0.3">
      <c r="I6913"/>
      <c r="J6913"/>
    </row>
    <row r="6914" spans="9:10" x14ac:dyDescent="0.3">
      <c r="I6914"/>
      <c r="J6914"/>
    </row>
    <row r="6915" spans="9:10" x14ac:dyDescent="0.3">
      <c r="I6915"/>
      <c r="J6915"/>
    </row>
    <row r="6916" spans="9:10" x14ac:dyDescent="0.3">
      <c r="I6916"/>
      <c r="J6916"/>
    </row>
    <row r="6917" spans="9:10" x14ac:dyDescent="0.3">
      <c r="I6917"/>
      <c r="J6917"/>
    </row>
    <row r="6918" spans="9:10" x14ac:dyDescent="0.3">
      <c r="I6918"/>
      <c r="J6918"/>
    </row>
    <row r="6919" spans="9:10" x14ac:dyDescent="0.3">
      <c r="I6919"/>
      <c r="J6919"/>
    </row>
    <row r="6920" spans="9:10" x14ac:dyDescent="0.3">
      <c r="I6920"/>
      <c r="J6920"/>
    </row>
    <row r="6921" spans="9:10" x14ac:dyDescent="0.3">
      <c r="I6921"/>
      <c r="J6921"/>
    </row>
    <row r="6922" spans="9:10" x14ac:dyDescent="0.3">
      <c r="I6922"/>
      <c r="J6922"/>
    </row>
    <row r="6923" spans="9:10" x14ac:dyDescent="0.3">
      <c r="I6923"/>
      <c r="J6923"/>
    </row>
    <row r="6924" spans="9:10" x14ac:dyDescent="0.3">
      <c r="I6924"/>
      <c r="J6924"/>
    </row>
    <row r="6925" spans="9:10" x14ac:dyDescent="0.3">
      <c r="I6925"/>
      <c r="J6925"/>
    </row>
    <row r="6926" spans="9:10" x14ac:dyDescent="0.3">
      <c r="I6926"/>
      <c r="J6926"/>
    </row>
    <row r="6927" spans="9:10" x14ac:dyDescent="0.3">
      <c r="I6927"/>
      <c r="J6927"/>
    </row>
    <row r="6928" spans="9:10" x14ac:dyDescent="0.3">
      <c r="I6928"/>
      <c r="J6928"/>
    </row>
    <row r="6929" spans="9:10" x14ac:dyDescent="0.3">
      <c r="I6929"/>
      <c r="J6929"/>
    </row>
    <row r="6930" spans="9:10" x14ac:dyDescent="0.3">
      <c r="I6930"/>
      <c r="J6930"/>
    </row>
    <row r="6931" spans="9:10" x14ac:dyDescent="0.3">
      <c r="I6931"/>
      <c r="J6931"/>
    </row>
    <row r="6932" spans="9:10" x14ac:dyDescent="0.3">
      <c r="I6932"/>
      <c r="J6932"/>
    </row>
    <row r="6933" spans="9:10" x14ac:dyDescent="0.3">
      <c r="I6933"/>
      <c r="J6933"/>
    </row>
    <row r="6934" spans="9:10" x14ac:dyDescent="0.3">
      <c r="I6934"/>
      <c r="J6934"/>
    </row>
    <row r="6935" spans="9:10" x14ac:dyDescent="0.3">
      <c r="I6935"/>
      <c r="J6935"/>
    </row>
    <row r="6936" spans="9:10" x14ac:dyDescent="0.3">
      <c r="I6936"/>
      <c r="J6936"/>
    </row>
    <row r="6937" spans="9:10" x14ac:dyDescent="0.3">
      <c r="I6937"/>
      <c r="J6937"/>
    </row>
    <row r="6938" spans="9:10" x14ac:dyDescent="0.3">
      <c r="I6938"/>
      <c r="J6938"/>
    </row>
    <row r="6939" spans="9:10" x14ac:dyDescent="0.3">
      <c r="I6939"/>
      <c r="J6939"/>
    </row>
    <row r="6940" spans="9:10" x14ac:dyDescent="0.3">
      <c r="I6940"/>
      <c r="J6940"/>
    </row>
    <row r="6941" spans="9:10" x14ac:dyDescent="0.3">
      <c r="I6941"/>
      <c r="J6941"/>
    </row>
    <row r="6942" spans="9:10" x14ac:dyDescent="0.3">
      <c r="I6942"/>
      <c r="J6942"/>
    </row>
    <row r="6943" spans="9:10" x14ac:dyDescent="0.3">
      <c r="I6943"/>
      <c r="J6943"/>
    </row>
    <row r="6944" spans="9:10" x14ac:dyDescent="0.3">
      <c r="I6944"/>
      <c r="J6944"/>
    </row>
    <row r="6945" spans="9:10" x14ac:dyDescent="0.3">
      <c r="I6945"/>
      <c r="J6945"/>
    </row>
    <row r="6946" spans="9:10" x14ac:dyDescent="0.3">
      <c r="I6946"/>
      <c r="J6946"/>
    </row>
    <row r="6947" spans="9:10" x14ac:dyDescent="0.3">
      <c r="I6947"/>
      <c r="J6947"/>
    </row>
    <row r="6948" spans="9:10" x14ac:dyDescent="0.3">
      <c r="I6948"/>
      <c r="J6948"/>
    </row>
    <row r="6949" spans="9:10" x14ac:dyDescent="0.3">
      <c r="I6949"/>
      <c r="J6949"/>
    </row>
    <row r="6950" spans="9:10" x14ac:dyDescent="0.3">
      <c r="I6950"/>
      <c r="J6950"/>
    </row>
    <row r="6951" spans="9:10" x14ac:dyDescent="0.3">
      <c r="I6951"/>
      <c r="J6951"/>
    </row>
    <row r="6952" spans="9:10" x14ac:dyDescent="0.3">
      <c r="I6952"/>
      <c r="J6952"/>
    </row>
    <row r="6953" spans="9:10" x14ac:dyDescent="0.3">
      <c r="I6953"/>
      <c r="J6953"/>
    </row>
    <row r="6954" spans="9:10" x14ac:dyDescent="0.3">
      <c r="I6954"/>
      <c r="J6954"/>
    </row>
    <row r="6955" spans="9:10" x14ac:dyDescent="0.3">
      <c r="I6955"/>
      <c r="J6955"/>
    </row>
    <row r="6956" spans="9:10" x14ac:dyDescent="0.3">
      <c r="I6956"/>
      <c r="J6956"/>
    </row>
    <row r="6957" spans="9:10" x14ac:dyDescent="0.3">
      <c r="I6957"/>
      <c r="J6957"/>
    </row>
    <row r="6958" spans="9:10" x14ac:dyDescent="0.3">
      <c r="I6958"/>
      <c r="J6958"/>
    </row>
    <row r="6959" spans="9:10" x14ac:dyDescent="0.3">
      <c r="I6959"/>
      <c r="J6959"/>
    </row>
    <row r="6960" spans="9:10" x14ac:dyDescent="0.3">
      <c r="I6960"/>
      <c r="J6960"/>
    </row>
    <row r="6961" spans="9:10" x14ac:dyDescent="0.3">
      <c r="I6961"/>
      <c r="J6961"/>
    </row>
    <row r="6962" spans="9:10" x14ac:dyDescent="0.3">
      <c r="I6962"/>
      <c r="J6962"/>
    </row>
    <row r="6963" spans="9:10" x14ac:dyDescent="0.3">
      <c r="I6963"/>
      <c r="J6963"/>
    </row>
    <row r="6964" spans="9:10" x14ac:dyDescent="0.3">
      <c r="I6964"/>
      <c r="J6964"/>
    </row>
    <row r="6965" spans="9:10" x14ac:dyDescent="0.3">
      <c r="I6965"/>
      <c r="J6965"/>
    </row>
    <row r="6966" spans="9:10" x14ac:dyDescent="0.3">
      <c r="I6966"/>
      <c r="J6966"/>
    </row>
    <row r="6967" spans="9:10" x14ac:dyDescent="0.3">
      <c r="I6967"/>
      <c r="J6967"/>
    </row>
    <row r="6968" spans="9:10" x14ac:dyDescent="0.3">
      <c r="I6968"/>
      <c r="J6968"/>
    </row>
    <row r="6969" spans="9:10" x14ac:dyDescent="0.3">
      <c r="I6969"/>
      <c r="J6969"/>
    </row>
    <row r="6970" spans="9:10" x14ac:dyDescent="0.3">
      <c r="I6970"/>
      <c r="J6970"/>
    </row>
    <row r="6971" spans="9:10" x14ac:dyDescent="0.3">
      <c r="I6971"/>
      <c r="J6971"/>
    </row>
    <row r="6972" spans="9:10" x14ac:dyDescent="0.3">
      <c r="I6972"/>
      <c r="J6972"/>
    </row>
    <row r="6973" spans="9:10" x14ac:dyDescent="0.3">
      <c r="I6973"/>
      <c r="J6973"/>
    </row>
    <row r="6974" spans="9:10" x14ac:dyDescent="0.3">
      <c r="I6974"/>
      <c r="J6974"/>
    </row>
    <row r="6975" spans="9:10" x14ac:dyDescent="0.3">
      <c r="I6975"/>
      <c r="J6975"/>
    </row>
    <row r="6976" spans="9:10" x14ac:dyDescent="0.3">
      <c r="I6976"/>
      <c r="J6976"/>
    </row>
    <row r="6977" spans="9:10" x14ac:dyDescent="0.3">
      <c r="I6977"/>
      <c r="J6977"/>
    </row>
    <row r="6978" spans="9:10" x14ac:dyDescent="0.3">
      <c r="I6978"/>
      <c r="J6978"/>
    </row>
    <row r="6979" spans="9:10" x14ac:dyDescent="0.3">
      <c r="I6979"/>
      <c r="J6979"/>
    </row>
    <row r="6980" spans="9:10" x14ac:dyDescent="0.3">
      <c r="I6980"/>
      <c r="J6980"/>
    </row>
    <row r="6981" spans="9:10" x14ac:dyDescent="0.3">
      <c r="I6981"/>
      <c r="J6981"/>
    </row>
    <row r="6982" spans="9:10" x14ac:dyDescent="0.3">
      <c r="I6982"/>
      <c r="J6982"/>
    </row>
    <row r="6983" spans="9:10" x14ac:dyDescent="0.3">
      <c r="I6983"/>
      <c r="J6983"/>
    </row>
    <row r="6984" spans="9:10" x14ac:dyDescent="0.3">
      <c r="I6984"/>
      <c r="J6984"/>
    </row>
    <row r="6985" spans="9:10" x14ac:dyDescent="0.3">
      <c r="I6985"/>
      <c r="J6985"/>
    </row>
    <row r="6986" spans="9:10" x14ac:dyDescent="0.3">
      <c r="I6986"/>
      <c r="J6986"/>
    </row>
    <row r="6987" spans="9:10" x14ac:dyDescent="0.3">
      <c r="I6987"/>
      <c r="J6987"/>
    </row>
    <row r="6988" spans="9:10" x14ac:dyDescent="0.3">
      <c r="I6988"/>
      <c r="J6988"/>
    </row>
    <row r="6989" spans="9:10" x14ac:dyDescent="0.3">
      <c r="I6989"/>
      <c r="J6989"/>
    </row>
    <row r="6990" spans="9:10" x14ac:dyDescent="0.3">
      <c r="I6990"/>
      <c r="J6990"/>
    </row>
    <row r="6991" spans="9:10" x14ac:dyDescent="0.3">
      <c r="I6991"/>
      <c r="J6991"/>
    </row>
    <row r="6992" spans="9:10" x14ac:dyDescent="0.3">
      <c r="I6992"/>
      <c r="J6992"/>
    </row>
    <row r="6993" spans="9:10" x14ac:dyDescent="0.3">
      <c r="I6993"/>
      <c r="J6993"/>
    </row>
    <row r="6994" spans="9:10" x14ac:dyDescent="0.3">
      <c r="I6994"/>
      <c r="J6994"/>
    </row>
    <row r="6995" spans="9:10" x14ac:dyDescent="0.3">
      <c r="I6995"/>
      <c r="J6995"/>
    </row>
    <row r="6996" spans="9:10" x14ac:dyDescent="0.3">
      <c r="I6996"/>
      <c r="J6996"/>
    </row>
    <row r="6997" spans="9:10" x14ac:dyDescent="0.3">
      <c r="I6997"/>
      <c r="J6997"/>
    </row>
    <row r="6998" spans="9:10" x14ac:dyDescent="0.3">
      <c r="I6998"/>
      <c r="J6998"/>
    </row>
    <row r="6999" spans="9:10" x14ac:dyDescent="0.3">
      <c r="I6999"/>
      <c r="J6999"/>
    </row>
    <row r="7000" spans="9:10" x14ac:dyDescent="0.3">
      <c r="I7000"/>
      <c r="J7000"/>
    </row>
    <row r="7001" spans="9:10" x14ac:dyDescent="0.3">
      <c r="I7001"/>
      <c r="J7001"/>
    </row>
    <row r="7002" spans="9:10" x14ac:dyDescent="0.3">
      <c r="I7002"/>
      <c r="J7002"/>
    </row>
    <row r="7003" spans="9:10" x14ac:dyDescent="0.3">
      <c r="I7003"/>
      <c r="J7003"/>
    </row>
    <row r="7004" spans="9:10" x14ac:dyDescent="0.3">
      <c r="I7004"/>
      <c r="J7004"/>
    </row>
    <row r="7005" spans="9:10" x14ac:dyDescent="0.3">
      <c r="I7005"/>
      <c r="J7005"/>
    </row>
    <row r="7006" spans="9:10" x14ac:dyDescent="0.3">
      <c r="I7006"/>
      <c r="J7006"/>
    </row>
    <row r="7007" spans="9:10" x14ac:dyDescent="0.3">
      <c r="I7007"/>
      <c r="J7007"/>
    </row>
    <row r="7008" spans="9:10" x14ac:dyDescent="0.3">
      <c r="I7008"/>
      <c r="J7008"/>
    </row>
    <row r="7009" spans="9:10" x14ac:dyDescent="0.3">
      <c r="I7009"/>
      <c r="J7009"/>
    </row>
    <row r="7010" spans="9:10" x14ac:dyDescent="0.3">
      <c r="I7010"/>
      <c r="J7010"/>
    </row>
    <row r="7011" spans="9:10" x14ac:dyDescent="0.3">
      <c r="I7011"/>
      <c r="J7011"/>
    </row>
    <row r="7012" spans="9:10" x14ac:dyDescent="0.3">
      <c r="I7012"/>
      <c r="J7012"/>
    </row>
    <row r="7013" spans="9:10" x14ac:dyDescent="0.3">
      <c r="I7013"/>
      <c r="J7013"/>
    </row>
    <row r="7014" spans="9:10" x14ac:dyDescent="0.3">
      <c r="I7014"/>
      <c r="J7014"/>
    </row>
    <row r="7015" spans="9:10" x14ac:dyDescent="0.3">
      <c r="I7015"/>
      <c r="J7015"/>
    </row>
    <row r="7016" spans="9:10" x14ac:dyDescent="0.3">
      <c r="I7016"/>
      <c r="J7016"/>
    </row>
    <row r="7017" spans="9:10" x14ac:dyDescent="0.3">
      <c r="I7017"/>
      <c r="J7017"/>
    </row>
    <row r="7018" spans="9:10" x14ac:dyDescent="0.3">
      <c r="I7018"/>
      <c r="J7018"/>
    </row>
    <row r="7019" spans="9:10" x14ac:dyDescent="0.3">
      <c r="I7019"/>
      <c r="J7019"/>
    </row>
    <row r="7020" spans="9:10" x14ac:dyDescent="0.3">
      <c r="I7020"/>
      <c r="J7020"/>
    </row>
    <row r="7021" spans="9:10" x14ac:dyDescent="0.3">
      <c r="I7021"/>
      <c r="J7021"/>
    </row>
    <row r="7022" spans="9:10" x14ac:dyDescent="0.3">
      <c r="I7022"/>
      <c r="J7022"/>
    </row>
    <row r="7023" spans="9:10" x14ac:dyDescent="0.3">
      <c r="I7023"/>
      <c r="J7023"/>
    </row>
    <row r="7024" spans="9:10" x14ac:dyDescent="0.3">
      <c r="I7024"/>
      <c r="J7024"/>
    </row>
    <row r="7025" spans="9:10" x14ac:dyDescent="0.3">
      <c r="I7025"/>
      <c r="J7025"/>
    </row>
    <row r="7026" spans="9:10" x14ac:dyDescent="0.3">
      <c r="I7026"/>
      <c r="J7026"/>
    </row>
    <row r="7027" spans="9:10" x14ac:dyDescent="0.3">
      <c r="I7027"/>
      <c r="J7027"/>
    </row>
    <row r="7028" spans="9:10" x14ac:dyDescent="0.3">
      <c r="I7028"/>
      <c r="J7028"/>
    </row>
    <row r="7029" spans="9:10" x14ac:dyDescent="0.3">
      <c r="I7029"/>
      <c r="J7029"/>
    </row>
    <row r="7030" spans="9:10" x14ac:dyDescent="0.3">
      <c r="I7030"/>
      <c r="J7030"/>
    </row>
    <row r="7031" spans="9:10" x14ac:dyDescent="0.3">
      <c r="I7031"/>
      <c r="J7031"/>
    </row>
    <row r="7032" spans="9:10" x14ac:dyDescent="0.3">
      <c r="I7032"/>
      <c r="J7032"/>
    </row>
    <row r="7033" spans="9:10" x14ac:dyDescent="0.3">
      <c r="I7033"/>
      <c r="J7033"/>
    </row>
    <row r="7034" spans="9:10" x14ac:dyDescent="0.3">
      <c r="I7034"/>
      <c r="J7034"/>
    </row>
    <row r="7035" spans="9:10" x14ac:dyDescent="0.3">
      <c r="I7035"/>
      <c r="J7035"/>
    </row>
    <row r="7036" spans="9:10" x14ac:dyDescent="0.3">
      <c r="I7036"/>
      <c r="J7036"/>
    </row>
    <row r="7037" spans="9:10" x14ac:dyDescent="0.3">
      <c r="I7037"/>
      <c r="J7037"/>
    </row>
    <row r="7038" spans="9:10" x14ac:dyDescent="0.3">
      <c r="I7038"/>
      <c r="J7038"/>
    </row>
    <row r="7039" spans="9:10" x14ac:dyDescent="0.3">
      <c r="I7039"/>
      <c r="J7039"/>
    </row>
    <row r="7040" spans="9:10" x14ac:dyDescent="0.3">
      <c r="I7040"/>
      <c r="J7040"/>
    </row>
    <row r="7041" spans="9:10" x14ac:dyDescent="0.3">
      <c r="I7041"/>
      <c r="J7041"/>
    </row>
    <row r="7042" spans="9:10" x14ac:dyDescent="0.3">
      <c r="I7042"/>
      <c r="J7042"/>
    </row>
    <row r="7043" spans="9:10" x14ac:dyDescent="0.3">
      <c r="I7043"/>
      <c r="J7043"/>
    </row>
    <row r="7044" spans="9:10" x14ac:dyDescent="0.3">
      <c r="I7044"/>
      <c r="J7044"/>
    </row>
    <row r="7045" spans="9:10" x14ac:dyDescent="0.3">
      <c r="I7045"/>
      <c r="J7045"/>
    </row>
    <row r="7046" spans="9:10" x14ac:dyDescent="0.3">
      <c r="I7046"/>
      <c r="J7046"/>
    </row>
    <row r="7047" spans="9:10" x14ac:dyDescent="0.3">
      <c r="I7047"/>
      <c r="J7047"/>
    </row>
    <row r="7048" spans="9:10" x14ac:dyDescent="0.3">
      <c r="I7048"/>
      <c r="J7048"/>
    </row>
    <row r="7049" spans="9:10" x14ac:dyDescent="0.3">
      <c r="I7049"/>
      <c r="J7049"/>
    </row>
    <row r="7050" spans="9:10" x14ac:dyDescent="0.3">
      <c r="I7050"/>
      <c r="J7050"/>
    </row>
    <row r="7051" spans="9:10" x14ac:dyDescent="0.3">
      <c r="I7051"/>
      <c r="J7051"/>
    </row>
    <row r="7052" spans="9:10" x14ac:dyDescent="0.3">
      <c r="I7052"/>
      <c r="J7052"/>
    </row>
    <row r="7053" spans="9:10" x14ac:dyDescent="0.3">
      <c r="I7053"/>
      <c r="J7053"/>
    </row>
    <row r="7054" spans="9:10" x14ac:dyDescent="0.3">
      <c r="I7054"/>
      <c r="J7054"/>
    </row>
    <row r="7055" spans="9:10" x14ac:dyDescent="0.3">
      <c r="I7055"/>
      <c r="J7055"/>
    </row>
    <row r="7056" spans="9:10" x14ac:dyDescent="0.3">
      <c r="I7056"/>
      <c r="J7056"/>
    </row>
    <row r="7057" spans="9:10" x14ac:dyDescent="0.3">
      <c r="I7057"/>
      <c r="J7057"/>
    </row>
    <row r="7058" spans="9:10" x14ac:dyDescent="0.3">
      <c r="I7058"/>
      <c r="J7058"/>
    </row>
    <row r="7059" spans="9:10" x14ac:dyDescent="0.3">
      <c r="I7059"/>
      <c r="J7059"/>
    </row>
    <row r="7060" spans="9:10" x14ac:dyDescent="0.3">
      <c r="I7060"/>
      <c r="J7060"/>
    </row>
    <row r="7061" spans="9:10" x14ac:dyDescent="0.3">
      <c r="I7061"/>
      <c r="J7061"/>
    </row>
    <row r="7062" spans="9:10" x14ac:dyDescent="0.3">
      <c r="I7062"/>
      <c r="J7062"/>
    </row>
    <row r="7063" spans="9:10" x14ac:dyDescent="0.3">
      <c r="I7063"/>
      <c r="J7063"/>
    </row>
    <row r="7064" spans="9:10" x14ac:dyDescent="0.3">
      <c r="I7064"/>
      <c r="J7064"/>
    </row>
    <row r="7065" spans="9:10" x14ac:dyDescent="0.3">
      <c r="I7065"/>
      <c r="J7065"/>
    </row>
    <row r="7066" spans="9:10" x14ac:dyDescent="0.3">
      <c r="I7066"/>
      <c r="J7066"/>
    </row>
    <row r="7067" spans="9:10" x14ac:dyDescent="0.3">
      <c r="I7067"/>
      <c r="J7067"/>
    </row>
    <row r="7068" spans="9:10" x14ac:dyDescent="0.3">
      <c r="I7068"/>
      <c r="J7068"/>
    </row>
    <row r="7069" spans="9:10" x14ac:dyDescent="0.3">
      <c r="I7069"/>
      <c r="J7069"/>
    </row>
    <row r="7070" spans="9:10" x14ac:dyDescent="0.3">
      <c r="I7070"/>
      <c r="J7070"/>
    </row>
    <row r="7071" spans="9:10" x14ac:dyDescent="0.3">
      <c r="I7071"/>
      <c r="J7071"/>
    </row>
    <row r="7072" spans="9:10" x14ac:dyDescent="0.3">
      <c r="I7072"/>
      <c r="J7072"/>
    </row>
    <row r="7073" spans="9:10" x14ac:dyDescent="0.3">
      <c r="I7073"/>
      <c r="J7073"/>
    </row>
    <row r="7074" spans="9:10" x14ac:dyDescent="0.3">
      <c r="I7074"/>
      <c r="J7074"/>
    </row>
    <row r="7075" spans="9:10" x14ac:dyDescent="0.3">
      <c r="I7075"/>
      <c r="J7075"/>
    </row>
    <row r="7076" spans="9:10" x14ac:dyDescent="0.3">
      <c r="I7076"/>
      <c r="J7076"/>
    </row>
    <row r="7077" spans="9:10" x14ac:dyDescent="0.3">
      <c r="I7077"/>
      <c r="J7077"/>
    </row>
    <row r="7078" spans="9:10" x14ac:dyDescent="0.3">
      <c r="I7078"/>
      <c r="J7078"/>
    </row>
    <row r="7079" spans="9:10" x14ac:dyDescent="0.3">
      <c r="I7079"/>
      <c r="J7079"/>
    </row>
    <row r="7080" spans="9:10" x14ac:dyDescent="0.3">
      <c r="I7080"/>
      <c r="J7080"/>
    </row>
    <row r="7081" spans="9:10" x14ac:dyDescent="0.3">
      <c r="I7081"/>
      <c r="J7081"/>
    </row>
    <row r="7082" spans="9:10" x14ac:dyDescent="0.3">
      <c r="I7082"/>
      <c r="J7082"/>
    </row>
    <row r="7083" spans="9:10" x14ac:dyDescent="0.3">
      <c r="I7083"/>
      <c r="J7083"/>
    </row>
    <row r="7084" spans="9:10" x14ac:dyDescent="0.3">
      <c r="I7084"/>
      <c r="J7084"/>
    </row>
    <row r="7085" spans="9:10" x14ac:dyDescent="0.3">
      <c r="I7085"/>
      <c r="J7085"/>
    </row>
    <row r="7086" spans="9:10" x14ac:dyDescent="0.3">
      <c r="I7086"/>
      <c r="J7086"/>
    </row>
    <row r="7087" spans="9:10" x14ac:dyDescent="0.3">
      <c r="I7087"/>
      <c r="J7087"/>
    </row>
    <row r="7088" spans="9:10" x14ac:dyDescent="0.3">
      <c r="I7088"/>
      <c r="J7088"/>
    </row>
    <row r="7089" spans="9:10" x14ac:dyDescent="0.3">
      <c r="I7089"/>
      <c r="J7089"/>
    </row>
    <row r="7090" spans="9:10" x14ac:dyDescent="0.3">
      <c r="I7090"/>
      <c r="J7090"/>
    </row>
    <row r="7091" spans="9:10" x14ac:dyDescent="0.3">
      <c r="I7091"/>
      <c r="J7091"/>
    </row>
    <row r="7092" spans="9:10" x14ac:dyDescent="0.3">
      <c r="I7092"/>
      <c r="J7092"/>
    </row>
    <row r="7093" spans="9:10" x14ac:dyDescent="0.3">
      <c r="I7093"/>
      <c r="J7093"/>
    </row>
    <row r="7094" spans="9:10" x14ac:dyDescent="0.3">
      <c r="I7094"/>
      <c r="J7094"/>
    </row>
    <row r="7095" spans="9:10" x14ac:dyDescent="0.3">
      <c r="I7095"/>
      <c r="J7095"/>
    </row>
    <row r="7096" spans="9:10" x14ac:dyDescent="0.3">
      <c r="I7096"/>
      <c r="J7096"/>
    </row>
    <row r="7097" spans="9:10" x14ac:dyDescent="0.3">
      <c r="I7097"/>
      <c r="J7097"/>
    </row>
    <row r="7098" spans="9:10" x14ac:dyDescent="0.3">
      <c r="I7098"/>
      <c r="J7098"/>
    </row>
    <row r="7099" spans="9:10" x14ac:dyDescent="0.3">
      <c r="I7099"/>
      <c r="J7099"/>
    </row>
    <row r="7100" spans="9:10" x14ac:dyDescent="0.3">
      <c r="I7100"/>
      <c r="J7100"/>
    </row>
    <row r="7101" spans="9:10" x14ac:dyDescent="0.3">
      <c r="I7101"/>
      <c r="J7101"/>
    </row>
    <row r="7102" spans="9:10" x14ac:dyDescent="0.3">
      <c r="I7102"/>
      <c r="J7102"/>
    </row>
    <row r="7103" spans="9:10" x14ac:dyDescent="0.3">
      <c r="I7103"/>
      <c r="J7103"/>
    </row>
    <row r="7104" spans="9:10" x14ac:dyDescent="0.3">
      <c r="I7104"/>
      <c r="J7104"/>
    </row>
    <row r="7105" spans="9:10" x14ac:dyDescent="0.3">
      <c r="I7105"/>
      <c r="J7105"/>
    </row>
    <row r="7106" spans="9:10" x14ac:dyDescent="0.3">
      <c r="I7106"/>
      <c r="J7106"/>
    </row>
    <row r="7107" spans="9:10" x14ac:dyDescent="0.3">
      <c r="I7107"/>
      <c r="J7107"/>
    </row>
    <row r="7108" spans="9:10" x14ac:dyDescent="0.3">
      <c r="I7108"/>
      <c r="J7108"/>
    </row>
    <row r="7109" spans="9:10" x14ac:dyDescent="0.3">
      <c r="I7109"/>
      <c r="J7109"/>
    </row>
    <row r="7110" spans="9:10" x14ac:dyDescent="0.3">
      <c r="I7110"/>
      <c r="J7110"/>
    </row>
    <row r="7111" spans="9:10" x14ac:dyDescent="0.3">
      <c r="I7111"/>
      <c r="J7111"/>
    </row>
    <row r="7112" spans="9:10" x14ac:dyDescent="0.3">
      <c r="I7112"/>
      <c r="J7112"/>
    </row>
    <row r="7113" spans="9:10" x14ac:dyDescent="0.3">
      <c r="I7113"/>
      <c r="J7113"/>
    </row>
    <row r="7114" spans="9:10" x14ac:dyDescent="0.3">
      <c r="I7114"/>
      <c r="J7114"/>
    </row>
    <row r="7115" spans="9:10" x14ac:dyDescent="0.3">
      <c r="I7115"/>
      <c r="J7115"/>
    </row>
    <row r="7116" spans="9:10" x14ac:dyDescent="0.3">
      <c r="I7116"/>
      <c r="J7116"/>
    </row>
    <row r="7117" spans="9:10" x14ac:dyDescent="0.3">
      <c r="I7117"/>
      <c r="J7117"/>
    </row>
    <row r="7118" spans="9:10" x14ac:dyDescent="0.3">
      <c r="I7118"/>
      <c r="J7118"/>
    </row>
    <row r="7119" spans="9:10" x14ac:dyDescent="0.3">
      <c r="I7119"/>
      <c r="J7119"/>
    </row>
    <row r="7120" spans="9:10" x14ac:dyDescent="0.3">
      <c r="I7120"/>
      <c r="J7120"/>
    </row>
    <row r="7121" spans="9:10" x14ac:dyDescent="0.3">
      <c r="I7121"/>
      <c r="J7121"/>
    </row>
    <row r="7122" spans="9:10" x14ac:dyDescent="0.3">
      <c r="I7122"/>
      <c r="J7122"/>
    </row>
    <row r="7123" spans="9:10" x14ac:dyDescent="0.3">
      <c r="I7123"/>
      <c r="J7123"/>
    </row>
    <row r="7124" spans="9:10" x14ac:dyDescent="0.3">
      <c r="I7124"/>
      <c r="J7124"/>
    </row>
    <row r="7125" spans="9:10" x14ac:dyDescent="0.3">
      <c r="I7125"/>
      <c r="J7125"/>
    </row>
    <row r="7126" spans="9:10" x14ac:dyDescent="0.3">
      <c r="I7126"/>
      <c r="J7126"/>
    </row>
    <row r="7127" spans="9:10" x14ac:dyDescent="0.3">
      <c r="I7127"/>
      <c r="J7127"/>
    </row>
    <row r="7128" spans="9:10" x14ac:dyDescent="0.3">
      <c r="I7128"/>
      <c r="J7128"/>
    </row>
    <row r="7129" spans="9:10" x14ac:dyDescent="0.3">
      <c r="I7129"/>
      <c r="J7129"/>
    </row>
    <row r="7130" spans="9:10" x14ac:dyDescent="0.3">
      <c r="I7130"/>
      <c r="J7130"/>
    </row>
    <row r="7131" spans="9:10" x14ac:dyDescent="0.3">
      <c r="I7131"/>
      <c r="J7131"/>
    </row>
    <row r="7132" spans="9:10" x14ac:dyDescent="0.3">
      <c r="I7132"/>
      <c r="J7132"/>
    </row>
    <row r="7133" spans="9:10" x14ac:dyDescent="0.3">
      <c r="I7133"/>
      <c r="J7133"/>
    </row>
    <row r="7134" spans="9:10" x14ac:dyDescent="0.3">
      <c r="I7134"/>
      <c r="J7134"/>
    </row>
    <row r="7135" spans="9:10" x14ac:dyDescent="0.3">
      <c r="I7135"/>
      <c r="J7135"/>
    </row>
    <row r="7136" spans="9:10" x14ac:dyDescent="0.3">
      <c r="I7136"/>
      <c r="J7136"/>
    </row>
    <row r="7137" spans="9:10" x14ac:dyDescent="0.3">
      <c r="I7137"/>
      <c r="J7137"/>
    </row>
    <row r="7138" spans="9:10" x14ac:dyDescent="0.3">
      <c r="I7138"/>
      <c r="J7138"/>
    </row>
    <row r="7139" spans="9:10" x14ac:dyDescent="0.3">
      <c r="I7139"/>
      <c r="J7139"/>
    </row>
    <row r="7140" spans="9:10" x14ac:dyDescent="0.3">
      <c r="I7140"/>
      <c r="J7140"/>
    </row>
    <row r="7141" spans="9:10" x14ac:dyDescent="0.3">
      <c r="I7141"/>
      <c r="J7141"/>
    </row>
    <row r="7142" spans="9:10" x14ac:dyDescent="0.3">
      <c r="I7142"/>
      <c r="J7142"/>
    </row>
    <row r="7143" spans="9:10" x14ac:dyDescent="0.3">
      <c r="I7143"/>
      <c r="J7143"/>
    </row>
    <row r="7144" spans="9:10" x14ac:dyDescent="0.3">
      <c r="I7144"/>
      <c r="J7144"/>
    </row>
    <row r="7145" spans="9:10" x14ac:dyDescent="0.3">
      <c r="I7145"/>
      <c r="J7145"/>
    </row>
    <row r="7146" spans="9:10" x14ac:dyDescent="0.3">
      <c r="I7146"/>
      <c r="J7146"/>
    </row>
    <row r="7147" spans="9:10" x14ac:dyDescent="0.3">
      <c r="I7147"/>
      <c r="J7147"/>
    </row>
    <row r="7148" spans="9:10" x14ac:dyDescent="0.3">
      <c r="I7148"/>
      <c r="J7148"/>
    </row>
    <row r="7149" spans="9:10" x14ac:dyDescent="0.3">
      <c r="I7149"/>
      <c r="J7149"/>
    </row>
    <row r="7150" spans="9:10" x14ac:dyDescent="0.3">
      <c r="I7150"/>
      <c r="J7150"/>
    </row>
    <row r="7151" spans="9:10" x14ac:dyDescent="0.3">
      <c r="I7151"/>
      <c r="J7151"/>
    </row>
    <row r="7152" spans="9:10" x14ac:dyDescent="0.3">
      <c r="I7152"/>
      <c r="J7152"/>
    </row>
    <row r="7153" spans="9:10" x14ac:dyDescent="0.3">
      <c r="I7153"/>
      <c r="J7153"/>
    </row>
    <row r="7154" spans="9:10" x14ac:dyDescent="0.3">
      <c r="I7154"/>
      <c r="J7154"/>
    </row>
    <row r="7155" spans="9:10" x14ac:dyDescent="0.3">
      <c r="I7155"/>
      <c r="J7155"/>
    </row>
    <row r="7156" spans="9:10" x14ac:dyDescent="0.3">
      <c r="I7156"/>
      <c r="J7156"/>
    </row>
    <row r="7157" spans="9:10" x14ac:dyDescent="0.3">
      <c r="I7157"/>
      <c r="J7157"/>
    </row>
    <row r="7158" spans="9:10" x14ac:dyDescent="0.3">
      <c r="I7158"/>
      <c r="J7158"/>
    </row>
    <row r="7159" spans="9:10" x14ac:dyDescent="0.3">
      <c r="I7159"/>
      <c r="J7159"/>
    </row>
    <row r="7160" spans="9:10" x14ac:dyDescent="0.3">
      <c r="I7160"/>
      <c r="J7160"/>
    </row>
    <row r="7161" spans="9:10" x14ac:dyDescent="0.3">
      <c r="I7161"/>
      <c r="J7161"/>
    </row>
    <row r="7162" spans="9:10" x14ac:dyDescent="0.3">
      <c r="I7162"/>
      <c r="J7162"/>
    </row>
    <row r="7163" spans="9:10" x14ac:dyDescent="0.3">
      <c r="I7163"/>
      <c r="J7163"/>
    </row>
    <row r="7164" spans="9:10" x14ac:dyDescent="0.3">
      <c r="I7164"/>
      <c r="J7164"/>
    </row>
    <row r="7165" spans="9:10" x14ac:dyDescent="0.3">
      <c r="I7165"/>
      <c r="J7165"/>
    </row>
    <row r="7166" spans="9:10" x14ac:dyDescent="0.3">
      <c r="I7166"/>
      <c r="J7166"/>
    </row>
    <row r="7167" spans="9:10" x14ac:dyDescent="0.3">
      <c r="I7167"/>
      <c r="J7167"/>
    </row>
    <row r="7168" spans="9:10" x14ac:dyDescent="0.3">
      <c r="I7168"/>
      <c r="J7168"/>
    </row>
    <row r="7169" spans="9:10" x14ac:dyDescent="0.3">
      <c r="I7169"/>
      <c r="J7169"/>
    </row>
    <row r="7170" spans="9:10" x14ac:dyDescent="0.3">
      <c r="I7170"/>
      <c r="J7170"/>
    </row>
    <row r="7171" spans="9:10" x14ac:dyDescent="0.3">
      <c r="I7171"/>
      <c r="J7171"/>
    </row>
    <row r="7172" spans="9:10" x14ac:dyDescent="0.3">
      <c r="I7172"/>
      <c r="J7172"/>
    </row>
    <row r="7173" spans="9:10" x14ac:dyDescent="0.3">
      <c r="I7173"/>
      <c r="J7173"/>
    </row>
    <row r="7174" spans="9:10" x14ac:dyDescent="0.3">
      <c r="I7174"/>
      <c r="J7174"/>
    </row>
    <row r="7175" spans="9:10" x14ac:dyDescent="0.3">
      <c r="I7175"/>
      <c r="J7175"/>
    </row>
    <row r="7176" spans="9:10" x14ac:dyDescent="0.3">
      <c r="I7176"/>
      <c r="J7176"/>
    </row>
    <row r="7177" spans="9:10" x14ac:dyDescent="0.3">
      <c r="I7177"/>
      <c r="J7177"/>
    </row>
    <row r="7178" spans="9:10" x14ac:dyDescent="0.3">
      <c r="I7178"/>
      <c r="J7178"/>
    </row>
    <row r="7179" spans="9:10" x14ac:dyDescent="0.3">
      <c r="I7179"/>
      <c r="J7179"/>
    </row>
    <row r="7180" spans="9:10" x14ac:dyDescent="0.3">
      <c r="I7180"/>
      <c r="J7180"/>
    </row>
    <row r="7181" spans="9:10" x14ac:dyDescent="0.3">
      <c r="I7181"/>
      <c r="J7181"/>
    </row>
    <row r="7182" spans="9:10" x14ac:dyDescent="0.3">
      <c r="I7182"/>
      <c r="J7182"/>
    </row>
    <row r="7183" spans="9:10" x14ac:dyDescent="0.3">
      <c r="I7183"/>
      <c r="J7183"/>
    </row>
    <row r="7184" spans="9:10" x14ac:dyDescent="0.3">
      <c r="I7184"/>
      <c r="J7184"/>
    </row>
    <row r="7185" spans="9:10" x14ac:dyDescent="0.3">
      <c r="I7185"/>
      <c r="J7185"/>
    </row>
    <row r="7186" spans="9:10" x14ac:dyDescent="0.3">
      <c r="I7186"/>
      <c r="J7186"/>
    </row>
    <row r="7187" spans="9:10" x14ac:dyDescent="0.3">
      <c r="I7187"/>
      <c r="J7187"/>
    </row>
    <row r="7188" spans="9:10" x14ac:dyDescent="0.3">
      <c r="I7188"/>
      <c r="J7188"/>
    </row>
    <row r="7189" spans="9:10" x14ac:dyDescent="0.3">
      <c r="I7189"/>
      <c r="J7189"/>
    </row>
    <row r="7190" spans="9:10" x14ac:dyDescent="0.3">
      <c r="I7190"/>
      <c r="J7190"/>
    </row>
    <row r="7191" spans="9:10" x14ac:dyDescent="0.3">
      <c r="I7191"/>
      <c r="J7191"/>
    </row>
    <row r="7192" spans="9:10" x14ac:dyDescent="0.3">
      <c r="I7192"/>
      <c r="J7192"/>
    </row>
    <row r="7193" spans="9:10" x14ac:dyDescent="0.3">
      <c r="I7193"/>
      <c r="J7193"/>
    </row>
    <row r="7194" spans="9:10" x14ac:dyDescent="0.3">
      <c r="I7194"/>
      <c r="J7194"/>
    </row>
    <row r="7195" spans="9:10" x14ac:dyDescent="0.3">
      <c r="I7195"/>
      <c r="J7195"/>
    </row>
    <row r="7196" spans="9:10" x14ac:dyDescent="0.3">
      <c r="I7196"/>
      <c r="J7196"/>
    </row>
    <row r="7197" spans="9:10" x14ac:dyDescent="0.3">
      <c r="I7197"/>
      <c r="J7197"/>
    </row>
    <row r="7198" spans="9:10" x14ac:dyDescent="0.3">
      <c r="I7198"/>
      <c r="J7198"/>
    </row>
    <row r="7199" spans="9:10" x14ac:dyDescent="0.3">
      <c r="I7199"/>
      <c r="J7199"/>
    </row>
    <row r="7200" spans="9:10" x14ac:dyDescent="0.3">
      <c r="I7200"/>
      <c r="J7200"/>
    </row>
    <row r="7201" spans="9:10" x14ac:dyDescent="0.3">
      <c r="I7201"/>
      <c r="J7201"/>
    </row>
    <row r="7202" spans="9:10" x14ac:dyDescent="0.3">
      <c r="I7202"/>
      <c r="J7202"/>
    </row>
    <row r="7203" spans="9:10" x14ac:dyDescent="0.3">
      <c r="I7203"/>
      <c r="J7203"/>
    </row>
    <row r="7204" spans="9:10" x14ac:dyDescent="0.3">
      <c r="I7204"/>
      <c r="J7204"/>
    </row>
    <row r="7205" spans="9:10" x14ac:dyDescent="0.3">
      <c r="I7205"/>
      <c r="J7205"/>
    </row>
    <row r="7206" spans="9:10" x14ac:dyDescent="0.3">
      <c r="I7206"/>
      <c r="J7206"/>
    </row>
    <row r="7207" spans="9:10" x14ac:dyDescent="0.3">
      <c r="I7207"/>
      <c r="J7207"/>
    </row>
    <row r="7208" spans="9:10" x14ac:dyDescent="0.3">
      <c r="I7208"/>
      <c r="J7208"/>
    </row>
    <row r="7209" spans="9:10" x14ac:dyDescent="0.3">
      <c r="I7209"/>
      <c r="J7209"/>
    </row>
    <row r="7210" spans="9:10" x14ac:dyDescent="0.3">
      <c r="I7210"/>
      <c r="J7210"/>
    </row>
    <row r="7211" spans="9:10" x14ac:dyDescent="0.3">
      <c r="I7211"/>
      <c r="J7211"/>
    </row>
    <row r="7212" spans="9:10" x14ac:dyDescent="0.3">
      <c r="I7212"/>
      <c r="J7212"/>
    </row>
    <row r="7213" spans="9:10" x14ac:dyDescent="0.3">
      <c r="I7213"/>
      <c r="J7213"/>
    </row>
    <row r="7214" spans="9:10" x14ac:dyDescent="0.3">
      <c r="I7214"/>
      <c r="J7214"/>
    </row>
    <row r="7215" spans="9:10" x14ac:dyDescent="0.3">
      <c r="I7215"/>
      <c r="J7215"/>
    </row>
    <row r="7216" spans="9:10" x14ac:dyDescent="0.3">
      <c r="I7216"/>
      <c r="J7216"/>
    </row>
    <row r="7217" spans="9:10" x14ac:dyDescent="0.3">
      <c r="I7217"/>
      <c r="J7217"/>
    </row>
    <row r="7218" spans="9:10" x14ac:dyDescent="0.3">
      <c r="I7218"/>
      <c r="J7218"/>
    </row>
    <row r="7219" spans="9:10" x14ac:dyDescent="0.3">
      <c r="I7219"/>
      <c r="J7219"/>
    </row>
    <row r="7220" spans="9:10" x14ac:dyDescent="0.3">
      <c r="I7220"/>
      <c r="J7220"/>
    </row>
    <row r="7221" spans="9:10" x14ac:dyDescent="0.3">
      <c r="I7221"/>
      <c r="J7221"/>
    </row>
    <row r="7222" spans="9:10" x14ac:dyDescent="0.3">
      <c r="I7222"/>
      <c r="J7222"/>
    </row>
    <row r="7223" spans="9:10" x14ac:dyDescent="0.3">
      <c r="I7223"/>
      <c r="J7223"/>
    </row>
    <row r="7224" spans="9:10" x14ac:dyDescent="0.3">
      <c r="I7224"/>
      <c r="J7224"/>
    </row>
    <row r="7225" spans="9:10" x14ac:dyDescent="0.3">
      <c r="I7225"/>
      <c r="J7225"/>
    </row>
    <row r="7226" spans="9:10" x14ac:dyDescent="0.3">
      <c r="I7226"/>
      <c r="J7226"/>
    </row>
    <row r="7227" spans="9:10" x14ac:dyDescent="0.3">
      <c r="I7227"/>
      <c r="J7227"/>
    </row>
    <row r="7228" spans="9:10" x14ac:dyDescent="0.3">
      <c r="I7228"/>
      <c r="J7228"/>
    </row>
    <row r="7229" spans="9:10" x14ac:dyDescent="0.3">
      <c r="I7229"/>
      <c r="J7229"/>
    </row>
    <row r="7230" spans="9:10" x14ac:dyDescent="0.3">
      <c r="I7230"/>
      <c r="J7230"/>
    </row>
    <row r="7231" spans="9:10" x14ac:dyDescent="0.3">
      <c r="I7231"/>
      <c r="J7231"/>
    </row>
    <row r="7232" spans="9:10" x14ac:dyDescent="0.3">
      <c r="I7232"/>
      <c r="J7232"/>
    </row>
    <row r="7233" spans="9:10" x14ac:dyDescent="0.3">
      <c r="I7233"/>
      <c r="J7233"/>
    </row>
    <row r="7234" spans="9:10" x14ac:dyDescent="0.3">
      <c r="I7234"/>
      <c r="J7234"/>
    </row>
    <row r="7235" spans="9:10" x14ac:dyDescent="0.3">
      <c r="I7235"/>
      <c r="J7235"/>
    </row>
    <row r="7236" spans="9:10" x14ac:dyDescent="0.3">
      <c r="I7236"/>
      <c r="J7236"/>
    </row>
    <row r="7237" spans="9:10" x14ac:dyDescent="0.3">
      <c r="I7237"/>
      <c r="J7237"/>
    </row>
    <row r="7238" spans="9:10" x14ac:dyDescent="0.3">
      <c r="I7238"/>
      <c r="J7238"/>
    </row>
    <row r="7239" spans="9:10" x14ac:dyDescent="0.3">
      <c r="I7239"/>
      <c r="J7239"/>
    </row>
    <row r="7240" spans="9:10" x14ac:dyDescent="0.3">
      <c r="I7240"/>
      <c r="J7240"/>
    </row>
    <row r="7241" spans="9:10" x14ac:dyDescent="0.3">
      <c r="I7241"/>
      <c r="J7241"/>
    </row>
    <row r="7242" spans="9:10" x14ac:dyDescent="0.3">
      <c r="I7242"/>
      <c r="J7242"/>
    </row>
    <row r="7243" spans="9:10" x14ac:dyDescent="0.3">
      <c r="I7243"/>
      <c r="J7243"/>
    </row>
    <row r="7244" spans="9:10" x14ac:dyDescent="0.3">
      <c r="I7244"/>
      <c r="J7244"/>
    </row>
    <row r="7245" spans="9:10" x14ac:dyDescent="0.3">
      <c r="I7245"/>
      <c r="J7245"/>
    </row>
    <row r="7246" spans="9:10" x14ac:dyDescent="0.3">
      <c r="I7246"/>
      <c r="J7246"/>
    </row>
    <row r="7247" spans="9:10" x14ac:dyDescent="0.3">
      <c r="I7247"/>
      <c r="J7247"/>
    </row>
    <row r="7248" spans="9:10" x14ac:dyDescent="0.3">
      <c r="I7248"/>
      <c r="J7248"/>
    </row>
    <row r="7249" spans="9:10" x14ac:dyDescent="0.3">
      <c r="I7249"/>
      <c r="J7249"/>
    </row>
    <row r="7250" spans="9:10" x14ac:dyDescent="0.3">
      <c r="I7250"/>
      <c r="J7250"/>
    </row>
    <row r="7251" spans="9:10" x14ac:dyDescent="0.3">
      <c r="I7251"/>
      <c r="J7251"/>
    </row>
    <row r="7252" spans="9:10" x14ac:dyDescent="0.3">
      <c r="I7252"/>
      <c r="J7252"/>
    </row>
    <row r="7253" spans="9:10" x14ac:dyDescent="0.3">
      <c r="I7253"/>
      <c r="J7253"/>
    </row>
    <row r="7254" spans="9:10" x14ac:dyDescent="0.3">
      <c r="I7254"/>
      <c r="J7254"/>
    </row>
    <row r="7255" spans="9:10" x14ac:dyDescent="0.3">
      <c r="I7255"/>
      <c r="J7255"/>
    </row>
    <row r="7256" spans="9:10" x14ac:dyDescent="0.3">
      <c r="I7256"/>
      <c r="J7256"/>
    </row>
    <row r="7257" spans="9:10" x14ac:dyDescent="0.3">
      <c r="I7257"/>
      <c r="J7257"/>
    </row>
    <row r="7258" spans="9:10" x14ac:dyDescent="0.3">
      <c r="I7258"/>
      <c r="J7258"/>
    </row>
    <row r="7259" spans="9:10" x14ac:dyDescent="0.3">
      <c r="I7259"/>
      <c r="J7259"/>
    </row>
    <row r="7260" spans="9:10" x14ac:dyDescent="0.3">
      <c r="I7260"/>
      <c r="J7260"/>
    </row>
    <row r="7261" spans="9:10" x14ac:dyDescent="0.3">
      <c r="I7261"/>
      <c r="J7261"/>
    </row>
    <row r="7262" spans="9:10" x14ac:dyDescent="0.3">
      <c r="I7262"/>
      <c r="J7262"/>
    </row>
    <row r="7263" spans="9:10" x14ac:dyDescent="0.3">
      <c r="I7263"/>
      <c r="J7263"/>
    </row>
    <row r="7264" spans="9:10" x14ac:dyDescent="0.3">
      <c r="I7264"/>
      <c r="J7264"/>
    </row>
    <row r="7265" spans="9:10" x14ac:dyDescent="0.3">
      <c r="I7265"/>
      <c r="J7265"/>
    </row>
    <row r="7266" spans="9:10" x14ac:dyDescent="0.3">
      <c r="I7266"/>
      <c r="J7266"/>
    </row>
    <row r="7267" spans="9:10" x14ac:dyDescent="0.3">
      <c r="I7267"/>
      <c r="J7267"/>
    </row>
    <row r="7268" spans="9:10" x14ac:dyDescent="0.3">
      <c r="I7268"/>
      <c r="J7268"/>
    </row>
    <row r="7269" spans="9:10" x14ac:dyDescent="0.3">
      <c r="I7269"/>
      <c r="J7269"/>
    </row>
    <row r="7270" spans="9:10" x14ac:dyDescent="0.3">
      <c r="I7270"/>
      <c r="J7270"/>
    </row>
    <row r="7271" spans="9:10" x14ac:dyDescent="0.3">
      <c r="I7271"/>
      <c r="J7271"/>
    </row>
    <row r="7272" spans="9:10" x14ac:dyDescent="0.3">
      <c r="I7272"/>
      <c r="J7272"/>
    </row>
    <row r="7273" spans="9:10" x14ac:dyDescent="0.3">
      <c r="I7273"/>
      <c r="J7273"/>
    </row>
    <row r="7274" spans="9:10" x14ac:dyDescent="0.3">
      <c r="I7274"/>
      <c r="J7274"/>
    </row>
    <row r="7275" spans="9:10" x14ac:dyDescent="0.3">
      <c r="I7275"/>
      <c r="J7275"/>
    </row>
    <row r="7276" spans="9:10" x14ac:dyDescent="0.3">
      <c r="I7276"/>
      <c r="J7276"/>
    </row>
    <row r="7277" spans="9:10" x14ac:dyDescent="0.3">
      <c r="I7277"/>
      <c r="J7277"/>
    </row>
    <row r="7278" spans="9:10" x14ac:dyDescent="0.3">
      <c r="I7278"/>
      <c r="J7278"/>
    </row>
    <row r="7279" spans="9:10" x14ac:dyDescent="0.3">
      <c r="I7279"/>
      <c r="J7279"/>
    </row>
    <row r="7280" spans="9:10" x14ac:dyDescent="0.3">
      <c r="I7280"/>
      <c r="J7280"/>
    </row>
    <row r="7281" spans="9:10" x14ac:dyDescent="0.3">
      <c r="I7281"/>
      <c r="J7281"/>
    </row>
    <row r="7282" spans="9:10" x14ac:dyDescent="0.3">
      <c r="I7282"/>
      <c r="J7282"/>
    </row>
    <row r="7283" spans="9:10" x14ac:dyDescent="0.3">
      <c r="I7283"/>
      <c r="J7283"/>
    </row>
    <row r="7284" spans="9:10" x14ac:dyDescent="0.3">
      <c r="I7284"/>
      <c r="J7284"/>
    </row>
    <row r="7285" spans="9:10" x14ac:dyDescent="0.3">
      <c r="I7285"/>
      <c r="J7285"/>
    </row>
    <row r="7286" spans="9:10" x14ac:dyDescent="0.3">
      <c r="I7286"/>
      <c r="J7286"/>
    </row>
    <row r="7287" spans="9:10" x14ac:dyDescent="0.3">
      <c r="I7287"/>
      <c r="J7287"/>
    </row>
    <row r="7288" spans="9:10" x14ac:dyDescent="0.3">
      <c r="I7288"/>
      <c r="J7288"/>
    </row>
    <row r="7289" spans="9:10" x14ac:dyDescent="0.3">
      <c r="I7289"/>
      <c r="J7289"/>
    </row>
    <row r="7290" spans="9:10" x14ac:dyDescent="0.3">
      <c r="I7290"/>
      <c r="J7290"/>
    </row>
    <row r="7291" spans="9:10" x14ac:dyDescent="0.3">
      <c r="I7291"/>
      <c r="J7291"/>
    </row>
    <row r="7292" spans="9:10" x14ac:dyDescent="0.3">
      <c r="I7292"/>
      <c r="J7292"/>
    </row>
    <row r="7293" spans="9:10" x14ac:dyDescent="0.3">
      <c r="I7293"/>
      <c r="J7293"/>
    </row>
    <row r="7294" spans="9:10" x14ac:dyDescent="0.3">
      <c r="I7294"/>
      <c r="J7294"/>
    </row>
    <row r="7295" spans="9:10" x14ac:dyDescent="0.3">
      <c r="I7295"/>
      <c r="J7295"/>
    </row>
    <row r="7296" spans="9:10" x14ac:dyDescent="0.3">
      <c r="I7296"/>
      <c r="J7296"/>
    </row>
    <row r="7297" spans="9:10" x14ac:dyDescent="0.3">
      <c r="I7297"/>
      <c r="J7297"/>
    </row>
    <row r="7298" spans="9:10" x14ac:dyDescent="0.3">
      <c r="I7298"/>
      <c r="J7298"/>
    </row>
    <row r="7299" spans="9:10" x14ac:dyDescent="0.3">
      <c r="I7299"/>
      <c r="J7299"/>
    </row>
    <row r="7300" spans="9:10" x14ac:dyDescent="0.3">
      <c r="I7300"/>
      <c r="J7300"/>
    </row>
    <row r="7301" spans="9:10" x14ac:dyDescent="0.3">
      <c r="I7301"/>
      <c r="J7301"/>
    </row>
    <row r="7302" spans="9:10" x14ac:dyDescent="0.3">
      <c r="I7302"/>
      <c r="J7302"/>
    </row>
    <row r="7303" spans="9:10" x14ac:dyDescent="0.3">
      <c r="I7303"/>
      <c r="J7303"/>
    </row>
    <row r="7304" spans="9:10" x14ac:dyDescent="0.3">
      <c r="I7304"/>
      <c r="J7304"/>
    </row>
    <row r="7305" spans="9:10" x14ac:dyDescent="0.3">
      <c r="I7305"/>
      <c r="J7305"/>
    </row>
    <row r="7306" spans="9:10" x14ac:dyDescent="0.3">
      <c r="I7306"/>
      <c r="J7306"/>
    </row>
    <row r="7307" spans="9:10" x14ac:dyDescent="0.3">
      <c r="I7307"/>
      <c r="J7307"/>
    </row>
    <row r="7308" spans="9:10" x14ac:dyDescent="0.3">
      <c r="I7308"/>
      <c r="J7308"/>
    </row>
    <row r="7309" spans="9:10" x14ac:dyDescent="0.3">
      <c r="I7309"/>
      <c r="J7309"/>
    </row>
    <row r="7310" spans="9:10" x14ac:dyDescent="0.3">
      <c r="I7310"/>
      <c r="J7310"/>
    </row>
    <row r="7311" spans="9:10" x14ac:dyDescent="0.3">
      <c r="I7311"/>
      <c r="J7311"/>
    </row>
    <row r="7312" spans="9:10" x14ac:dyDescent="0.3">
      <c r="I7312"/>
      <c r="J7312"/>
    </row>
    <row r="7313" spans="9:10" x14ac:dyDescent="0.3">
      <c r="I7313"/>
      <c r="J7313"/>
    </row>
    <row r="7314" spans="9:10" x14ac:dyDescent="0.3">
      <c r="I7314"/>
      <c r="J7314"/>
    </row>
    <row r="7315" spans="9:10" x14ac:dyDescent="0.3">
      <c r="I7315"/>
      <c r="J7315"/>
    </row>
    <row r="7316" spans="9:10" x14ac:dyDescent="0.3">
      <c r="I7316"/>
      <c r="J7316"/>
    </row>
    <row r="7317" spans="9:10" x14ac:dyDescent="0.3">
      <c r="I7317"/>
      <c r="J7317"/>
    </row>
    <row r="7318" spans="9:10" x14ac:dyDescent="0.3">
      <c r="I7318"/>
      <c r="J7318"/>
    </row>
    <row r="7319" spans="9:10" x14ac:dyDescent="0.3">
      <c r="I7319"/>
      <c r="J7319"/>
    </row>
    <row r="7320" spans="9:10" x14ac:dyDescent="0.3">
      <c r="I7320"/>
      <c r="J7320"/>
    </row>
    <row r="7321" spans="9:10" x14ac:dyDescent="0.3">
      <c r="I7321"/>
      <c r="J7321"/>
    </row>
    <row r="7322" spans="9:10" x14ac:dyDescent="0.3">
      <c r="I7322"/>
      <c r="J7322"/>
    </row>
    <row r="7323" spans="9:10" x14ac:dyDescent="0.3">
      <c r="I7323"/>
      <c r="J7323"/>
    </row>
    <row r="7324" spans="9:10" x14ac:dyDescent="0.3">
      <c r="I7324"/>
      <c r="J7324"/>
    </row>
    <row r="7325" spans="9:10" x14ac:dyDescent="0.3">
      <c r="I7325"/>
      <c r="J7325"/>
    </row>
    <row r="7326" spans="9:10" x14ac:dyDescent="0.3">
      <c r="I7326"/>
      <c r="J7326"/>
    </row>
    <row r="7327" spans="9:10" x14ac:dyDescent="0.3">
      <c r="I7327"/>
      <c r="J7327"/>
    </row>
    <row r="7328" spans="9:10" x14ac:dyDescent="0.3">
      <c r="I7328"/>
      <c r="J7328"/>
    </row>
    <row r="7329" spans="9:10" x14ac:dyDescent="0.3">
      <c r="I7329"/>
      <c r="J7329"/>
    </row>
    <row r="7330" spans="9:10" x14ac:dyDescent="0.3">
      <c r="I7330"/>
      <c r="J7330"/>
    </row>
    <row r="7331" spans="9:10" x14ac:dyDescent="0.3">
      <c r="I7331"/>
      <c r="J7331"/>
    </row>
    <row r="7332" spans="9:10" x14ac:dyDescent="0.3">
      <c r="I7332"/>
      <c r="J7332"/>
    </row>
    <row r="7333" spans="9:10" x14ac:dyDescent="0.3">
      <c r="I7333"/>
      <c r="J7333"/>
    </row>
    <row r="7334" spans="9:10" x14ac:dyDescent="0.3">
      <c r="I7334"/>
      <c r="J7334"/>
    </row>
    <row r="7335" spans="9:10" x14ac:dyDescent="0.3">
      <c r="I7335"/>
      <c r="J7335"/>
    </row>
    <row r="7336" spans="9:10" x14ac:dyDescent="0.3">
      <c r="I7336"/>
      <c r="J7336"/>
    </row>
    <row r="7337" spans="9:10" x14ac:dyDescent="0.3">
      <c r="I7337"/>
      <c r="J7337"/>
    </row>
    <row r="7338" spans="9:10" x14ac:dyDescent="0.3">
      <c r="I7338"/>
      <c r="J7338"/>
    </row>
    <row r="7339" spans="9:10" x14ac:dyDescent="0.3">
      <c r="I7339"/>
      <c r="J7339"/>
    </row>
    <row r="7340" spans="9:10" x14ac:dyDescent="0.3">
      <c r="I7340"/>
      <c r="J7340"/>
    </row>
    <row r="7341" spans="9:10" x14ac:dyDescent="0.3">
      <c r="I7341"/>
      <c r="J7341"/>
    </row>
    <row r="7342" spans="9:10" x14ac:dyDescent="0.3">
      <c r="I7342"/>
      <c r="J7342"/>
    </row>
    <row r="7343" spans="9:10" x14ac:dyDescent="0.3">
      <c r="I7343"/>
      <c r="J7343"/>
    </row>
    <row r="7344" spans="9:10" x14ac:dyDescent="0.3">
      <c r="I7344"/>
      <c r="J7344"/>
    </row>
    <row r="7345" spans="9:10" x14ac:dyDescent="0.3">
      <c r="I7345"/>
      <c r="J7345"/>
    </row>
    <row r="7346" spans="9:10" x14ac:dyDescent="0.3">
      <c r="I7346"/>
      <c r="J7346"/>
    </row>
    <row r="7347" spans="9:10" x14ac:dyDescent="0.3">
      <c r="I7347"/>
      <c r="J7347"/>
    </row>
    <row r="7348" spans="9:10" x14ac:dyDescent="0.3">
      <c r="I7348"/>
      <c r="J7348"/>
    </row>
    <row r="7349" spans="9:10" x14ac:dyDescent="0.3">
      <c r="I7349"/>
      <c r="J7349"/>
    </row>
    <row r="7350" spans="9:10" x14ac:dyDescent="0.3">
      <c r="I7350"/>
      <c r="J7350"/>
    </row>
    <row r="7351" spans="9:10" x14ac:dyDescent="0.3">
      <c r="I7351"/>
      <c r="J7351"/>
    </row>
    <row r="7352" spans="9:10" x14ac:dyDescent="0.3">
      <c r="I7352"/>
      <c r="J7352"/>
    </row>
    <row r="7353" spans="9:10" x14ac:dyDescent="0.3">
      <c r="I7353"/>
      <c r="J7353"/>
    </row>
    <row r="7354" spans="9:10" x14ac:dyDescent="0.3">
      <c r="I7354"/>
      <c r="J7354"/>
    </row>
    <row r="7355" spans="9:10" x14ac:dyDescent="0.3">
      <c r="I7355"/>
      <c r="J7355"/>
    </row>
    <row r="7356" spans="9:10" x14ac:dyDescent="0.3">
      <c r="I7356"/>
      <c r="J7356"/>
    </row>
    <row r="7357" spans="9:10" x14ac:dyDescent="0.3">
      <c r="I7357"/>
      <c r="J7357"/>
    </row>
    <row r="7358" spans="9:10" x14ac:dyDescent="0.3">
      <c r="I7358"/>
      <c r="J7358"/>
    </row>
    <row r="7359" spans="9:10" x14ac:dyDescent="0.3">
      <c r="I7359"/>
      <c r="J7359"/>
    </row>
    <row r="7360" spans="9:10" x14ac:dyDescent="0.3">
      <c r="I7360"/>
      <c r="J7360"/>
    </row>
    <row r="7361" spans="9:10" x14ac:dyDescent="0.3">
      <c r="I7361"/>
      <c r="J7361"/>
    </row>
    <row r="7362" spans="9:10" x14ac:dyDescent="0.3">
      <c r="I7362"/>
      <c r="J7362"/>
    </row>
    <row r="7363" spans="9:10" x14ac:dyDescent="0.3">
      <c r="I7363"/>
      <c r="J7363"/>
    </row>
    <row r="7364" spans="9:10" x14ac:dyDescent="0.3">
      <c r="I7364"/>
      <c r="J7364"/>
    </row>
    <row r="7365" spans="9:10" x14ac:dyDescent="0.3">
      <c r="I7365"/>
      <c r="J7365"/>
    </row>
    <row r="7366" spans="9:10" x14ac:dyDescent="0.3">
      <c r="I7366"/>
      <c r="J7366"/>
    </row>
    <row r="7367" spans="9:10" x14ac:dyDescent="0.3">
      <c r="I7367"/>
      <c r="J7367"/>
    </row>
    <row r="7368" spans="9:10" x14ac:dyDescent="0.3">
      <c r="I7368"/>
      <c r="J7368"/>
    </row>
    <row r="7369" spans="9:10" x14ac:dyDescent="0.3">
      <c r="I7369"/>
      <c r="J7369"/>
    </row>
    <row r="7370" spans="9:10" x14ac:dyDescent="0.3">
      <c r="I7370"/>
      <c r="J7370"/>
    </row>
    <row r="7371" spans="9:10" x14ac:dyDescent="0.3">
      <c r="I7371"/>
      <c r="J7371"/>
    </row>
    <row r="7372" spans="9:10" x14ac:dyDescent="0.3">
      <c r="I7372"/>
      <c r="J7372"/>
    </row>
    <row r="7373" spans="9:10" x14ac:dyDescent="0.3">
      <c r="I7373"/>
      <c r="J7373"/>
    </row>
    <row r="7374" spans="9:10" x14ac:dyDescent="0.3">
      <c r="I7374"/>
      <c r="J7374"/>
    </row>
    <row r="7375" spans="9:10" x14ac:dyDescent="0.3">
      <c r="I7375"/>
      <c r="J7375"/>
    </row>
    <row r="7376" spans="9:10" x14ac:dyDescent="0.3">
      <c r="I7376"/>
      <c r="J7376"/>
    </row>
    <row r="7377" spans="9:10" x14ac:dyDescent="0.3">
      <c r="I7377"/>
      <c r="J7377"/>
    </row>
    <row r="7378" spans="9:10" x14ac:dyDescent="0.3">
      <c r="I7378"/>
      <c r="J7378"/>
    </row>
    <row r="7379" spans="9:10" x14ac:dyDescent="0.3">
      <c r="I7379"/>
      <c r="J7379"/>
    </row>
    <row r="7380" spans="9:10" x14ac:dyDescent="0.3">
      <c r="I7380"/>
      <c r="J7380"/>
    </row>
    <row r="7381" spans="9:10" x14ac:dyDescent="0.3">
      <c r="I7381"/>
      <c r="J7381"/>
    </row>
    <row r="7382" spans="9:10" x14ac:dyDescent="0.3">
      <c r="I7382"/>
      <c r="J7382"/>
    </row>
    <row r="7383" spans="9:10" x14ac:dyDescent="0.3">
      <c r="I7383"/>
      <c r="J7383"/>
    </row>
    <row r="7384" spans="9:10" x14ac:dyDescent="0.3">
      <c r="I7384"/>
      <c r="J7384"/>
    </row>
    <row r="7385" spans="9:10" x14ac:dyDescent="0.3">
      <c r="I7385"/>
      <c r="J7385"/>
    </row>
    <row r="7386" spans="9:10" x14ac:dyDescent="0.3">
      <c r="I7386"/>
      <c r="J7386"/>
    </row>
    <row r="7387" spans="9:10" x14ac:dyDescent="0.3">
      <c r="I7387"/>
      <c r="J7387"/>
    </row>
    <row r="7388" spans="9:10" x14ac:dyDescent="0.3">
      <c r="I7388"/>
      <c r="J7388"/>
    </row>
    <row r="7389" spans="9:10" x14ac:dyDescent="0.3">
      <c r="I7389"/>
      <c r="J7389"/>
    </row>
    <row r="7390" spans="9:10" x14ac:dyDescent="0.3">
      <c r="I7390"/>
      <c r="J7390"/>
    </row>
    <row r="7391" spans="9:10" x14ac:dyDescent="0.3">
      <c r="I7391"/>
      <c r="J7391"/>
    </row>
    <row r="7392" spans="9:10" x14ac:dyDescent="0.3">
      <c r="I7392"/>
      <c r="J7392"/>
    </row>
    <row r="7393" spans="9:10" x14ac:dyDescent="0.3">
      <c r="I7393"/>
      <c r="J7393"/>
    </row>
    <row r="7394" spans="9:10" x14ac:dyDescent="0.3">
      <c r="I7394"/>
      <c r="J7394"/>
    </row>
    <row r="7395" spans="9:10" x14ac:dyDescent="0.3">
      <c r="I7395"/>
      <c r="J7395"/>
    </row>
    <row r="7396" spans="9:10" x14ac:dyDescent="0.3">
      <c r="I7396"/>
      <c r="J7396"/>
    </row>
    <row r="7397" spans="9:10" x14ac:dyDescent="0.3">
      <c r="I7397"/>
      <c r="J7397"/>
    </row>
    <row r="7398" spans="9:10" x14ac:dyDescent="0.3">
      <c r="I7398"/>
      <c r="J7398"/>
    </row>
    <row r="7399" spans="9:10" x14ac:dyDescent="0.3">
      <c r="I7399"/>
      <c r="J7399"/>
    </row>
    <row r="7400" spans="9:10" x14ac:dyDescent="0.3">
      <c r="I7400"/>
      <c r="J7400"/>
    </row>
    <row r="7401" spans="9:10" x14ac:dyDescent="0.3">
      <c r="I7401"/>
      <c r="J7401"/>
    </row>
    <row r="7402" spans="9:10" x14ac:dyDescent="0.3">
      <c r="I7402"/>
      <c r="J7402"/>
    </row>
    <row r="7403" spans="9:10" x14ac:dyDescent="0.3">
      <c r="I7403"/>
      <c r="J7403"/>
    </row>
    <row r="7404" spans="9:10" x14ac:dyDescent="0.3">
      <c r="I7404"/>
      <c r="J7404"/>
    </row>
    <row r="7405" spans="9:10" x14ac:dyDescent="0.3">
      <c r="I7405"/>
      <c r="J7405"/>
    </row>
    <row r="7406" spans="9:10" x14ac:dyDescent="0.3">
      <c r="I7406"/>
      <c r="J7406"/>
    </row>
    <row r="7407" spans="9:10" x14ac:dyDescent="0.3">
      <c r="I7407"/>
      <c r="J7407"/>
    </row>
    <row r="7408" spans="9:10" x14ac:dyDescent="0.3">
      <c r="I7408"/>
      <c r="J7408"/>
    </row>
    <row r="7409" spans="9:10" x14ac:dyDescent="0.3">
      <c r="I7409"/>
      <c r="J7409"/>
    </row>
    <row r="7410" spans="9:10" x14ac:dyDescent="0.3">
      <c r="I7410"/>
      <c r="J7410"/>
    </row>
    <row r="7411" spans="9:10" x14ac:dyDescent="0.3">
      <c r="I7411"/>
      <c r="J7411"/>
    </row>
    <row r="7412" spans="9:10" x14ac:dyDescent="0.3">
      <c r="I7412"/>
      <c r="J7412"/>
    </row>
    <row r="7413" spans="9:10" x14ac:dyDescent="0.3">
      <c r="I7413"/>
      <c r="J7413"/>
    </row>
    <row r="7414" spans="9:10" x14ac:dyDescent="0.3">
      <c r="I7414"/>
      <c r="J7414"/>
    </row>
    <row r="7415" spans="9:10" x14ac:dyDescent="0.3">
      <c r="I7415"/>
      <c r="J7415"/>
    </row>
    <row r="7416" spans="9:10" x14ac:dyDescent="0.3">
      <c r="I7416"/>
      <c r="J7416"/>
    </row>
    <row r="7417" spans="9:10" x14ac:dyDescent="0.3">
      <c r="I7417"/>
      <c r="J7417"/>
    </row>
    <row r="7418" spans="9:10" x14ac:dyDescent="0.3">
      <c r="I7418"/>
      <c r="J7418"/>
    </row>
    <row r="7419" spans="9:10" x14ac:dyDescent="0.3">
      <c r="I7419"/>
      <c r="J7419"/>
    </row>
    <row r="7420" spans="9:10" x14ac:dyDescent="0.3">
      <c r="I7420"/>
      <c r="J7420"/>
    </row>
    <row r="7421" spans="9:10" x14ac:dyDescent="0.3">
      <c r="I7421"/>
      <c r="J7421"/>
    </row>
    <row r="7422" spans="9:10" x14ac:dyDescent="0.3">
      <c r="I7422"/>
      <c r="J7422"/>
    </row>
    <row r="7423" spans="9:10" x14ac:dyDescent="0.3">
      <c r="I7423"/>
      <c r="J7423"/>
    </row>
    <row r="7424" spans="9:10" x14ac:dyDescent="0.3">
      <c r="I7424"/>
      <c r="J7424"/>
    </row>
    <row r="7425" spans="9:10" x14ac:dyDescent="0.3">
      <c r="I7425"/>
      <c r="J7425"/>
    </row>
    <row r="7426" spans="9:10" x14ac:dyDescent="0.3">
      <c r="I7426"/>
      <c r="J7426"/>
    </row>
    <row r="7427" spans="9:10" x14ac:dyDescent="0.3">
      <c r="I7427"/>
      <c r="J7427"/>
    </row>
    <row r="7428" spans="9:10" x14ac:dyDescent="0.3">
      <c r="I7428"/>
      <c r="J7428"/>
    </row>
    <row r="7429" spans="9:10" x14ac:dyDescent="0.3">
      <c r="I7429"/>
      <c r="J7429"/>
    </row>
    <row r="7430" spans="9:10" x14ac:dyDescent="0.3">
      <c r="I7430"/>
      <c r="J7430"/>
    </row>
    <row r="7431" spans="9:10" x14ac:dyDescent="0.3">
      <c r="I7431"/>
      <c r="J7431"/>
    </row>
    <row r="7432" spans="9:10" x14ac:dyDescent="0.3">
      <c r="I7432"/>
      <c r="J7432"/>
    </row>
    <row r="7433" spans="9:10" x14ac:dyDescent="0.3">
      <c r="I7433"/>
      <c r="J7433"/>
    </row>
    <row r="7434" spans="9:10" x14ac:dyDescent="0.3">
      <c r="I7434"/>
      <c r="J7434"/>
    </row>
    <row r="7435" spans="9:10" x14ac:dyDescent="0.3">
      <c r="I7435"/>
      <c r="J7435"/>
    </row>
    <row r="7436" spans="9:10" x14ac:dyDescent="0.3">
      <c r="I7436"/>
      <c r="J7436"/>
    </row>
    <row r="7437" spans="9:10" x14ac:dyDescent="0.3">
      <c r="I7437"/>
      <c r="J7437"/>
    </row>
    <row r="7438" spans="9:10" x14ac:dyDescent="0.3">
      <c r="I7438"/>
      <c r="J7438"/>
    </row>
    <row r="7439" spans="9:10" x14ac:dyDescent="0.3">
      <c r="I7439"/>
      <c r="J7439"/>
    </row>
    <row r="7440" spans="9:10" x14ac:dyDescent="0.3">
      <c r="I7440"/>
      <c r="J7440"/>
    </row>
    <row r="7441" spans="9:10" x14ac:dyDescent="0.3">
      <c r="I7441"/>
      <c r="J7441"/>
    </row>
    <row r="7442" spans="9:10" x14ac:dyDescent="0.3">
      <c r="I7442"/>
      <c r="J7442"/>
    </row>
    <row r="7443" spans="9:10" x14ac:dyDescent="0.3">
      <c r="I7443"/>
      <c r="J7443"/>
    </row>
    <row r="7444" spans="9:10" x14ac:dyDescent="0.3">
      <c r="I7444"/>
      <c r="J7444"/>
    </row>
    <row r="7445" spans="9:10" x14ac:dyDescent="0.3">
      <c r="I7445"/>
      <c r="J7445"/>
    </row>
    <row r="7446" spans="9:10" x14ac:dyDescent="0.3">
      <c r="I7446"/>
      <c r="J7446"/>
    </row>
    <row r="7447" spans="9:10" x14ac:dyDescent="0.3">
      <c r="I7447"/>
      <c r="J7447"/>
    </row>
    <row r="7448" spans="9:10" x14ac:dyDescent="0.3">
      <c r="I7448"/>
      <c r="J7448"/>
    </row>
    <row r="7449" spans="9:10" x14ac:dyDescent="0.3">
      <c r="I7449"/>
      <c r="J7449"/>
    </row>
    <row r="7450" spans="9:10" x14ac:dyDescent="0.3">
      <c r="I7450"/>
      <c r="J7450"/>
    </row>
    <row r="7451" spans="9:10" x14ac:dyDescent="0.3">
      <c r="I7451"/>
      <c r="J7451"/>
    </row>
    <row r="7452" spans="9:10" x14ac:dyDescent="0.3">
      <c r="I7452"/>
      <c r="J7452"/>
    </row>
    <row r="7453" spans="9:10" x14ac:dyDescent="0.3">
      <c r="I7453"/>
      <c r="J7453"/>
    </row>
    <row r="7454" spans="9:10" x14ac:dyDescent="0.3">
      <c r="I7454"/>
      <c r="J7454"/>
    </row>
    <row r="7455" spans="9:10" x14ac:dyDescent="0.3">
      <c r="I7455"/>
      <c r="J7455"/>
    </row>
    <row r="7456" spans="9:10" x14ac:dyDescent="0.3">
      <c r="I7456"/>
      <c r="J7456"/>
    </row>
    <row r="7457" spans="9:10" x14ac:dyDescent="0.3">
      <c r="I7457"/>
      <c r="J7457"/>
    </row>
    <row r="7458" spans="9:10" x14ac:dyDescent="0.3">
      <c r="I7458"/>
      <c r="J7458"/>
    </row>
    <row r="7459" spans="9:10" x14ac:dyDescent="0.3">
      <c r="I7459"/>
      <c r="J7459"/>
    </row>
    <row r="7460" spans="9:10" x14ac:dyDescent="0.3">
      <c r="I7460"/>
      <c r="J7460"/>
    </row>
    <row r="7461" spans="9:10" x14ac:dyDescent="0.3">
      <c r="I7461"/>
      <c r="J7461"/>
    </row>
    <row r="7462" spans="9:10" x14ac:dyDescent="0.3">
      <c r="I7462"/>
      <c r="J7462"/>
    </row>
    <row r="7463" spans="9:10" x14ac:dyDescent="0.3">
      <c r="I7463"/>
      <c r="J7463"/>
    </row>
    <row r="7464" spans="9:10" x14ac:dyDescent="0.3">
      <c r="I7464"/>
      <c r="J7464"/>
    </row>
    <row r="7465" spans="9:10" x14ac:dyDescent="0.3">
      <c r="I7465"/>
      <c r="J7465"/>
    </row>
    <row r="7466" spans="9:10" x14ac:dyDescent="0.3">
      <c r="I7466"/>
      <c r="J7466"/>
    </row>
    <row r="7467" spans="9:10" x14ac:dyDescent="0.3">
      <c r="I7467"/>
      <c r="J7467"/>
    </row>
    <row r="7468" spans="9:10" x14ac:dyDescent="0.3">
      <c r="I7468"/>
      <c r="J7468"/>
    </row>
    <row r="7469" spans="9:10" x14ac:dyDescent="0.3">
      <c r="I7469"/>
      <c r="J7469"/>
    </row>
    <row r="7470" spans="9:10" x14ac:dyDescent="0.3">
      <c r="I7470"/>
      <c r="J7470"/>
    </row>
    <row r="7471" spans="9:10" x14ac:dyDescent="0.3">
      <c r="I7471"/>
      <c r="J7471"/>
    </row>
    <row r="7472" spans="9:10" x14ac:dyDescent="0.3">
      <c r="I7472"/>
      <c r="J7472"/>
    </row>
    <row r="7473" spans="9:10" x14ac:dyDescent="0.3">
      <c r="I7473"/>
      <c r="J7473"/>
    </row>
    <row r="7474" spans="9:10" x14ac:dyDescent="0.3">
      <c r="I7474"/>
      <c r="J7474"/>
    </row>
    <row r="7475" spans="9:10" x14ac:dyDescent="0.3">
      <c r="I7475"/>
      <c r="J7475"/>
    </row>
    <row r="7476" spans="9:10" x14ac:dyDescent="0.3">
      <c r="I7476"/>
      <c r="J7476"/>
    </row>
    <row r="7477" spans="9:10" x14ac:dyDescent="0.3">
      <c r="I7477"/>
      <c r="J7477"/>
    </row>
    <row r="7478" spans="9:10" x14ac:dyDescent="0.3">
      <c r="I7478"/>
      <c r="J7478"/>
    </row>
    <row r="7479" spans="9:10" x14ac:dyDescent="0.3">
      <c r="I7479"/>
      <c r="J7479"/>
    </row>
    <row r="7480" spans="9:10" x14ac:dyDescent="0.3">
      <c r="I7480"/>
      <c r="J7480"/>
    </row>
    <row r="7481" spans="9:10" x14ac:dyDescent="0.3">
      <c r="I7481"/>
      <c r="J7481"/>
    </row>
    <row r="7482" spans="9:10" x14ac:dyDescent="0.3">
      <c r="I7482"/>
      <c r="J7482"/>
    </row>
    <row r="7483" spans="9:10" x14ac:dyDescent="0.3">
      <c r="I7483"/>
      <c r="J7483"/>
    </row>
    <row r="7484" spans="9:10" x14ac:dyDescent="0.3">
      <c r="I7484"/>
      <c r="J7484"/>
    </row>
    <row r="7485" spans="9:10" x14ac:dyDescent="0.3">
      <c r="I7485"/>
      <c r="J7485"/>
    </row>
    <row r="7486" spans="9:10" x14ac:dyDescent="0.3">
      <c r="I7486"/>
      <c r="J7486"/>
    </row>
    <row r="7487" spans="9:10" x14ac:dyDescent="0.3">
      <c r="I7487"/>
      <c r="J7487"/>
    </row>
    <row r="7488" spans="9:10" x14ac:dyDescent="0.3">
      <c r="I7488"/>
      <c r="J7488"/>
    </row>
    <row r="7489" spans="9:10" x14ac:dyDescent="0.3">
      <c r="I7489"/>
      <c r="J7489"/>
    </row>
    <row r="7490" spans="9:10" x14ac:dyDescent="0.3">
      <c r="I7490"/>
      <c r="J7490"/>
    </row>
    <row r="7491" spans="9:10" x14ac:dyDescent="0.3">
      <c r="I7491"/>
      <c r="J7491"/>
    </row>
    <row r="7492" spans="9:10" x14ac:dyDescent="0.3">
      <c r="I7492"/>
      <c r="J7492"/>
    </row>
    <row r="7493" spans="9:10" x14ac:dyDescent="0.3">
      <c r="I7493"/>
      <c r="J7493"/>
    </row>
    <row r="7494" spans="9:10" x14ac:dyDescent="0.3">
      <c r="I7494"/>
      <c r="J7494"/>
    </row>
    <row r="7495" spans="9:10" x14ac:dyDescent="0.3">
      <c r="I7495"/>
      <c r="J7495"/>
    </row>
    <row r="7496" spans="9:10" x14ac:dyDescent="0.3">
      <c r="I7496"/>
      <c r="J7496"/>
    </row>
    <row r="7497" spans="9:10" x14ac:dyDescent="0.3">
      <c r="I7497"/>
      <c r="J7497"/>
    </row>
    <row r="7498" spans="9:10" x14ac:dyDescent="0.3">
      <c r="I7498"/>
      <c r="J7498"/>
    </row>
    <row r="7499" spans="9:10" x14ac:dyDescent="0.3">
      <c r="I7499"/>
      <c r="J7499"/>
    </row>
    <row r="7500" spans="9:10" x14ac:dyDescent="0.3">
      <c r="I7500"/>
      <c r="J7500"/>
    </row>
    <row r="7501" spans="9:10" x14ac:dyDescent="0.3">
      <c r="I7501"/>
      <c r="J7501"/>
    </row>
    <row r="7502" spans="9:10" x14ac:dyDescent="0.3">
      <c r="I7502"/>
      <c r="J7502"/>
    </row>
    <row r="7503" spans="9:10" x14ac:dyDescent="0.3">
      <c r="I7503"/>
      <c r="J7503"/>
    </row>
    <row r="7504" spans="9:10" x14ac:dyDescent="0.3">
      <c r="I7504"/>
      <c r="J7504"/>
    </row>
    <row r="7505" spans="9:10" x14ac:dyDescent="0.3">
      <c r="I7505"/>
      <c r="J7505"/>
    </row>
    <row r="7506" spans="9:10" x14ac:dyDescent="0.3">
      <c r="I7506"/>
      <c r="J7506"/>
    </row>
    <row r="7507" spans="9:10" x14ac:dyDescent="0.3">
      <c r="I7507"/>
      <c r="J7507"/>
    </row>
    <row r="7508" spans="9:10" x14ac:dyDescent="0.3">
      <c r="I7508"/>
      <c r="J7508"/>
    </row>
    <row r="7509" spans="9:10" x14ac:dyDescent="0.3">
      <c r="I7509"/>
      <c r="J7509"/>
    </row>
    <row r="7510" spans="9:10" x14ac:dyDescent="0.3">
      <c r="I7510"/>
      <c r="J7510"/>
    </row>
    <row r="7511" spans="9:10" x14ac:dyDescent="0.3">
      <c r="I7511"/>
      <c r="J7511"/>
    </row>
    <row r="7512" spans="9:10" x14ac:dyDescent="0.3">
      <c r="I7512"/>
      <c r="J7512"/>
    </row>
    <row r="7513" spans="9:10" x14ac:dyDescent="0.3">
      <c r="I7513"/>
      <c r="J7513"/>
    </row>
    <row r="7514" spans="9:10" x14ac:dyDescent="0.3">
      <c r="I7514"/>
      <c r="J7514"/>
    </row>
    <row r="7515" spans="9:10" x14ac:dyDescent="0.3">
      <c r="I7515"/>
      <c r="J7515"/>
    </row>
    <row r="7516" spans="9:10" x14ac:dyDescent="0.3">
      <c r="I7516"/>
      <c r="J7516"/>
    </row>
    <row r="7517" spans="9:10" x14ac:dyDescent="0.3">
      <c r="I7517"/>
      <c r="J7517"/>
    </row>
    <row r="7518" spans="9:10" x14ac:dyDescent="0.3">
      <c r="I7518"/>
      <c r="J7518"/>
    </row>
    <row r="7519" spans="9:10" x14ac:dyDescent="0.3">
      <c r="I7519"/>
      <c r="J7519"/>
    </row>
    <row r="7520" spans="9:10" x14ac:dyDescent="0.3">
      <c r="I7520"/>
      <c r="J7520"/>
    </row>
    <row r="7521" spans="9:10" x14ac:dyDescent="0.3">
      <c r="I7521"/>
      <c r="J7521"/>
    </row>
    <row r="7522" spans="9:10" x14ac:dyDescent="0.3">
      <c r="I7522"/>
      <c r="J7522"/>
    </row>
    <row r="7523" spans="9:10" x14ac:dyDescent="0.3">
      <c r="I7523"/>
      <c r="J7523"/>
    </row>
    <row r="7524" spans="9:10" x14ac:dyDescent="0.3">
      <c r="I7524"/>
      <c r="J7524"/>
    </row>
    <row r="7525" spans="9:10" x14ac:dyDescent="0.3">
      <c r="I7525"/>
      <c r="J7525"/>
    </row>
    <row r="7526" spans="9:10" x14ac:dyDescent="0.3">
      <c r="I7526"/>
      <c r="J7526"/>
    </row>
    <row r="7527" spans="9:10" x14ac:dyDescent="0.3">
      <c r="I7527"/>
      <c r="J7527"/>
    </row>
    <row r="7528" spans="9:10" x14ac:dyDescent="0.3">
      <c r="I7528"/>
      <c r="J7528"/>
    </row>
    <row r="7529" spans="9:10" x14ac:dyDescent="0.3">
      <c r="I7529"/>
      <c r="J7529"/>
    </row>
    <row r="7530" spans="9:10" x14ac:dyDescent="0.3">
      <c r="I7530"/>
      <c r="J7530"/>
    </row>
    <row r="7531" spans="9:10" x14ac:dyDescent="0.3">
      <c r="I7531"/>
      <c r="J7531"/>
    </row>
    <row r="7532" spans="9:10" x14ac:dyDescent="0.3">
      <c r="I7532"/>
      <c r="J7532"/>
    </row>
    <row r="7533" spans="9:10" x14ac:dyDescent="0.3">
      <c r="I7533"/>
      <c r="J7533"/>
    </row>
    <row r="7534" spans="9:10" x14ac:dyDescent="0.3">
      <c r="I7534"/>
      <c r="J7534"/>
    </row>
    <row r="7535" spans="9:10" x14ac:dyDescent="0.3">
      <c r="I7535"/>
      <c r="J7535"/>
    </row>
    <row r="7536" spans="9:10" x14ac:dyDescent="0.3">
      <c r="I7536"/>
      <c r="J7536"/>
    </row>
    <row r="7537" spans="9:10" x14ac:dyDescent="0.3">
      <c r="I7537"/>
      <c r="J7537"/>
    </row>
    <row r="7538" spans="9:10" x14ac:dyDescent="0.3">
      <c r="I7538"/>
      <c r="J7538"/>
    </row>
    <row r="7539" spans="9:10" x14ac:dyDescent="0.3">
      <c r="I7539"/>
      <c r="J7539"/>
    </row>
    <row r="7540" spans="9:10" x14ac:dyDescent="0.3">
      <c r="I7540"/>
      <c r="J7540"/>
    </row>
    <row r="7541" spans="9:10" x14ac:dyDescent="0.3">
      <c r="I7541"/>
      <c r="J7541"/>
    </row>
    <row r="7542" spans="9:10" x14ac:dyDescent="0.3">
      <c r="I7542"/>
      <c r="J7542"/>
    </row>
    <row r="7543" spans="9:10" x14ac:dyDescent="0.3">
      <c r="I7543"/>
      <c r="J7543"/>
    </row>
    <row r="7544" spans="9:10" x14ac:dyDescent="0.3">
      <c r="I7544"/>
      <c r="J7544"/>
    </row>
    <row r="7545" spans="9:10" x14ac:dyDescent="0.3">
      <c r="I7545"/>
      <c r="J7545"/>
    </row>
    <row r="7546" spans="9:10" x14ac:dyDescent="0.3">
      <c r="I7546"/>
      <c r="J7546"/>
    </row>
    <row r="7547" spans="9:10" x14ac:dyDescent="0.3">
      <c r="I7547"/>
      <c r="J7547"/>
    </row>
    <row r="7548" spans="9:10" x14ac:dyDescent="0.3">
      <c r="I7548"/>
      <c r="J7548"/>
    </row>
    <row r="7549" spans="9:10" x14ac:dyDescent="0.3">
      <c r="I7549"/>
      <c r="J7549"/>
    </row>
    <row r="7550" spans="9:10" x14ac:dyDescent="0.3">
      <c r="I7550"/>
      <c r="J7550"/>
    </row>
    <row r="7551" spans="9:10" x14ac:dyDescent="0.3">
      <c r="I7551"/>
      <c r="J7551"/>
    </row>
    <row r="7552" spans="9:10" x14ac:dyDescent="0.3">
      <c r="I7552"/>
      <c r="J7552"/>
    </row>
    <row r="7553" spans="9:10" x14ac:dyDescent="0.3">
      <c r="I7553"/>
      <c r="J7553"/>
    </row>
    <row r="7554" spans="9:10" x14ac:dyDescent="0.3">
      <c r="I7554"/>
      <c r="J7554"/>
    </row>
    <row r="7555" spans="9:10" x14ac:dyDescent="0.3">
      <c r="I7555"/>
      <c r="J7555"/>
    </row>
    <row r="7556" spans="9:10" x14ac:dyDescent="0.3">
      <c r="I7556"/>
      <c r="J7556"/>
    </row>
    <row r="7557" spans="9:10" x14ac:dyDescent="0.3">
      <c r="I7557"/>
      <c r="J7557"/>
    </row>
    <row r="7558" spans="9:10" x14ac:dyDescent="0.3">
      <c r="I7558"/>
      <c r="J7558"/>
    </row>
    <row r="7559" spans="9:10" x14ac:dyDescent="0.3">
      <c r="I7559"/>
      <c r="J7559"/>
    </row>
    <row r="7560" spans="9:10" x14ac:dyDescent="0.3">
      <c r="I7560"/>
      <c r="J7560"/>
    </row>
    <row r="7561" spans="9:10" x14ac:dyDescent="0.3">
      <c r="I7561"/>
      <c r="J7561"/>
    </row>
    <row r="7562" spans="9:10" x14ac:dyDescent="0.3">
      <c r="I7562"/>
      <c r="J7562"/>
    </row>
    <row r="7563" spans="9:10" x14ac:dyDescent="0.3">
      <c r="I7563"/>
      <c r="J7563"/>
    </row>
    <row r="7564" spans="9:10" x14ac:dyDescent="0.3">
      <c r="I7564"/>
      <c r="J7564"/>
    </row>
    <row r="7565" spans="9:10" x14ac:dyDescent="0.3">
      <c r="I7565"/>
      <c r="J7565"/>
    </row>
    <row r="7566" spans="9:10" x14ac:dyDescent="0.3">
      <c r="I7566"/>
      <c r="J7566"/>
    </row>
    <row r="7567" spans="9:10" x14ac:dyDescent="0.3">
      <c r="I7567"/>
      <c r="J7567"/>
    </row>
    <row r="7568" spans="9:10" x14ac:dyDescent="0.3">
      <c r="I7568"/>
      <c r="J7568"/>
    </row>
    <row r="7569" spans="9:10" x14ac:dyDescent="0.3">
      <c r="I7569"/>
      <c r="J7569"/>
    </row>
    <row r="7570" spans="9:10" x14ac:dyDescent="0.3">
      <c r="I7570"/>
      <c r="J7570"/>
    </row>
    <row r="7571" spans="9:10" x14ac:dyDescent="0.3">
      <c r="I7571"/>
      <c r="J7571"/>
    </row>
    <row r="7572" spans="9:10" x14ac:dyDescent="0.3">
      <c r="I7572"/>
      <c r="J7572"/>
    </row>
    <row r="7573" spans="9:10" x14ac:dyDescent="0.3">
      <c r="I7573"/>
      <c r="J7573"/>
    </row>
    <row r="7574" spans="9:10" x14ac:dyDescent="0.3">
      <c r="I7574"/>
      <c r="J7574"/>
    </row>
    <row r="7575" spans="9:10" x14ac:dyDescent="0.3">
      <c r="I7575"/>
      <c r="J7575"/>
    </row>
    <row r="7576" spans="9:10" x14ac:dyDescent="0.3">
      <c r="I7576"/>
      <c r="J7576"/>
    </row>
    <row r="7577" spans="9:10" x14ac:dyDescent="0.3">
      <c r="I7577"/>
      <c r="J7577"/>
    </row>
    <row r="7578" spans="9:10" x14ac:dyDescent="0.3">
      <c r="I7578"/>
      <c r="J7578"/>
    </row>
    <row r="7579" spans="9:10" x14ac:dyDescent="0.3">
      <c r="I7579"/>
      <c r="J7579"/>
    </row>
    <row r="7580" spans="9:10" x14ac:dyDescent="0.3">
      <c r="I7580"/>
      <c r="J7580"/>
    </row>
    <row r="7581" spans="9:10" x14ac:dyDescent="0.3">
      <c r="I7581"/>
      <c r="J7581"/>
    </row>
    <row r="7582" spans="9:10" x14ac:dyDescent="0.3">
      <c r="I7582"/>
      <c r="J7582"/>
    </row>
    <row r="7583" spans="9:10" x14ac:dyDescent="0.3">
      <c r="I7583"/>
      <c r="J7583"/>
    </row>
    <row r="7584" spans="9:10" x14ac:dyDescent="0.3">
      <c r="I7584"/>
      <c r="J7584"/>
    </row>
    <row r="7585" spans="9:10" x14ac:dyDescent="0.3">
      <c r="I7585"/>
      <c r="J7585"/>
    </row>
    <row r="7586" spans="9:10" x14ac:dyDescent="0.3">
      <c r="I7586"/>
      <c r="J7586"/>
    </row>
    <row r="7587" spans="9:10" x14ac:dyDescent="0.3">
      <c r="I7587"/>
      <c r="J7587"/>
    </row>
    <row r="7588" spans="9:10" x14ac:dyDescent="0.3">
      <c r="I7588"/>
      <c r="J7588"/>
    </row>
    <row r="7589" spans="9:10" x14ac:dyDescent="0.3">
      <c r="I7589"/>
      <c r="J7589"/>
    </row>
    <row r="7590" spans="9:10" x14ac:dyDescent="0.3">
      <c r="I7590"/>
      <c r="J7590"/>
    </row>
    <row r="7591" spans="9:10" x14ac:dyDescent="0.3">
      <c r="I7591"/>
      <c r="J7591"/>
    </row>
    <row r="7592" spans="9:10" x14ac:dyDescent="0.3">
      <c r="I7592"/>
      <c r="J7592"/>
    </row>
    <row r="7593" spans="9:10" x14ac:dyDescent="0.3">
      <c r="I7593"/>
      <c r="J7593"/>
    </row>
    <row r="7594" spans="9:10" x14ac:dyDescent="0.3">
      <c r="I7594"/>
      <c r="J7594"/>
    </row>
    <row r="7595" spans="9:10" x14ac:dyDescent="0.3">
      <c r="I7595"/>
      <c r="J7595"/>
    </row>
    <row r="7596" spans="9:10" x14ac:dyDescent="0.3">
      <c r="I7596"/>
      <c r="J7596"/>
    </row>
    <row r="7597" spans="9:10" x14ac:dyDescent="0.3">
      <c r="I7597"/>
      <c r="J7597"/>
    </row>
    <row r="7598" spans="9:10" x14ac:dyDescent="0.3">
      <c r="I7598"/>
      <c r="J7598"/>
    </row>
    <row r="7599" spans="9:10" x14ac:dyDescent="0.3">
      <c r="I7599"/>
      <c r="J7599"/>
    </row>
    <row r="7600" spans="9:10" x14ac:dyDescent="0.3">
      <c r="I7600"/>
      <c r="J7600"/>
    </row>
    <row r="7601" spans="9:10" x14ac:dyDescent="0.3">
      <c r="I7601"/>
      <c r="J7601"/>
    </row>
    <row r="7602" spans="9:10" x14ac:dyDescent="0.3">
      <c r="I7602"/>
      <c r="J7602"/>
    </row>
    <row r="7603" spans="9:10" x14ac:dyDescent="0.3">
      <c r="I7603"/>
      <c r="J7603"/>
    </row>
    <row r="7604" spans="9:10" x14ac:dyDescent="0.3">
      <c r="I7604"/>
      <c r="J7604"/>
    </row>
    <row r="7605" spans="9:10" x14ac:dyDescent="0.3">
      <c r="I7605"/>
      <c r="J7605"/>
    </row>
    <row r="7606" spans="9:10" x14ac:dyDescent="0.3">
      <c r="I7606"/>
      <c r="J7606"/>
    </row>
    <row r="7607" spans="9:10" x14ac:dyDescent="0.3">
      <c r="I7607"/>
      <c r="J7607"/>
    </row>
    <row r="7608" spans="9:10" x14ac:dyDescent="0.3">
      <c r="I7608"/>
      <c r="J7608"/>
    </row>
    <row r="7609" spans="9:10" x14ac:dyDescent="0.3">
      <c r="I7609"/>
      <c r="J7609"/>
    </row>
    <row r="7610" spans="9:10" x14ac:dyDescent="0.3">
      <c r="I7610"/>
      <c r="J7610"/>
    </row>
    <row r="7611" spans="9:10" x14ac:dyDescent="0.3">
      <c r="I7611"/>
      <c r="J7611"/>
    </row>
    <row r="7612" spans="9:10" x14ac:dyDescent="0.3">
      <c r="I7612"/>
      <c r="J7612"/>
    </row>
    <row r="7613" spans="9:10" x14ac:dyDescent="0.3">
      <c r="I7613"/>
      <c r="J7613"/>
    </row>
    <row r="7614" spans="9:10" x14ac:dyDescent="0.3">
      <c r="I7614"/>
      <c r="J7614"/>
    </row>
    <row r="7615" spans="9:10" x14ac:dyDescent="0.3">
      <c r="I7615"/>
      <c r="J7615"/>
    </row>
    <row r="7616" spans="9:10" x14ac:dyDescent="0.3">
      <c r="I7616"/>
      <c r="J7616"/>
    </row>
    <row r="7617" spans="9:10" x14ac:dyDescent="0.3">
      <c r="I7617"/>
      <c r="J7617"/>
    </row>
    <row r="7618" spans="9:10" x14ac:dyDescent="0.3">
      <c r="I7618"/>
      <c r="J7618"/>
    </row>
    <row r="7619" spans="9:10" x14ac:dyDescent="0.3">
      <c r="I7619"/>
      <c r="J7619"/>
    </row>
    <row r="7620" spans="9:10" x14ac:dyDescent="0.3">
      <c r="I7620"/>
      <c r="J7620"/>
    </row>
    <row r="7621" spans="9:10" x14ac:dyDescent="0.3">
      <c r="I7621"/>
      <c r="J7621"/>
    </row>
    <row r="7622" spans="9:10" x14ac:dyDescent="0.3">
      <c r="I7622"/>
      <c r="J7622"/>
    </row>
    <row r="7623" spans="9:10" x14ac:dyDescent="0.3">
      <c r="I7623"/>
      <c r="J7623"/>
    </row>
    <row r="7624" spans="9:10" x14ac:dyDescent="0.3">
      <c r="I7624"/>
      <c r="J7624"/>
    </row>
    <row r="7625" spans="9:10" x14ac:dyDescent="0.3">
      <c r="I7625"/>
      <c r="J7625"/>
    </row>
    <row r="7626" spans="9:10" x14ac:dyDescent="0.3">
      <c r="I7626"/>
      <c r="J7626"/>
    </row>
    <row r="7627" spans="9:10" x14ac:dyDescent="0.3">
      <c r="I7627"/>
      <c r="J7627"/>
    </row>
    <row r="7628" spans="9:10" x14ac:dyDescent="0.3">
      <c r="I7628"/>
      <c r="J7628"/>
    </row>
    <row r="7629" spans="9:10" x14ac:dyDescent="0.3">
      <c r="I7629"/>
      <c r="J7629"/>
    </row>
    <row r="7630" spans="9:10" x14ac:dyDescent="0.3">
      <c r="I7630"/>
      <c r="J7630"/>
    </row>
    <row r="7631" spans="9:10" x14ac:dyDescent="0.3">
      <c r="I7631"/>
      <c r="J7631"/>
    </row>
    <row r="7632" spans="9:10" x14ac:dyDescent="0.3">
      <c r="I7632"/>
      <c r="J7632"/>
    </row>
    <row r="7633" spans="9:10" x14ac:dyDescent="0.3">
      <c r="I7633"/>
      <c r="J7633"/>
    </row>
    <row r="7634" spans="9:10" x14ac:dyDescent="0.3">
      <c r="I7634"/>
      <c r="J7634"/>
    </row>
    <row r="7635" spans="9:10" x14ac:dyDescent="0.3">
      <c r="I7635"/>
      <c r="J7635"/>
    </row>
    <row r="7636" spans="9:10" x14ac:dyDescent="0.3">
      <c r="I7636"/>
      <c r="J7636"/>
    </row>
    <row r="7637" spans="9:10" x14ac:dyDescent="0.3">
      <c r="I7637"/>
      <c r="J7637"/>
    </row>
    <row r="7638" spans="9:10" x14ac:dyDescent="0.3">
      <c r="I7638"/>
      <c r="J7638"/>
    </row>
    <row r="7639" spans="9:10" x14ac:dyDescent="0.3">
      <c r="I7639"/>
      <c r="J7639"/>
    </row>
    <row r="7640" spans="9:10" x14ac:dyDescent="0.3">
      <c r="I7640"/>
      <c r="J7640"/>
    </row>
    <row r="7641" spans="9:10" x14ac:dyDescent="0.3">
      <c r="I7641"/>
      <c r="J7641"/>
    </row>
    <row r="7642" spans="9:10" x14ac:dyDescent="0.3">
      <c r="I7642"/>
      <c r="J7642"/>
    </row>
    <row r="7643" spans="9:10" x14ac:dyDescent="0.3">
      <c r="I7643"/>
      <c r="J7643"/>
    </row>
    <row r="7644" spans="9:10" x14ac:dyDescent="0.3">
      <c r="I7644"/>
      <c r="J7644"/>
    </row>
    <row r="7645" spans="9:10" x14ac:dyDescent="0.3">
      <c r="I7645"/>
      <c r="J7645"/>
    </row>
    <row r="7646" spans="9:10" x14ac:dyDescent="0.3">
      <c r="I7646"/>
      <c r="J7646"/>
    </row>
    <row r="7647" spans="9:10" x14ac:dyDescent="0.3">
      <c r="I7647"/>
      <c r="J7647"/>
    </row>
    <row r="7648" spans="9:10" x14ac:dyDescent="0.3">
      <c r="I7648"/>
      <c r="J7648"/>
    </row>
    <row r="7649" spans="9:10" x14ac:dyDescent="0.3">
      <c r="I7649"/>
      <c r="J7649"/>
    </row>
    <row r="7650" spans="9:10" x14ac:dyDescent="0.3">
      <c r="I7650"/>
      <c r="J7650"/>
    </row>
    <row r="7651" spans="9:10" x14ac:dyDescent="0.3">
      <c r="I7651"/>
      <c r="J7651"/>
    </row>
    <row r="7652" spans="9:10" x14ac:dyDescent="0.3">
      <c r="I7652"/>
      <c r="J7652"/>
    </row>
    <row r="7653" spans="9:10" x14ac:dyDescent="0.3">
      <c r="I7653"/>
      <c r="J7653"/>
    </row>
    <row r="7654" spans="9:10" x14ac:dyDescent="0.3">
      <c r="I7654"/>
      <c r="J7654"/>
    </row>
    <row r="7655" spans="9:10" x14ac:dyDescent="0.3">
      <c r="I7655"/>
      <c r="J7655"/>
    </row>
    <row r="7656" spans="9:10" x14ac:dyDescent="0.3">
      <c r="I7656"/>
      <c r="J7656"/>
    </row>
    <row r="7657" spans="9:10" x14ac:dyDescent="0.3">
      <c r="I7657"/>
      <c r="J7657"/>
    </row>
    <row r="7658" spans="9:10" x14ac:dyDescent="0.3">
      <c r="I7658"/>
      <c r="J7658"/>
    </row>
    <row r="7659" spans="9:10" x14ac:dyDescent="0.3">
      <c r="I7659"/>
      <c r="J7659"/>
    </row>
    <row r="7660" spans="9:10" x14ac:dyDescent="0.3">
      <c r="I7660"/>
      <c r="J7660"/>
    </row>
    <row r="7661" spans="9:10" x14ac:dyDescent="0.3">
      <c r="I7661"/>
      <c r="J7661"/>
    </row>
    <row r="7662" spans="9:10" x14ac:dyDescent="0.3">
      <c r="I7662"/>
      <c r="J7662"/>
    </row>
    <row r="7663" spans="9:10" x14ac:dyDescent="0.3">
      <c r="I7663"/>
      <c r="J7663"/>
    </row>
    <row r="7664" spans="9:10" x14ac:dyDescent="0.3">
      <c r="I7664"/>
      <c r="J7664"/>
    </row>
    <row r="7665" spans="9:10" x14ac:dyDescent="0.3">
      <c r="I7665"/>
      <c r="J7665"/>
    </row>
    <row r="7666" spans="9:10" x14ac:dyDescent="0.3">
      <c r="I7666"/>
      <c r="J7666"/>
    </row>
    <row r="7667" spans="9:10" x14ac:dyDescent="0.3">
      <c r="I7667"/>
      <c r="J7667"/>
    </row>
    <row r="7668" spans="9:10" x14ac:dyDescent="0.3">
      <c r="I7668"/>
      <c r="J7668"/>
    </row>
    <row r="7669" spans="9:10" x14ac:dyDescent="0.3">
      <c r="I7669"/>
      <c r="J7669"/>
    </row>
    <row r="7670" spans="9:10" x14ac:dyDescent="0.3">
      <c r="I7670"/>
      <c r="J7670"/>
    </row>
    <row r="7671" spans="9:10" x14ac:dyDescent="0.3">
      <c r="I7671"/>
      <c r="J7671"/>
    </row>
    <row r="7672" spans="9:10" x14ac:dyDescent="0.3">
      <c r="I7672"/>
      <c r="J7672"/>
    </row>
    <row r="7673" spans="9:10" x14ac:dyDescent="0.3">
      <c r="I7673"/>
      <c r="J7673"/>
    </row>
    <row r="7674" spans="9:10" x14ac:dyDescent="0.3">
      <c r="I7674"/>
      <c r="J7674"/>
    </row>
    <row r="7675" spans="9:10" x14ac:dyDescent="0.3">
      <c r="I7675"/>
      <c r="J7675"/>
    </row>
    <row r="7676" spans="9:10" x14ac:dyDescent="0.3">
      <c r="I7676"/>
      <c r="J7676"/>
    </row>
    <row r="7677" spans="9:10" x14ac:dyDescent="0.3">
      <c r="I7677"/>
      <c r="J7677"/>
    </row>
    <row r="7678" spans="9:10" x14ac:dyDescent="0.3">
      <c r="I7678"/>
      <c r="J7678"/>
    </row>
    <row r="7679" spans="9:10" x14ac:dyDescent="0.3">
      <c r="I7679"/>
      <c r="J7679"/>
    </row>
    <row r="7680" spans="9:10" x14ac:dyDescent="0.3">
      <c r="I7680"/>
      <c r="J7680"/>
    </row>
    <row r="7681" spans="9:10" x14ac:dyDescent="0.3">
      <c r="I7681"/>
      <c r="J7681"/>
    </row>
    <row r="7682" spans="9:10" x14ac:dyDescent="0.3">
      <c r="I7682"/>
      <c r="J7682"/>
    </row>
    <row r="7683" spans="9:10" x14ac:dyDescent="0.3">
      <c r="I7683"/>
      <c r="J7683"/>
    </row>
    <row r="7684" spans="9:10" x14ac:dyDescent="0.3">
      <c r="I7684"/>
      <c r="J7684"/>
    </row>
    <row r="7685" spans="9:10" x14ac:dyDescent="0.3">
      <c r="I7685"/>
      <c r="J7685"/>
    </row>
    <row r="7686" spans="9:10" x14ac:dyDescent="0.3">
      <c r="I7686"/>
      <c r="J7686"/>
    </row>
    <row r="7687" spans="9:10" x14ac:dyDescent="0.3">
      <c r="I7687"/>
      <c r="J7687"/>
    </row>
    <row r="7688" spans="9:10" x14ac:dyDescent="0.3">
      <c r="I7688"/>
      <c r="J7688"/>
    </row>
    <row r="7689" spans="9:10" x14ac:dyDescent="0.3">
      <c r="I7689"/>
      <c r="J7689"/>
    </row>
    <row r="7690" spans="9:10" x14ac:dyDescent="0.3">
      <c r="I7690"/>
      <c r="J7690"/>
    </row>
    <row r="7691" spans="9:10" x14ac:dyDescent="0.3">
      <c r="I7691"/>
      <c r="J7691"/>
    </row>
    <row r="7692" spans="9:10" x14ac:dyDescent="0.3">
      <c r="I7692"/>
      <c r="J7692"/>
    </row>
    <row r="7693" spans="9:10" x14ac:dyDescent="0.3">
      <c r="I7693"/>
      <c r="J7693"/>
    </row>
    <row r="7694" spans="9:10" x14ac:dyDescent="0.3">
      <c r="I7694"/>
      <c r="J7694"/>
    </row>
    <row r="7695" spans="9:10" x14ac:dyDescent="0.3">
      <c r="I7695"/>
      <c r="J7695"/>
    </row>
    <row r="7696" spans="9:10" x14ac:dyDescent="0.3">
      <c r="I7696"/>
      <c r="J7696"/>
    </row>
    <row r="7697" spans="9:10" x14ac:dyDescent="0.3">
      <c r="I7697"/>
      <c r="J7697"/>
    </row>
    <row r="7698" spans="9:10" x14ac:dyDescent="0.3">
      <c r="I7698"/>
      <c r="J7698"/>
    </row>
    <row r="7699" spans="9:10" x14ac:dyDescent="0.3">
      <c r="I7699"/>
      <c r="J7699"/>
    </row>
    <row r="7700" spans="9:10" x14ac:dyDescent="0.3">
      <c r="I7700"/>
      <c r="J7700"/>
    </row>
    <row r="7701" spans="9:10" x14ac:dyDescent="0.3">
      <c r="I7701"/>
      <c r="J7701"/>
    </row>
    <row r="7702" spans="9:10" x14ac:dyDescent="0.3">
      <c r="I7702"/>
      <c r="J7702"/>
    </row>
    <row r="7703" spans="9:10" x14ac:dyDescent="0.3">
      <c r="I7703"/>
      <c r="J7703"/>
    </row>
    <row r="7704" spans="9:10" x14ac:dyDescent="0.3">
      <c r="I7704"/>
      <c r="J7704"/>
    </row>
    <row r="7705" spans="9:10" x14ac:dyDescent="0.3">
      <c r="I7705"/>
      <c r="J7705"/>
    </row>
    <row r="7706" spans="9:10" x14ac:dyDescent="0.3">
      <c r="I7706"/>
      <c r="J7706"/>
    </row>
    <row r="7707" spans="9:10" x14ac:dyDescent="0.3">
      <c r="I7707"/>
      <c r="J7707"/>
    </row>
    <row r="7708" spans="9:10" x14ac:dyDescent="0.3">
      <c r="I7708"/>
      <c r="J7708"/>
    </row>
    <row r="7709" spans="9:10" x14ac:dyDescent="0.3">
      <c r="I7709"/>
      <c r="J7709"/>
    </row>
    <row r="7710" spans="9:10" x14ac:dyDescent="0.3">
      <c r="I7710"/>
      <c r="J7710"/>
    </row>
    <row r="7711" spans="9:10" x14ac:dyDescent="0.3">
      <c r="I7711"/>
      <c r="J7711"/>
    </row>
    <row r="7712" spans="9:10" x14ac:dyDescent="0.3">
      <c r="I7712"/>
      <c r="J7712"/>
    </row>
    <row r="7713" spans="9:10" x14ac:dyDescent="0.3">
      <c r="I7713"/>
      <c r="J7713"/>
    </row>
    <row r="7714" spans="9:10" x14ac:dyDescent="0.3">
      <c r="I7714"/>
      <c r="J7714"/>
    </row>
    <row r="7715" spans="9:10" x14ac:dyDescent="0.3">
      <c r="I7715"/>
      <c r="J7715"/>
    </row>
    <row r="7716" spans="9:10" x14ac:dyDescent="0.3">
      <c r="I7716"/>
      <c r="J7716"/>
    </row>
    <row r="7717" spans="9:10" x14ac:dyDescent="0.3">
      <c r="I7717"/>
      <c r="J7717"/>
    </row>
    <row r="7718" spans="9:10" x14ac:dyDescent="0.3">
      <c r="I7718"/>
      <c r="J7718"/>
    </row>
    <row r="7719" spans="9:10" x14ac:dyDescent="0.3">
      <c r="I7719"/>
      <c r="J7719"/>
    </row>
    <row r="7720" spans="9:10" x14ac:dyDescent="0.3">
      <c r="I7720"/>
      <c r="J7720"/>
    </row>
    <row r="7721" spans="9:10" x14ac:dyDescent="0.3">
      <c r="I7721"/>
      <c r="J7721"/>
    </row>
    <row r="7722" spans="9:10" x14ac:dyDescent="0.3">
      <c r="I7722"/>
      <c r="J7722"/>
    </row>
    <row r="7723" spans="9:10" x14ac:dyDescent="0.3">
      <c r="I7723"/>
      <c r="J7723"/>
    </row>
    <row r="7724" spans="9:10" x14ac:dyDescent="0.3">
      <c r="I7724"/>
      <c r="J7724"/>
    </row>
    <row r="7725" spans="9:10" x14ac:dyDescent="0.3">
      <c r="I7725"/>
      <c r="J7725"/>
    </row>
    <row r="7726" spans="9:10" x14ac:dyDescent="0.3">
      <c r="I7726"/>
      <c r="J7726"/>
    </row>
    <row r="7727" spans="9:10" x14ac:dyDescent="0.3">
      <c r="I7727"/>
      <c r="J7727"/>
    </row>
    <row r="7728" spans="9:10" x14ac:dyDescent="0.3">
      <c r="I7728"/>
      <c r="J7728"/>
    </row>
    <row r="7729" spans="9:10" x14ac:dyDescent="0.3">
      <c r="I7729"/>
      <c r="J7729"/>
    </row>
    <row r="7730" spans="9:10" x14ac:dyDescent="0.3">
      <c r="I7730"/>
      <c r="J7730"/>
    </row>
    <row r="7731" spans="9:10" x14ac:dyDescent="0.3">
      <c r="I7731"/>
      <c r="J7731"/>
    </row>
    <row r="7732" spans="9:10" x14ac:dyDescent="0.3">
      <c r="I7732"/>
      <c r="J7732"/>
    </row>
    <row r="7733" spans="9:10" x14ac:dyDescent="0.3">
      <c r="I7733"/>
      <c r="J7733"/>
    </row>
    <row r="7734" spans="9:10" x14ac:dyDescent="0.3">
      <c r="I7734"/>
      <c r="J7734"/>
    </row>
    <row r="7735" spans="9:10" x14ac:dyDescent="0.3">
      <c r="I7735"/>
      <c r="J7735"/>
    </row>
    <row r="7736" spans="9:10" x14ac:dyDescent="0.3">
      <c r="I7736"/>
      <c r="J7736"/>
    </row>
    <row r="7737" spans="9:10" x14ac:dyDescent="0.3">
      <c r="I7737"/>
      <c r="J7737"/>
    </row>
    <row r="7738" spans="9:10" x14ac:dyDescent="0.3">
      <c r="I7738"/>
      <c r="J7738"/>
    </row>
    <row r="7739" spans="9:10" x14ac:dyDescent="0.3">
      <c r="I7739"/>
      <c r="J7739"/>
    </row>
    <row r="7740" spans="9:10" x14ac:dyDescent="0.3">
      <c r="I7740"/>
      <c r="J7740"/>
    </row>
    <row r="7741" spans="9:10" x14ac:dyDescent="0.3">
      <c r="I7741"/>
      <c r="J7741"/>
    </row>
    <row r="7742" spans="9:10" x14ac:dyDescent="0.3">
      <c r="I7742"/>
      <c r="J7742"/>
    </row>
    <row r="7743" spans="9:10" x14ac:dyDescent="0.3">
      <c r="I7743"/>
      <c r="J7743"/>
    </row>
    <row r="7744" spans="9:10" x14ac:dyDescent="0.3">
      <c r="I7744"/>
      <c r="J7744"/>
    </row>
    <row r="7745" spans="9:10" x14ac:dyDescent="0.3">
      <c r="I7745"/>
      <c r="J7745"/>
    </row>
    <row r="7746" spans="9:10" x14ac:dyDescent="0.3">
      <c r="I7746"/>
      <c r="J7746"/>
    </row>
    <row r="7747" spans="9:10" x14ac:dyDescent="0.3">
      <c r="I7747"/>
      <c r="J7747"/>
    </row>
    <row r="7748" spans="9:10" x14ac:dyDescent="0.3">
      <c r="I7748"/>
      <c r="J7748"/>
    </row>
    <row r="7749" spans="9:10" x14ac:dyDescent="0.3">
      <c r="I7749"/>
      <c r="J7749"/>
    </row>
    <row r="7750" spans="9:10" x14ac:dyDescent="0.3">
      <c r="I7750"/>
      <c r="J7750"/>
    </row>
    <row r="7751" spans="9:10" x14ac:dyDescent="0.3">
      <c r="I7751"/>
      <c r="J7751"/>
    </row>
    <row r="7752" spans="9:10" x14ac:dyDescent="0.3">
      <c r="I7752"/>
      <c r="J7752"/>
    </row>
    <row r="7753" spans="9:10" x14ac:dyDescent="0.3">
      <c r="I7753"/>
      <c r="J7753"/>
    </row>
    <row r="7754" spans="9:10" x14ac:dyDescent="0.3">
      <c r="I7754"/>
      <c r="J7754"/>
    </row>
    <row r="7755" spans="9:10" x14ac:dyDescent="0.3">
      <c r="I7755"/>
      <c r="J7755"/>
    </row>
    <row r="7756" spans="9:10" x14ac:dyDescent="0.3">
      <c r="I7756"/>
      <c r="J7756"/>
    </row>
    <row r="7757" spans="9:10" x14ac:dyDescent="0.3">
      <c r="I7757"/>
      <c r="J7757"/>
    </row>
    <row r="7758" spans="9:10" x14ac:dyDescent="0.3">
      <c r="I7758"/>
      <c r="J7758"/>
    </row>
    <row r="7759" spans="9:10" x14ac:dyDescent="0.3">
      <c r="I7759"/>
      <c r="J7759"/>
    </row>
    <row r="7760" spans="9:10" x14ac:dyDescent="0.3">
      <c r="I7760"/>
      <c r="J7760"/>
    </row>
    <row r="7761" spans="9:10" x14ac:dyDescent="0.3">
      <c r="I7761"/>
      <c r="J7761"/>
    </row>
    <row r="7762" spans="9:10" x14ac:dyDescent="0.3">
      <c r="I7762"/>
      <c r="J7762"/>
    </row>
    <row r="7763" spans="9:10" x14ac:dyDescent="0.3">
      <c r="I7763"/>
      <c r="J7763"/>
    </row>
    <row r="7764" spans="9:10" x14ac:dyDescent="0.3">
      <c r="I7764"/>
      <c r="J7764"/>
    </row>
    <row r="7765" spans="9:10" x14ac:dyDescent="0.3">
      <c r="I7765"/>
      <c r="J7765"/>
    </row>
    <row r="7766" spans="9:10" x14ac:dyDescent="0.3">
      <c r="I7766"/>
      <c r="J7766"/>
    </row>
    <row r="7767" spans="9:10" x14ac:dyDescent="0.3">
      <c r="I7767"/>
      <c r="J7767"/>
    </row>
    <row r="7768" spans="9:10" x14ac:dyDescent="0.3">
      <c r="I7768"/>
      <c r="J7768"/>
    </row>
    <row r="7769" spans="9:10" x14ac:dyDescent="0.3">
      <c r="I7769"/>
      <c r="J7769"/>
    </row>
    <row r="7770" spans="9:10" x14ac:dyDescent="0.3">
      <c r="I7770"/>
      <c r="J7770"/>
    </row>
    <row r="7771" spans="9:10" x14ac:dyDescent="0.3">
      <c r="I7771"/>
      <c r="J7771"/>
    </row>
    <row r="7772" spans="9:10" x14ac:dyDescent="0.3">
      <c r="I7772"/>
      <c r="J7772"/>
    </row>
    <row r="7773" spans="9:10" x14ac:dyDescent="0.3">
      <c r="I7773"/>
      <c r="J7773"/>
    </row>
    <row r="7774" spans="9:10" x14ac:dyDescent="0.3">
      <c r="I7774"/>
      <c r="J7774"/>
    </row>
    <row r="7775" spans="9:10" x14ac:dyDescent="0.3">
      <c r="I7775"/>
      <c r="J7775"/>
    </row>
    <row r="7776" spans="9:10" x14ac:dyDescent="0.3">
      <c r="I7776"/>
      <c r="J7776"/>
    </row>
    <row r="7777" spans="9:10" x14ac:dyDescent="0.3">
      <c r="I7777"/>
      <c r="J7777"/>
    </row>
    <row r="7778" spans="9:10" x14ac:dyDescent="0.3">
      <c r="I7778"/>
      <c r="J7778"/>
    </row>
    <row r="7779" spans="9:10" x14ac:dyDescent="0.3">
      <c r="I7779"/>
      <c r="J7779"/>
    </row>
    <row r="7780" spans="9:10" x14ac:dyDescent="0.3">
      <c r="I7780"/>
      <c r="J7780"/>
    </row>
    <row r="7781" spans="9:10" x14ac:dyDescent="0.3">
      <c r="I7781"/>
      <c r="J7781"/>
    </row>
    <row r="7782" spans="9:10" x14ac:dyDescent="0.3">
      <c r="I7782"/>
      <c r="J7782"/>
    </row>
    <row r="7783" spans="9:10" x14ac:dyDescent="0.3">
      <c r="I7783"/>
      <c r="J7783"/>
    </row>
    <row r="7784" spans="9:10" x14ac:dyDescent="0.3">
      <c r="I7784"/>
      <c r="J7784"/>
    </row>
    <row r="7785" spans="9:10" x14ac:dyDescent="0.3">
      <c r="I7785"/>
      <c r="J7785"/>
    </row>
    <row r="7786" spans="9:10" x14ac:dyDescent="0.3">
      <c r="I7786"/>
      <c r="J7786"/>
    </row>
    <row r="7787" spans="9:10" x14ac:dyDescent="0.3">
      <c r="I7787"/>
      <c r="J7787"/>
    </row>
    <row r="7788" spans="9:10" x14ac:dyDescent="0.3">
      <c r="I7788"/>
      <c r="J7788"/>
    </row>
    <row r="7789" spans="9:10" x14ac:dyDescent="0.3">
      <c r="I7789"/>
      <c r="J7789"/>
    </row>
    <row r="7790" spans="9:10" x14ac:dyDescent="0.3">
      <c r="I7790"/>
      <c r="J7790"/>
    </row>
    <row r="7791" spans="9:10" x14ac:dyDescent="0.3">
      <c r="I7791"/>
      <c r="J7791"/>
    </row>
    <row r="7792" spans="9:10" x14ac:dyDescent="0.3">
      <c r="I7792"/>
      <c r="J7792"/>
    </row>
    <row r="7793" spans="9:10" x14ac:dyDescent="0.3">
      <c r="I7793"/>
      <c r="J7793"/>
    </row>
    <row r="7794" spans="9:10" x14ac:dyDescent="0.3">
      <c r="I7794"/>
      <c r="J7794"/>
    </row>
    <row r="7795" spans="9:10" x14ac:dyDescent="0.3">
      <c r="I7795"/>
      <c r="J7795"/>
    </row>
    <row r="7796" spans="9:10" x14ac:dyDescent="0.3">
      <c r="I7796"/>
      <c r="J7796"/>
    </row>
    <row r="7797" spans="9:10" x14ac:dyDescent="0.3">
      <c r="I7797"/>
      <c r="J7797"/>
    </row>
    <row r="7798" spans="9:10" x14ac:dyDescent="0.3">
      <c r="I7798"/>
      <c r="J7798"/>
    </row>
    <row r="7799" spans="9:10" x14ac:dyDescent="0.3">
      <c r="I7799"/>
      <c r="J7799"/>
    </row>
    <row r="7800" spans="9:10" x14ac:dyDescent="0.3">
      <c r="I7800"/>
      <c r="J7800"/>
    </row>
    <row r="7801" spans="9:10" x14ac:dyDescent="0.3">
      <c r="I7801"/>
      <c r="J7801"/>
    </row>
    <row r="7802" spans="9:10" x14ac:dyDescent="0.3">
      <c r="I7802"/>
      <c r="J7802"/>
    </row>
    <row r="7803" spans="9:10" x14ac:dyDescent="0.3">
      <c r="I7803"/>
      <c r="J7803"/>
    </row>
    <row r="7804" spans="9:10" x14ac:dyDescent="0.3">
      <c r="I7804"/>
      <c r="J7804"/>
    </row>
    <row r="7805" spans="9:10" x14ac:dyDescent="0.3">
      <c r="I7805"/>
      <c r="J7805"/>
    </row>
    <row r="7806" spans="9:10" x14ac:dyDescent="0.3">
      <c r="I7806"/>
      <c r="J7806"/>
    </row>
    <row r="7807" spans="9:10" x14ac:dyDescent="0.3">
      <c r="I7807"/>
      <c r="J7807"/>
    </row>
    <row r="7808" spans="9:10" x14ac:dyDescent="0.3">
      <c r="I7808"/>
      <c r="J7808"/>
    </row>
    <row r="7809" spans="9:10" x14ac:dyDescent="0.3">
      <c r="I7809"/>
      <c r="J7809"/>
    </row>
    <row r="7810" spans="9:10" x14ac:dyDescent="0.3">
      <c r="I7810"/>
      <c r="J7810"/>
    </row>
    <row r="7811" spans="9:10" x14ac:dyDescent="0.3">
      <c r="I7811"/>
      <c r="J7811"/>
    </row>
    <row r="7812" spans="9:10" x14ac:dyDescent="0.3">
      <c r="I7812"/>
      <c r="J7812"/>
    </row>
    <row r="7813" spans="9:10" x14ac:dyDescent="0.3">
      <c r="I7813"/>
      <c r="J7813"/>
    </row>
    <row r="7814" spans="9:10" x14ac:dyDescent="0.3">
      <c r="I7814"/>
      <c r="J7814"/>
    </row>
    <row r="7815" spans="9:10" x14ac:dyDescent="0.3">
      <c r="I7815"/>
      <c r="J7815"/>
    </row>
    <row r="7816" spans="9:10" x14ac:dyDescent="0.3">
      <c r="I7816"/>
      <c r="J7816"/>
    </row>
    <row r="7817" spans="9:10" x14ac:dyDescent="0.3">
      <c r="I7817"/>
      <c r="J7817"/>
    </row>
    <row r="7818" spans="9:10" x14ac:dyDescent="0.3">
      <c r="I7818"/>
      <c r="J7818"/>
    </row>
    <row r="7819" spans="9:10" x14ac:dyDescent="0.3">
      <c r="I7819"/>
      <c r="J7819"/>
    </row>
    <row r="7820" spans="9:10" x14ac:dyDescent="0.3">
      <c r="I7820"/>
      <c r="J7820"/>
    </row>
    <row r="7821" spans="9:10" x14ac:dyDescent="0.3">
      <c r="I7821"/>
      <c r="J7821"/>
    </row>
    <row r="7822" spans="9:10" x14ac:dyDescent="0.3">
      <c r="I7822"/>
      <c r="J7822"/>
    </row>
    <row r="7823" spans="9:10" x14ac:dyDescent="0.3">
      <c r="I7823"/>
      <c r="J7823"/>
    </row>
    <row r="7824" spans="9:10" x14ac:dyDescent="0.3">
      <c r="I7824"/>
      <c r="J7824"/>
    </row>
    <row r="7825" spans="9:10" x14ac:dyDescent="0.3">
      <c r="I7825"/>
      <c r="J7825"/>
    </row>
    <row r="7826" spans="9:10" x14ac:dyDescent="0.3">
      <c r="I7826"/>
      <c r="J7826"/>
    </row>
    <row r="7827" spans="9:10" x14ac:dyDescent="0.3">
      <c r="I7827"/>
      <c r="J7827"/>
    </row>
    <row r="7828" spans="9:10" x14ac:dyDescent="0.3">
      <c r="I7828"/>
      <c r="J7828"/>
    </row>
    <row r="7829" spans="9:10" x14ac:dyDescent="0.3">
      <c r="I7829"/>
      <c r="J7829"/>
    </row>
    <row r="7830" spans="9:10" x14ac:dyDescent="0.3">
      <c r="I7830"/>
      <c r="J7830"/>
    </row>
    <row r="7831" spans="9:10" x14ac:dyDescent="0.3">
      <c r="I7831"/>
      <c r="J7831"/>
    </row>
    <row r="7832" spans="9:10" x14ac:dyDescent="0.3">
      <c r="I7832"/>
      <c r="J7832"/>
    </row>
    <row r="7833" spans="9:10" x14ac:dyDescent="0.3">
      <c r="I7833"/>
      <c r="J7833"/>
    </row>
    <row r="7834" spans="9:10" x14ac:dyDescent="0.3">
      <c r="I7834"/>
      <c r="J7834"/>
    </row>
    <row r="7835" spans="9:10" x14ac:dyDescent="0.3">
      <c r="I7835"/>
      <c r="J7835"/>
    </row>
    <row r="7836" spans="9:10" x14ac:dyDescent="0.3">
      <c r="I7836"/>
      <c r="J7836"/>
    </row>
    <row r="7837" spans="9:10" x14ac:dyDescent="0.3">
      <c r="I7837"/>
      <c r="J7837"/>
    </row>
    <row r="7838" spans="9:10" x14ac:dyDescent="0.3">
      <c r="I7838"/>
      <c r="J7838"/>
    </row>
    <row r="7839" spans="9:10" x14ac:dyDescent="0.3">
      <c r="I7839"/>
      <c r="J7839"/>
    </row>
    <row r="7840" spans="9:10" x14ac:dyDescent="0.3">
      <c r="I7840"/>
      <c r="J7840"/>
    </row>
    <row r="7841" spans="9:10" x14ac:dyDescent="0.3">
      <c r="I7841"/>
      <c r="J7841"/>
    </row>
    <row r="7842" spans="9:10" x14ac:dyDescent="0.3">
      <c r="I7842"/>
      <c r="J7842"/>
    </row>
    <row r="7843" spans="9:10" x14ac:dyDescent="0.3">
      <c r="I7843"/>
      <c r="J7843"/>
    </row>
    <row r="7844" spans="9:10" x14ac:dyDescent="0.3">
      <c r="I7844"/>
      <c r="J7844"/>
    </row>
    <row r="7845" spans="9:10" x14ac:dyDescent="0.3">
      <c r="I7845"/>
      <c r="J7845"/>
    </row>
    <row r="7846" spans="9:10" x14ac:dyDescent="0.3">
      <c r="I7846"/>
      <c r="J7846"/>
    </row>
    <row r="7847" spans="9:10" x14ac:dyDescent="0.3">
      <c r="I7847"/>
      <c r="J7847"/>
    </row>
    <row r="7848" spans="9:10" x14ac:dyDescent="0.3">
      <c r="I7848"/>
      <c r="J7848"/>
    </row>
    <row r="7849" spans="9:10" x14ac:dyDescent="0.3">
      <c r="I7849"/>
      <c r="J7849"/>
    </row>
    <row r="7850" spans="9:10" x14ac:dyDescent="0.3">
      <c r="I7850"/>
      <c r="J7850"/>
    </row>
    <row r="7851" spans="9:10" x14ac:dyDescent="0.3">
      <c r="I7851"/>
      <c r="J7851"/>
    </row>
    <row r="7852" spans="9:10" x14ac:dyDescent="0.3">
      <c r="I7852"/>
      <c r="J7852"/>
    </row>
    <row r="7853" spans="9:10" x14ac:dyDescent="0.3">
      <c r="I7853"/>
      <c r="J7853"/>
    </row>
    <row r="7854" spans="9:10" x14ac:dyDescent="0.3">
      <c r="I7854"/>
      <c r="J7854"/>
    </row>
    <row r="7855" spans="9:10" x14ac:dyDescent="0.3">
      <c r="I7855"/>
      <c r="J7855"/>
    </row>
    <row r="7856" spans="9:10" x14ac:dyDescent="0.3">
      <c r="I7856"/>
      <c r="J7856"/>
    </row>
    <row r="7857" spans="9:10" x14ac:dyDescent="0.3">
      <c r="I7857"/>
      <c r="J7857"/>
    </row>
    <row r="7858" spans="9:10" x14ac:dyDescent="0.3">
      <c r="I7858"/>
      <c r="J7858"/>
    </row>
    <row r="7859" spans="9:10" x14ac:dyDescent="0.3">
      <c r="I7859"/>
      <c r="J7859"/>
    </row>
    <row r="7860" spans="9:10" x14ac:dyDescent="0.3">
      <c r="I7860"/>
      <c r="J7860"/>
    </row>
    <row r="7861" spans="9:10" x14ac:dyDescent="0.3">
      <c r="I7861"/>
      <c r="J7861"/>
    </row>
    <row r="7862" spans="9:10" x14ac:dyDescent="0.3">
      <c r="I7862"/>
      <c r="J7862"/>
    </row>
    <row r="7863" spans="9:10" x14ac:dyDescent="0.3">
      <c r="I7863"/>
      <c r="J7863"/>
    </row>
    <row r="7864" spans="9:10" x14ac:dyDescent="0.3">
      <c r="I7864"/>
      <c r="J7864"/>
    </row>
    <row r="7865" spans="9:10" x14ac:dyDescent="0.3">
      <c r="I7865"/>
      <c r="J7865"/>
    </row>
    <row r="7866" spans="9:10" x14ac:dyDescent="0.3">
      <c r="I7866"/>
      <c r="J7866"/>
    </row>
    <row r="7867" spans="9:10" x14ac:dyDescent="0.3">
      <c r="I7867"/>
      <c r="J7867"/>
    </row>
    <row r="7868" spans="9:10" x14ac:dyDescent="0.3">
      <c r="I7868"/>
      <c r="J7868"/>
    </row>
    <row r="7869" spans="9:10" x14ac:dyDescent="0.3">
      <c r="I7869"/>
      <c r="J7869"/>
    </row>
    <row r="7870" spans="9:10" x14ac:dyDescent="0.3">
      <c r="I7870"/>
      <c r="J7870"/>
    </row>
    <row r="7871" spans="9:10" x14ac:dyDescent="0.3">
      <c r="I7871"/>
      <c r="J7871"/>
    </row>
    <row r="7872" spans="9:10" x14ac:dyDescent="0.3">
      <c r="I7872"/>
      <c r="J7872"/>
    </row>
    <row r="7873" spans="9:10" x14ac:dyDescent="0.3">
      <c r="I7873"/>
      <c r="J7873"/>
    </row>
    <row r="7874" spans="9:10" x14ac:dyDescent="0.3">
      <c r="I7874"/>
      <c r="J7874"/>
    </row>
    <row r="7875" spans="9:10" x14ac:dyDescent="0.3">
      <c r="I7875"/>
      <c r="J7875"/>
    </row>
    <row r="7876" spans="9:10" x14ac:dyDescent="0.3">
      <c r="I7876"/>
      <c r="J7876"/>
    </row>
    <row r="7877" spans="9:10" x14ac:dyDescent="0.3">
      <c r="I7877"/>
      <c r="J7877"/>
    </row>
    <row r="7878" spans="9:10" x14ac:dyDescent="0.3">
      <c r="I7878"/>
      <c r="J7878"/>
    </row>
    <row r="7879" spans="9:10" x14ac:dyDescent="0.3">
      <c r="I7879"/>
      <c r="J7879"/>
    </row>
    <row r="7880" spans="9:10" x14ac:dyDescent="0.3">
      <c r="I7880"/>
      <c r="J7880"/>
    </row>
    <row r="7881" spans="9:10" x14ac:dyDescent="0.3">
      <c r="I7881"/>
      <c r="J7881"/>
    </row>
    <row r="7882" spans="9:10" x14ac:dyDescent="0.3">
      <c r="I7882"/>
      <c r="J7882"/>
    </row>
    <row r="7883" spans="9:10" x14ac:dyDescent="0.3">
      <c r="I7883"/>
      <c r="J7883"/>
    </row>
    <row r="7884" spans="9:10" x14ac:dyDescent="0.3">
      <c r="I7884"/>
      <c r="J7884"/>
    </row>
    <row r="7885" spans="9:10" x14ac:dyDescent="0.3">
      <c r="I7885"/>
      <c r="J7885"/>
    </row>
    <row r="7886" spans="9:10" x14ac:dyDescent="0.3">
      <c r="I7886"/>
      <c r="J7886"/>
    </row>
    <row r="7887" spans="9:10" x14ac:dyDescent="0.3">
      <c r="I7887"/>
      <c r="J7887"/>
    </row>
    <row r="7888" spans="9:10" x14ac:dyDescent="0.3">
      <c r="I7888"/>
      <c r="J7888"/>
    </row>
    <row r="7889" spans="9:10" x14ac:dyDescent="0.3">
      <c r="I7889"/>
      <c r="J7889"/>
    </row>
    <row r="7890" spans="9:10" x14ac:dyDescent="0.3">
      <c r="I7890"/>
      <c r="J7890"/>
    </row>
    <row r="7891" spans="9:10" x14ac:dyDescent="0.3">
      <c r="I7891"/>
      <c r="J7891"/>
    </row>
    <row r="7892" spans="9:10" x14ac:dyDescent="0.3">
      <c r="I7892"/>
      <c r="J7892"/>
    </row>
    <row r="7893" spans="9:10" x14ac:dyDescent="0.3">
      <c r="I7893"/>
      <c r="J7893"/>
    </row>
    <row r="7894" spans="9:10" x14ac:dyDescent="0.3">
      <c r="I7894"/>
      <c r="J7894"/>
    </row>
    <row r="7895" spans="9:10" x14ac:dyDescent="0.3">
      <c r="I7895"/>
      <c r="J7895"/>
    </row>
    <row r="7896" spans="9:10" x14ac:dyDescent="0.3">
      <c r="I7896"/>
      <c r="J7896"/>
    </row>
    <row r="7897" spans="9:10" x14ac:dyDescent="0.3">
      <c r="I7897"/>
      <c r="J7897"/>
    </row>
    <row r="7898" spans="9:10" x14ac:dyDescent="0.3">
      <c r="I7898"/>
      <c r="J7898"/>
    </row>
    <row r="7899" spans="9:10" x14ac:dyDescent="0.3">
      <c r="I7899"/>
      <c r="J7899"/>
    </row>
    <row r="7900" spans="9:10" x14ac:dyDescent="0.3">
      <c r="I7900"/>
      <c r="J7900"/>
    </row>
    <row r="7901" spans="9:10" x14ac:dyDescent="0.3">
      <c r="I7901"/>
      <c r="J7901"/>
    </row>
    <row r="7902" spans="9:10" x14ac:dyDescent="0.3">
      <c r="I7902"/>
      <c r="J7902"/>
    </row>
    <row r="7903" spans="9:10" x14ac:dyDescent="0.3">
      <c r="I7903"/>
      <c r="J7903"/>
    </row>
    <row r="7904" spans="9:10" x14ac:dyDescent="0.3">
      <c r="I7904"/>
      <c r="J7904"/>
    </row>
    <row r="7905" spans="9:10" x14ac:dyDescent="0.3">
      <c r="I7905"/>
      <c r="J7905"/>
    </row>
    <row r="7906" spans="9:10" x14ac:dyDescent="0.3">
      <c r="I7906"/>
      <c r="J7906"/>
    </row>
    <row r="7907" spans="9:10" x14ac:dyDescent="0.3">
      <c r="I7907"/>
      <c r="J7907"/>
    </row>
    <row r="7908" spans="9:10" x14ac:dyDescent="0.3">
      <c r="I7908"/>
      <c r="J7908"/>
    </row>
    <row r="7909" spans="9:10" x14ac:dyDescent="0.3">
      <c r="I7909"/>
      <c r="J7909"/>
    </row>
    <row r="7910" spans="9:10" x14ac:dyDescent="0.3">
      <c r="I7910"/>
      <c r="J7910"/>
    </row>
    <row r="7911" spans="9:10" x14ac:dyDescent="0.3">
      <c r="I7911"/>
      <c r="J7911"/>
    </row>
    <row r="7912" spans="9:10" x14ac:dyDescent="0.3">
      <c r="I7912"/>
      <c r="J7912"/>
    </row>
    <row r="7913" spans="9:10" x14ac:dyDescent="0.3">
      <c r="I7913"/>
      <c r="J7913"/>
    </row>
    <row r="7914" spans="9:10" x14ac:dyDescent="0.3">
      <c r="I7914"/>
      <c r="J7914"/>
    </row>
    <row r="7915" spans="9:10" x14ac:dyDescent="0.3">
      <c r="I7915"/>
      <c r="J7915"/>
    </row>
    <row r="7916" spans="9:10" x14ac:dyDescent="0.3">
      <c r="I7916"/>
      <c r="J7916"/>
    </row>
    <row r="7917" spans="9:10" x14ac:dyDescent="0.3">
      <c r="I7917"/>
      <c r="J7917"/>
    </row>
    <row r="7918" spans="9:10" x14ac:dyDescent="0.3">
      <c r="I7918"/>
      <c r="J7918"/>
    </row>
    <row r="7919" spans="9:10" x14ac:dyDescent="0.3">
      <c r="I7919"/>
      <c r="J7919"/>
    </row>
    <row r="7920" spans="9:10" x14ac:dyDescent="0.3">
      <c r="I7920"/>
      <c r="J7920"/>
    </row>
    <row r="7921" spans="9:10" x14ac:dyDescent="0.3">
      <c r="I7921"/>
      <c r="J7921"/>
    </row>
    <row r="7922" spans="9:10" x14ac:dyDescent="0.3">
      <c r="I7922"/>
      <c r="J7922"/>
    </row>
    <row r="7923" spans="9:10" x14ac:dyDescent="0.3">
      <c r="I7923"/>
      <c r="J7923"/>
    </row>
    <row r="7924" spans="9:10" x14ac:dyDescent="0.3">
      <c r="I7924"/>
      <c r="J7924"/>
    </row>
    <row r="7925" spans="9:10" x14ac:dyDescent="0.3">
      <c r="I7925"/>
      <c r="J7925"/>
    </row>
    <row r="7926" spans="9:10" x14ac:dyDescent="0.3">
      <c r="I7926"/>
      <c r="J7926"/>
    </row>
    <row r="7927" spans="9:10" x14ac:dyDescent="0.3">
      <c r="I7927"/>
      <c r="J7927"/>
    </row>
    <row r="7928" spans="9:10" x14ac:dyDescent="0.3">
      <c r="I7928"/>
      <c r="J7928"/>
    </row>
    <row r="7929" spans="9:10" x14ac:dyDescent="0.3">
      <c r="I7929"/>
      <c r="J7929"/>
    </row>
    <row r="7930" spans="9:10" x14ac:dyDescent="0.3">
      <c r="I7930"/>
      <c r="J7930"/>
    </row>
    <row r="7931" spans="9:10" x14ac:dyDescent="0.3">
      <c r="I7931"/>
      <c r="J7931"/>
    </row>
    <row r="7932" spans="9:10" x14ac:dyDescent="0.3">
      <c r="I7932"/>
      <c r="J7932"/>
    </row>
    <row r="7933" spans="9:10" x14ac:dyDescent="0.3">
      <c r="I7933"/>
      <c r="J7933"/>
    </row>
    <row r="7934" spans="9:10" x14ac:dyDescent="0.3">
      <c r="I7934"/>
      <c r="J7934"/>
    </row>
    <row r="7935" spans="9:10" x14ac:dyDescent="0.3">
      <c r="I7935"/>
      <c r="J7935"/>
    </row>
    <row r="7936" spans="9:10" x14ac:dyDescent="0.3">
      <c r="I7936"/>
      <c r="J7936"/>
    </row>
    <row r="7937" spans="9:10" x14ac:dyDescent="0.3">
      <c r="I7937"/>
      <c r="J7937"/>
    </row>
    <row r="7938" spans="9:10" x14ac:dyDescent="0.3">
      <c r="I7938"/>
      <c r="J7938"/>
    </row>
    <row r="7939" spans="9:10" x14ac:dyDescent="0.3">
      <c r="I7939"/>
      <c r="J7939"/>
    </row>
    <row r="7940" spans="9:10" x14ac:dyDescent="0.3">
      <c r="I7940"/>
      <c r="J7940"/>
    </row>
    <row r="7941" spans="9:10" x14ac:dyDescent="0.3">
      <c r="I7941"/>
      <c r="J7941"/>
    </row>
    <row r="7942" spans="9:10" x14ac:dyDescent="0.3">
      <c r="I7942"/>
      <c r="J7942"/>
    </row>
    <row r="7943" spans="9:10" x14ac:dyDescent="0.3">
      <c r="I7943"/>
      <c r="J7943"/>
    </row>
    <row r="7944" spans="9:10" x14ac:dyDescent="0.3">
      <c r="I7944"/>
      <c r="J7944"/>
    </row>
    <row r="7945" spans="9:10" x14ac:dyDescent="0.3">
      <c r="I7945"/>
      <c r="J7945"/>
    </row>
    <row r="7946" spans="9:10" x14ac:dyDescent="0.3">
      <c r="I7946"/>
      <c r="J7946"/>
    </row>
    <row r="7947" spans="9:10" x14ac:dyDescent="0.3">
      <c r="I7947"/>
      <c r="J7947"/>
    </row>
    <row r="7948" spans="9:10" x14ac:dyDescent="0.3">
      <c r="I7948"/>
      <c r="J7948"/>
    </row>
    <row r="7949" spans="9:10" x14ac:dyDescent="0.3">
      <c r="I7949"/>
      <c r="J7949"/>
    </row>
    <row r="7950" spans="9:10" x14ac:dyDescent="0.3">
      <c r="I7950"/>
      <c r="J7950"/>
    </row>
    <row r="7951" spans="9:10" x14ac:dyDescent="0.3">
      <c r="I7951"/>
      <c r="J7951"/>
    </row>
    <row r="7952" spans="9:10" x14ac:dyDescent="0.3">
      <c r="I7952"/>
      <c r="J7952"/>
    </row>
    <row r="7953" spans="9:10" x14ac:dyDescent="0.3">
      <c r="I7953"/>
      <c r="J7953"/>
    </row>
    <row r="7954" spans="9:10" x14ac:dyDescent="0.3">
      <c r="I7954"/>
      <c r="J7954"/>
    </row>
    <row r="7955" spans="9:10" x14ac:dyDescent="0.3">
      <c r="I7955"/>
      <c r="J7955"/>
    </row>
    <row r="7956" spans="9:10" x14ac:dyDescent="0.3">
      <c r="I7956"/>
      <c r="J7956"/>
    </row>
    <row r="7957" spans="9:10" x14ac:dyDescent="0.3">
      <c r="I7957"/>
      <c r="J7957"/>
    </row>
    <row r="7958" spans="9:10" x14ac:dyDescent="0.3">
      <c r="I7958"/>
      <c r="J7958"/>
    </row>
    <row r="7959" spans="9:10" x14ac:dyDescent="0.3">
      <c r="I7959"/>
      <c r="J7959"/>
    </row>
    <row r="7960" spans="9:10" x14ac:dyDescent="0.3">
      <c r="I7960"/>
      <c r="J7960"/>
    </row>
    <row r="7961" spans="9:10" x14ac:dyDescent="0.3">
      <c r="I7961"/>
      <c r="J7961"/>
    </row>
    <row r="7962" spans="9:10" x14ac:dyDescent="0.3">
      <c r="I7962"/>
      <c r="J7962"/>
    </row>
    <row r="7963" spans="9:10" x14ac:dyDescent="0.3">
      <c r="I7963"/>
      <c r="J7963"/>
    </row>
    <row r="7964" spans="9:10" x14ac:dyDescent="0.3">
      <c r="I7964"/>
      <c r="J7964"/>
    </row>
    <row r="7965" spans="9:10" x14ac:dyDescent="0.3">
      <c r="I7965"/>
      <c r="J7965"/>
    </row>
    <row r="7966" spans="9:10" x14ac:dyDescent="0.3">
      <c r="I7966"/>
      <c r="J7966"/>
    </row>
    <row r="7967" spans="9:10" x14ac:dyDescent="0.3">
      <c r="I7967"/>
      <c r="J7967"/>
    </row>
    <row r="7968" spans="9:10" x14ac:dyDescent="0.3">
      <c r="I7968"/>
      <c r="J7968"/>
    </row>
    <row r="7969" spans="9:10" x14ac:dyDescent="0.3">
      <c r="I7969"/>
      <c r="J7969"/>
    </row>
    <row r="7970" spans="9:10" x14ac:dyDescent="0.3">
      <c r="I7970"/>
      <c r="J7970"/>
    </row>
    <row r="7971" spans="9:10" x14ac:dyDescent="0.3">
      <c r="I7971"/>
      <c r="J7971"/>
    </row>
    <row r="7972" spans="9:10" x14ac:dyDescent="0.3">
      <c r="I7972"/>
      <c r="J7972"/>
    </row>
    <row r="7973" spans="9:10" x14ac:dyDescent="0.3">
      <c r="I7973"/>
      <c r="J7973"/>
    </row>
    <row r="7974" spans="9:10" x14ac:dyDescent="0.3">
      <c r="I7974"/>
      <c r="J7974"/>
    </row>
    <row r="7975" spans="9:10" x14ac:dyDescent="0.3">
      <c r="I7975"/>
      <c r="J7975"/>
    </row>
    <row r="7976" spans="9:10" x14ac:dyDescent="0.3">
      <c r="I7976"/>
      <c r="J7976"/>
    </row>
    <row r="7977" spans="9:10" x14ac:dyDescent="0.3">
      <c r="I7977"/>
      <c r="J7977"/>
    </row>
    <row r="7978" spans="9:10" x14ac:dyDescent="0.3">
      <c r="I7978"/>
      <c r="J7978"/>
    </row>
    <row r="7979" spans="9:10" x14ac:dyDescent="0.3">
      <c r="I7979"/>
      <c r="J7979"/>
    </row>
    <row r="7980" spans="9:10" x14ac:dyDescent="0.3">
      <c r="I7980"/>
      <c r="J7980"/>
    </row>
    <row r="7981" spans="9:10" x14ac:dyDescent="0.3">
      <c r="I7981"/>
      <c r="J7981"/>
    </row>
    <row r="7982" spans="9:10" x14ac:dyDescent="0.3">
      <c r="I7982"/>
      <c r="J7982"/>
    </row>
    <row r="7983" spans="9:10" x14ac:dyDescent="0.3">
      <c r="I7983"/>
      <c r="J7983"/>
    </row>
    <row r="7984" spans="9:10" x14ac:dyDescent="0.3">
      <c r="I7984"/>
      <c r="J7984"/>
    </row>
    <row r="7985" spans="9:10" x14ac:dyDescent="0.3">
      <c r="I7985"/>
      <c r="J7985"/>
    </row>
    <row r="7986" spans="9:10" x14ac:dyDescent="0.3">
      <c r="I7986"/>
      <c r="J7986"/>
    </row>
    <row r="7987" spans="9:10" x14ac:dyDescent="0.3">
      <c r="I7987"/>
      <c r="J7987"/>
    </row>
    <row r="7988" spans="9:10" x14ac:dyDescent="0.3">
      <c r="I7988"/>
      <c r="J7988"/>
    </row>
    <row r="7989" spans="9:10" x14ac:dyDescent="0.3">
      <c r="I7989"/>
      <c r="J7989"/>
    </row>
    <row r="7990" spans="9:10" x14ac:dyDescent="0.3">
      <c r="I7990"/>
      <c r="J7990"/>
    </row>
    <row r="7991" spans="9:10" x14ac:dyDescent="0.3">
      <c r="I7991"/>
      <c r="J7991"/>
    </row>
    <row r="7992" spans="9:10" x14ac:dyDescent="0.3">
      <c r="I7992"/>
      <c r="J7992"/>
    </row>
    <row r="7993" spans="9:10" x14ac:dyDescent="0.3">
      <c r="I7993"/>
      <c r="J7993"/>
    </row>
    <row r="7994" spans="9:10" x14ac:dyDescent="0.3">
      <c r="I7994"/>
      <c r="J7994"/>
    </row>
    <row r="7995" spans="9:10" x14ac:dyDescent="0.3">
      <c r="I7995"/>
      <c r="J7995"/>
    </row>
    <row r="7996" spans="9:10" x14ac:dyDescent="0.3">
      <c r="I7996"/>
      <c r="J7996"/>
    </row>
    <row r="7997" spans="9:10" x14ac:dyDescent="0.3">
      <c r="I7997"/>
      <c r="J7997"/>
    </row>
    <row r="7998" spans="9:10" x14ac:dyDescent="0.3">
      <c r="I7998"/>
      <c r="J7998"/>
    </row>
    <row r="7999" spans="9:10" x14ac:dyDescent="0.3">
      <c r="I7999"/>
      <c r="J7999"/>
    </row>
    <row r="8000" spans="9:10" x14ac:dyDescent="0.3">
      <c r="I8000"/>
      <c r="J8000"/>
    </row>
    <row r="8001" spans="9:10" x14ac:dyDescent="0.3">
      <c r="I8001"/>
      <c r="J8001"/>
    </row>
    <row r="8002" spans="9:10" x14ac:dyDescent="0.3">
      <c r="I8002"/>
      <c r="J8002"/>
    </row>
    <row r="8003" spans="9:10" x14ac:dyDescent="0.3">
      <c r="I8003"/>
      <c r="J8003"/>
    </row>
    <row r="8004" spans="9:10" x14ac:dyDescent="0.3">
      <c r="I8004"/>
      <c r="J8004"/>
    </row>
    <row r="8005" spans="9:10" x14ac:dyDescent="0.3">
      <c r="I8005"/>
      <c r="J8005"/>
    </row>
    <row r="8006" spans="9:10" x14ac:dyDescent="0.3">
      <c r="I8006"/>
      <c r="J8006"/>
    </row>
    <row r="8007" spans="9:10" x14ac:dyDescent="0.3">
      <c r="I8007"/>
      <c r="J8007"/>
    </row>
    <row r="8008" spans="9:10" x14ac:dyDescent="0.3">
      <c r="I8008"/>
      <c r="J8008"/>
    </row>
    <row r="8009" spans="9:10" x14ac:dyDescent="0.3">
      <c r="I8009"/>
      <c r="J8009"/>
    </row>
    <row r="8010" spans="9:10" x14ac:dyDescent="0.3">
      <c r="I8010"/>
      <c r="J8010"/>
    </row>
    <row r="8011" spans="9:10" x14ac:dyDescent="0.3">
      <c r="I8011"/>
      <c r="J8011"/>
    </row>
    <row r="8012" spans="9:10" x14ac:dyDescent="0.3">
      <c r="I8012"/>
      <c r="J8012"/>
    </row>
    <row r="8013" spans="9:10" x14ac:dyDescent="0.3">
      <c r="I8013"/>
      <c r="J8013"/>
    </row>
    <row r="8014" spans="9:10" x14ac:dyDescent="0.3">
      <c r="I8014"/>
      <c r="J8014"/>
    </row>
    <row r="8015" spans="9:10" x14ac:dyDescent="0.3">
      <c r="I8015"/>
      <c r="J8015"/>
    </row>
    <row r="8016" spans="9:10" x14ac:dyDescent="0.3">
      <c r="I8016"/>
      <c r="J8016"/>
    </row>
    <row r="8017" spans="9:10" x14ac:dyDescent="0.3">
      <c r="I8017"/>
      <c r="J8017"/>
    </row>
    <row r="8018" spans="9:10" x14ac:dyDescent="0.3">
      <c r="I8018"/>
      <c r="J8018"/>
    </row>
    <row r="8019" spans="9:10" x14ac:dyDescent="0.3">
      <c r="I8019"/>
      <c r="J8019"/>
    </row>
    <row r="8020" spans="9:10" x14ac:dyDescent="0.3">
      <c r="I8020"/>
      <c r="J8020"/>
    </row>
    <row r="8021" spans="9:10" x14ac:dyDescent="0.3">
      <c r="I8021"/>
      <c r="J8021"/>
    </row>
    <row r="8022" spans="9:10" x14ac:dyDescent="0.3">
      <c r="I8022"/>
      <c r="J8022"/>
    </row>
    <row r="8023" spans="9:10" x14ac:dyDescent="0.3">
      <c r="I8023"/>
      <c r="J8023"/>
    </row>
    <row r="8024" spans="9:10" x14ac:dyDescent="0.3">
      <c r="I8024"/>
      <c r="J8024"/>
    </row>
    <row r="8025" spans="9:10" x14ac:dyDescent="0.3">
      <c r="I8025"/>
      <c r="J8025"/>
    </row>
    <row r="8026" spans="9:10" x14ac:dyDescent="0.3">
      <c r="I8026"/>
      <c r="J8026"/>
    </row>
    <row r="8027" spans="9:10" x14ac:dyDescent="0.3">
      <c r="I8027"/>
      <c r="J8027"/>
    </row>
    <row r="8028" spans="9:10" x14ac:dyDescent="0.3">
      <c r="I8028"/>
      <c r="J8028"/>
    </row>
    <row r="8029" spans="9:10" x14ac:dyDescent="0.3">
      <c r="I8029"/>
      <c r="J8029"/>
    </row>
    <row r="8030" spans="9:10" x14ac:dyDescent="0.3">
      <c r="I8030"/>
      <c r="J8030"/>
    </row>
    <row r="8031" spans="9:10" x14ac:dyDescent="0.3">
      <c r="I8031"/>
      <c r="J8031"/>
    </row>
    <row r="8032" spans="9:10" x14ac:dyDescent="0.3">
      <c r="I8032"/>
      <c r="J8032"/>
    </row>
    <row r="8033" spans="9:10" x14ac:dyDescent="0.3">
      <c r="I8033"/>
      <c r="J8033"/>
    </row>
    <row r="8034" spans="9:10" x14ac:dyDescent="0.3">
      <c r="I8034"/>
      <c r="J8034"/>
    </row>
    <row r="8035" spans="9:10" x14ac:dyDescent="0.3">
      <c r="I8035"/>
      <c r="J8035"/>
    </row>
    <row r="8036" spans="9:10" x14ac:dyDescent="0.3">
      <c r="I8036"/>
      <c r="J8036"/>
    </row>
    <row r="8037" spans="9:10" x14ac:dyDescent="0.3">
      <c r="I8037"/>
      <c r="J8037"/>
    </row>
    <row r="8038" spans="9:10" x14ac:dyDescent="0.3">
      <c r="I8038"/>
      <c r="J8038"/>
    </row>
    <row r="8039" spans="9:10" x14ac:dyDescent="0.3">
      <c r="I8039"/>
      <c r="J8039"/>
    </row>
    <row r="8040" spans="9:10" x14ac:dyDescent="0.3">
      <c r="I8040"/>
      <c r="J8040"/>
    </row>
    <row r="8041" spans="9:10" x14ac:dyDescent="0.3">
      <c r="I8041"/>
      <c r="J8041"/>
    </row>
    <row r="8042" spans="9:10" x14ac:dyDescent="0.3">
      <c r="I8042"/>
      <c r="J8042"/>
    </row>
    <row r="8043" spans="9:10" x14ac:dyDescent="0.3">
      <c r="I8043"/>
      <c r="J8043"/>
    </row>
    <row r="8044" spans="9:10" x14ac:dyDescent="0.3">
      <c r="I8044"/>
      <c r="J8044"/>
    </row>
    <row r="8045" spans="9:10" x14ac:dyDescent="0.3">
      <c r="I8045"/>
      <c r="J8045"/>
    </row>
    <row r="8046" spans="9:10" x14ac:dyDescent="0.3">
      <c r="I8046"/>
      <c r="J8046"/>
    </row>
    <row r="8047" spans="9:10" x14ac:dyDescent="0.3">
      <c r="I8047"/>
      <c r="J8047"/>
    </row>
    <row r="8048" spans="9:10" x14ac:dyDescent="0.3">
      <c r="I8048"/>
      <c r="J8048"/>
    </row>
    <row r="8049" spans="9:10" x14ac:dyDescent="0.3">
      <c r="I8049"/>
      <c r="J8049"/>
    </row>
    <row r="8050" spans="9:10" x14ac:dyDescent="0.3">
      <c r="I8050"/>
      <c r="J8050"/>
    </row>
    <row r="8051" spans="9:10" x14ac:dyDescent="0.3">
      <c r="I8051"/>
      <c r="J8051"/>
    </row>
    <row r="8052" spans="9:10" x14ac:dyDescent="0.3">
      <c r="I8052"/>
      <c r="J8052"/>
    </row>
    <row r="8053" spans="9:10" x14ac:dyDescent="0.3">
      <c r="I8053"/>
      <c r="J8053"/>
    </row>
    <row r="8054" spans="9:10" x14ac:dyDescent="0.3">
      <c r="I8054"/>
      <c r="J8054"/>
    </row>
    <row r="8055" spans="9:10" x14ac:dyDescent="0.3">
      <c r="I8055"/>
      <c r="J8055"/>
    </row>
    <row r="8056" spans="9:10" x14ac:dyDescent="0.3">
      <c r="I8056"/>
      <c r="J8056"/>
    </row>
    <row r="8057" spans="9:10" x14ac:dyDescent="0.3">
      <c r="I8057"/>
      <c r="J8057"/>
    </row>
    <row r="8058" spans="9:10" x14ac:dyDescent="0.3">
      <c r="I8058"/>
      <c r="J8058"/>
    </row>
    <row r="8059" spans="9:10" x14ac:dyDescent="0.3">
      <c r="I8059"/>
      <c r="J8059"/>
    </row>
    <row r="8060" spans="9:10" x14ac:dyDescent="0.3">
      <c r="I8060"/>
      <c r="J8060"/>
    </row>
    <row r="8061" spans="9:10" x14ac:dyDescent="0.3">
      <c r="I8061"/>
      <c r="J8061"/>
    </row>
    <row r="8062" spans="9:10" x14ac:dyDescent="0.3">
      <c r="I8062"/>
      <c r="J8062"/>
    </row>
    <row r="8063" spans="9:10" x14ac:dyDescent="0.3">
      <c r="I8063"/>
      <c r="J8063"/>
    </row>
    <row r="8064" spans="9:10" x14ac:dyDescent="0.3">
      <c r="I8064"/>
      <c r="J8064"/>
    </row>
    <row r="8065" spans="9:10" x14ac:dyDescent="0.3">
      <c r="I8065"/>
      <c r="J8065"/>
    </row>
    <row r="8066" spans="9:10" x14ac:dyDescent="0.3">
      <c r="I8066"/>
      <c r="J8066"/>
    </row>
    <row r="8067" spans="9:10" x14ac:dyDescent="0.3">
      <c r="I8067"/>
      <c r="J8067"/>
    </row>
    <row r="8068" spans="9:10" x14ac:dyDescent="0.3">
      <c r="I8068"/>
      <c r="J8068"/>
    </row>
    <row r="8069" spans="9:10" x14ac:dyDescent="0.3">
      <c r="I8069"/>
      <c r="J8069"/>
    </row>
    <row r="8070" spans="9:10" x14ac:dyDescent="0.3">
      <c r="I8070"/>
      <c r="J8070"/>
    </row>
    <row r="8071" spans="9:10" x14ac:dyDescent="0.3">
      <c r="I8071"/>
      <c r="J8071"/>
    </row>
    <row r="8072" spans="9:10" x14ac:dyDescent="0.3">
      <c r="I8072"/>
      <c r="J8072"/>
    </row>
    <row r="8073" spans="9:10" x14ac:dyDescent="0.3">
      <c r="I8073"/>
      <c r="J8073"/>
    </row>
    <row r="8074" spans="9:10" x14ac:dyDescent="0.3">
      <c r="I8074"/>
      <c r="J8074"/>
    </row>
    <row r="8075" spans="9:10" x14ac:dyDescent="0.3">
      <c r="I8075"/>
      <c r="J8075"/>
    </row>
    <row r="8076" spans="9:10" x14ac:dyDescent="0.3">
      <c r="I8076"/>
      <c r="J8076"/>
    </row>
    <row r="8077" spans="9:10" x14ac:dyDescent="0.3">
      <c r="I8077"/>
      <c r="J8077"/>
    </row>
    <row r="8078" spans="9:10" x14ac:dyDescent="0.3">
      <c r="I8078"/>
      <c r="J8078"/>
    </row>
    <row r="8079" spans="9:10" x14ac:dyDescent="0.3">
      <c r="I8079"/>
      <c r="J8079"/>
    </row>
    <row r="8080" spans="9:10" x14ac:dyDescent="0.3">
      <c r="I8080"/>
      <c r="J8080"/>
    </row>
    <row r="8081" spans="9:10" x14ac:dyDescent="0.3">
      <c r="I8081"/>
      <c r="J8081"/>
    </row>
    <row r="8082" spans="9:10" x14ac:dyDescent="0.3">
      <c r="I8082"/>
      <c r="J8082"/>
    </row>
    <row r="8083" spans="9:10" x14ac:dyDescent="0.3">
      <c r="I8083"/>
      <c r="J8083"/>
    </row>
    <row r="8084" spans="9:10" x14ac:dyDescent="0.3">
      <c r="I8084"/>
      <c r="J8084"/>
    </row>
    <row r="8085" spans="9:10" x14ac:dyDescent="0.3">
      <c r="I8085"/>
      <c r="J8085"/>
    </row>
    <row r="8086" spans="9:10" x14ac:dyDescent="0.3">
      <c r="I8086"/>
      <c r="J8086"/>
    </row>
    <row r="8087" spans="9:10" x14ac:dyDescent="0.3">
      <c r="I8087"/>
      <c r="J8087"/>
    </row>
    <row r="8088" spans="9:10" x14ac:dyDescent="0.3">
      <c r="I8088"/>
      <c r="J8088"/>
    </row>
    <row r="8089" spans="9:10" x14ac:dyDescent="0.3">
      <c r="I8089"/>
      <c r="J8089"/>
    </row>
    <row r="8090" spans="9:10" x14ac:dyDescent="0.3">
      <c r="I8090"/>
      <c r="J8090"/>
    </row>
    <row r="8091" spans="9:10" x14ac:dyDescent="0.3">
      <c r="I8091"/>
      <c r="J8091"/>
    </row>
    <row r="8092" spans="9:10" x14ac:dyDescent="0.3">
      <c r="I8092"/>
      <c r="J8092"/>
    </row>
    <row r="8093" spans="9:10" x14ac:dyDescent="0.3">
      <c r="I8093"/>
      <c r="J8093"/>
    </row>
    <row r="8094" spans="9:10" x14ac:dyDescent="0.3">
      <c r="I8094"/>
      <c r="J8094"/>
    </row>
    <row r="8095" spans="9:10" x14ac:dyDescent="0.3">
      <c r="I8095"/>
      <c r="J8095"/>
    </row>
    <row r="8096" spans="9:10" x14ac:dyDescent="0.3">
      <c r="I8096"/>
      <c r="J8096"/>
    </row>
    <row r="8097" spans="9:10" x14ac:dyDescent="0.3">
      <c r="I8097"/>
      <c r="J8097"/>
    </row>
    <row r="8098" spans="9:10" x14ac:dyDescent="0.3">
      <c r="I8098"/>
      <c r="J8098"/>
    </row>
    <row r="8099" spans="9:10" x14ac:dyDescent="0.3">
      <c r="I8099"/>
      <c r="J8099"/>
    </row>
    <row r="8100" spans="9:10" x14ac:dyDescent="0.3">
      <c r="I8100"/>
      <c r="J8100"/>
    </row>
    <row r="8101" spans="9:10" x14ac:dyDescent="0.3">
      <c r="I8101"/>
      <c r="J8101"/>
    </row>
    <row r="8102" spans="9:10" x14ac:dyDescent="0.3">
      <c r="I8102"/>
      <c r="J8102"/>
    </row>
    <row r="8103" spans="9:10" x14ac:dyDescent="0.3">
      <c r="I8103"/>
      <c r="J8103"/>
    </row>
    <row r="8104" spans="9:10" x14ac:dyDescent="0.3">
      <c r="I8104"/>
      <c r="J8104"/>
    </row>
    <row r="8105" spans="9:10" x14ac:dyDescent="0.3">
      <c r="I8105"/>
      <c r="J8105"/>
    </row>
    <row r="8106" spans="9:10" x14ac:dyDescent="0.3">
      <c r="I8106"/>
      <c r="J8106"/>
    </row>
    <row r="8107" spans="9:10" x14ac:dyDescent="0.3">
      <c r="I8107"/>
      <c r="J8107"/>
    </row>
    <row r="8108" spans="9:10" x14ac:dyDescent="0.3">
      <c r="I8108"/>
      <c r="J8108"/>
    </row>
    <row r="8109" spans="9:10" x14ac:dyDescent="0.3">
      <c r="I8109"/>
      <c r="J8109"/>
    </row>
    <row r="8110" spans="9:10" x14ac:dyDescent="0.3">
      <c r="I8110"/>
      <c r="J8110"/>
    </row>
    <row r="8111" spans="9:10" x14ac:dyDescent="0.3">
      <c r="I8111"/>
      <c r="J8111"/>
    </row>
    <row r="8112" spans="9:10" x14ac:dyDescent="0.3">
      <c r="I8112"/>
      <c r="J8112"/>
    </row>
    <row r="8113" spans="9:10" x14ac:dyDescent="0.3">
      <c r="I8113"/>
      <c r="J8113"/>
    </row>
    <row r="8114" spans="9:10" x14ac:dyDescent="0.3">
      <c r="I8114"/>
      <c r="J8114"/>
    </row>
    <row r="8115" spans="9:10" x14ac:dyDescent="0.3">
      <c r="I8115"/>
      <c r="J8115"/>
    </row>
    <row r="8116" spans="9:10" x14ac:dyDescent="0.3">
      <c r="I8116"/>
      <c r="J8116"/>
    </row>
    <row r="8117" spans="9:10" x14ac:dyDescent="0.3">
      <c r="I8117"/>
      <c r="J8117"/>
    </row>
    <row r="8118" spans="9:10" x14ac:dyDescent="0.3">
      <c r="I8118"/>
      <c r="J8118"/>
    </row>
    <row r="8119" spans="9:10" x14ac:dyDescent="0.3">
      <c r="I8119"/>
      <c r="J8119"/>
    </row>
    <row r="8120" spans="9:10" x14ac:dyDescent="0.3">
      <c r="I8120"/>
      <c r="J8120"/>
    </row>
    <row r="8121" spans="9:10" x14ac:dyDescent="0.3">
      <c r="I8121"/>
      <c r="J8121"/>
    </row>
    <row r="8122" spans="9:10" x14ac:dyDescent="0.3">
      <c r="I8122"/>
      <c r="J8122"/>
    </row>
    <row r="8123" spans="9:10" x14ac:dyDescent="0.3">
      <c r="I8123"/>
      <c r="J8123"/>
    </row>
    <row r="8124" spans="9:10" x14ac:dyDescent="0.3">
      <c r="I8124"/>
      <c r="J8124"/>
    </row>
    <row r="8125" spans="9:10" x14ac:dyDescent="0.3">
      <c r="I8125"/>
      <c r="J8125"/>
    </row>
    <row r="8126" spans="9:10" x14ac:dyDescent="0.3">
      <c r="I8126"/>
      <c r="J8126"/>
    </row>
    <row r="8127" spans="9:10" x14ac:dyDescent="0.3">
      <c r="I8127"/>
      <c r="J8127"/>
    </row>
    <row r="8128" spans="9:10" x14ac:dyDescent="0.3">
      <c r="I8128"/>
      <c r="J8128"/>
    </row>
    <row r="8129" spans="9:10" x14ac:dyDescent="0.3">
      <c r="I8129"/>
      <c r="J8129"/>
    </row>
    <row r="8130" spans="9:10" x14ac:dyDescent="0.3">
      <c r="I8130"/>
      <c r="J8130"/>
    </row>
    <row r="8131" spans="9:10" x14ac:dyDescent="0.3">
      <c r="I8131"/>
      <c r="J8131"/>
    </row>
    <row r="8132" spans="9:10" x14ac:dyDescent="0.3">
      <c r="I8132"/>
      <c r="J8132"/>
    </row>
    <row r="8133" spans="9:10" x14ac:dyDescent="0.3">
      <c r="I8133"/>
      <c r="J8133"/>
    </row>
    <row r="8134" spans="9:10" x14ac:dyDescent="0.3">
      <c r="I8134"/>
      <c r="J8134"/>
    </row>
    <row r="8135" spans="9:10" x14ac:dyDescent="0.3">
      <c r="I8135"/>
      <c r="J8135"/>
    </row>
    <row r="8136" spans="9:10" x14ac:dyDescent="0.3">
      <c r="I8136"/>
      <c r="J8136"/>
    </row>
    <row r="8137" spans="9:10" x14ac:dyDescent="0.3">
      <c r="I8137"/>
      <c r="J8137"/>
    </row>
    <row r="8138" spans="9:10" x14ac:dyDescent="0.3">
      <c r="I8138"/>
      <c r="J8138"/>
    </row>
    <row r="8139" spans="9:10" x14ac:dyDescent="0.3">
      <c r="I8139"/>
      <c r="J8139"/>
    </row>
    <row r="8140" spans="9:10" x14ac:dyDescent="0.3">
      <c r="I8140"/>
      <c r="J8140"/>
    </row>
    <row r="8141" spans="9:10" x14ac:dyDescent="0.3">
      <c r="I8141"/>
      <c r="J8141"/>
    </row>
    <row r="8142" spans="9:10" x14ac:dyDescent="0.3">
      <c r="I8142"/>
      <c r="J8142"/>
    </row>
    <row r="8143" spans="9:10" x14ac:dyDescent="0.3">
      <c r="I8143"/>
      <c r="J8143"/>
    </row>
    <row r="8144" spans="9:10" x14ac:dyDescent="0.3">
      <c r="I8144"/>
      <c r="J8144"/>
    </row>
    <row r="8145" spans="9:10" x14ac:dyDescent="0.3">
      <c r="I8145"/>
      <c r="J8145"/>
    </row>
    <row r="8146" spans="9:10" x14ac:dyDescent="0.3">
      <c r="I8146"/>
      <c r="J8146"/>
    </row>
    <row r="8147" spans="9:10" x14ac:dyDescent="0.3">
      <c r="I8147"/>
      <c r="J8147"/>
    </row>
    <row r="8148" spans="9:10" x14ac:dyDescent="0.3">
      <c r="I8148"/>
      <c r="J8148"/>
    </row>
    <row r="8149" spans="9:10" x14ac:dyDescent="0.3">
      <c r="I8149"/>
      <c r="J8149"/>
    </row>
    <row r="8150" spans="9:10" x14ac:dyDescent="0.3">
      <c r="I8150"/>
      <c r="J8150"/>
    </row>
    <row r="8151" spans="9:10" x14ac:dyDescent="0.3">
      <c r="I8151"/>
      <c r="J8151"/>
    </row>
    <row r="8152" spans="9:10" x14ac:dyDescent="0.3">
      <c r="I8152"/>
      <c r="J8152"/>
    </row>
    <row r="8153" spans="9:10" x14ac:dyDescent="0.3">
      <c r="I8153"/>
      <c r="J8153"/>
    </row>
    <row r="8154" spans="9:10" x14ac:dyDescent="0.3">
      <c r="I8154"/>
      <c r="J8154"/>
    </row>
    <row r="8155" spans="9:10" x14ac:dyDescent="0.3">
      <c r="I8155"/>
      <c r="J8155"/>
    </row>
    <row r="8156" spans="9:10" x14ac:dyDescent="0.3">
      <c r="I8156"/>
      <c r="J8156"/>
    </row>
    <row r="8157" spans="9:10" x14ac:dyDescent="0.3">
      <c r="I8157"/>
      <c r="J8157"/>
    </row>
    <row r="8158" spans="9:10" x14ac:dyDescent="0.3">
      <c r="I8158"/>
      <c r="J8158"/>
    </row>
    <row r="8159" spans="9:10" x14ac:dyDescent="0.3">
      <c r="I8159"/>
      <c r="J8159"/>
    </row>
    <row r="8160" spans="9:10" x14ac:dyDescent="0.3">
      <c r="I8160"/>
      <c r="J8160"/>
    </row>
    <row r="8161" spans="9:10" x14ac:dyDescent="0.3">
      <c r="I8161"/>
      <c r="J8161"/>
    </row>
    <row r="8162" spans="9:10" x14ac:dyDescent="0.3">
      <c r="I8162"/>
      <c r="J8162"/>
    </row>
    <row r="8163" spans="9:10" x14ac:dyDescent="0.3">
      <c r="I8163"/>
      <c r="J8163"/>
    </row>
    <row r="8164" spans="9:10" x14ac:dyDescent="0.3">
      <c r="I8164"/>
      <c r="J8164"/>
    </row>
    <row r="8165" spans="9:10" x14ac:dyDescent="0.3">
      <c r="I8165"/>
      <c r="J8165"/>
    </row>
    <row r="8166" spans="9:10" x14ac:dyDescent="0.3">
      <c r="I8166"/>
      <c r="J8166"/>
    </row>
    <row r="8167" spans="9:10" x14ac:dyDescent="0.3">
      <c r="I8167"/>
      <c r="J8167"/>
    </row>
    <row r="8168" spans="9:10" x14ac:dyDescent="0.3">
      <c r="I8168"/>
      <c r="J8168"/>
    </row>
    <row r="8169" spans="9:10" x14ac:dyDescent="0.3">
      <c r="I8169"/>
      <c r="J8169"/>
    </row>
    <row r="8170" spans="9:10" x14ac:dyDescent="0.3">
      <c r="I8170"/>
      <c r="J8170"/>
    </row>
    <row r="8171" spans="9:10" x14ac:dyDescent="0.3">
      <c r="I8171"/>
      <c r="J8171"/>
    </row>
    <row r="8172" spans="9:10" x14ac:dyDescent="0.3">
      <c r="I8172"/>
      <c r="J8172"/>
    </row>
    <row r="8173" spans="9:10" x14ac:dyDescent="0.3">
      <c r="I8173"/>
      <c r="J8173"/>
    </row>
    <row r="8174" spans="9:10" x14ac:dyDescent="0.3">
      <c r="I8174"/>
      <c r="J8174"/>
    </row>
    <row r="8175" spans="9:10" x14ac:dyDescent="0.3">
      <c r="I8175"/>
      <c r="J8175"/>
    </row>
    <row r="8176" spans="9:10" x14ac:dyDescent="0.3">
      <c r="I8176"/>
      <c r="J8176"/>
    </row>
    <row r="8177" spans="9:10" x14ac:dyDescent="0.3">
      <c r="I8177"/>
      <c r="J8177"/>
    </row>
    <row r="8178" spans="9:10" x14ac:dyDescent="0.3">
      <c r="I8178"/>
      <c r="J8178"/>
    </row>
    <row r="8179" spans="9:10" x14ac:dyDescent="0.3">
      <c r="I8179"/>
      <c r="J8179"/>
    </row>
    <row r="8180" spans="9:10" x14ac:dyDescent="0.3">
      <c r="I8180"/>
      <c r="J8180"/>
    </row>
    <row r="8181" spans="9:10" x14ac:dyDescent="0.3">
      <c r="I8181"/>
      <c r="J8181"/>
    </row>
    <row r="8182" spans="9:10" x14ac:dyDescent="0.3">
      <c r="I8182"/>
      <c r="J8182"/>
    </row>
    <row r="8183" spans="9:10" x14ac:dyDescent="0.3">
      <c r="I8183"/>
      <c r="J8183"/>
    </row>
    <row r="8184" spans="9:10" x14ac:dyDescent="0.3">
      <c r="I8184"/>
      <c r="J8184"/>
    </row>
    <row r="8185" spans="9:10" x14ac:dyDescent="0.3">
      <c r="I8185"/>
      <c r="J8185"/>
    </row>
    <row r="8186" spans="9:10" x14ac:dyDescent="0.3">
      <c r="I8186"/>
      <c r="J8186"/>
    </row>
    <row r="8187" spans="9:10" x14ac:dyDescent="0.3">
      <c r="I8187"/>
      <c r="J8187"/>
    </row>
    <row r="8188" spans="9:10" x14ac:dyDescent="0.3">
      <c r="I8188"/>
      <c r="J8188"/>
    </row>
    <row r="8189" spans="9:10" x14ac:dyDescent="0.3">
      <c r="I8189"/>
      <c r="J8189"/>
    </row>
    <row r="8190" spans="9:10" x14ac:dyDescent="0.3">
      <c r="I8190"/>
      <c r="J8190"/>
    </row>
    <row r="8191" spans="9:10" x14ac:dyDescent="0.3">
      <c r="I8191"/>
      <c r="J8191"/>
    </row>
    <row r="8192" spans="9:10" x14ac:dyDescent="0.3">
      <c r="I8192"/>
      <c r="J8192"/>
    </row>
    <row r="8193" spans="9:10" x14ac:dyDescent="0.3">
      <c r="I8193"/>
      <c r="J8193"/>
    </row>
    <row r="8194" spans="9:10" x14ac:dyDescent="0.3">
      <c r="I8194"/>
      <c r="J8194"/>
    </row>
    <row r="8195" spans="9:10" x14ac:dyDescent="0.3">
      <c r="I8195"/>
      <c r="J8195"/>
    </row>
    <row r="8196" spans="9:10" x14ac:dyDescent="0.3">
      <c r="I8196"/>
      <c r="J8196"/>
    </row>
    <row r="8197" spans="9:10" x14ac:dyDescent="0.3">
      <c r="I8197"/>
      <c r="J8197"/>
    </row>
    <row r="8198" spans="9:10" x14ac:dyDescent="0.3">
      <c r="I8198"/>
      <c r="J8198"/>
    </row>
    <row r="8199" spans="9:10" x14ac:dyDescent="0.3">
      <c r="I8199"/>
      <c r="J8199"/>
    </row>
    <row r="8200" spans="9:10" x14ac:dyDescent="0.3">
      <c r="I8200"/>
      <c r="J8200"/>
    </row>
    <row r="8201" spans="9:10" x14ac:dyDescent="0.3">
      <c r="I8201"/>
      <c r="J8201"/>
    </row>
    <row r="8202" spans="9:10" x14ac:dyDescent="0.3">
      <c r="I8202"/>
      <c r="J8202"/>
    </row>
    <row r="8203" spans="9:10" x14ac:dyDescent="0.3">
      <c r="I8203"/>
      <c r="J8203"/>
    </row>
    <row r="8204" spans="9:10" x14ac:dyDescent="0.3">
      <c r="I8204"/>
      <c r="J8204"/>
    </row>
    <row r="8205" spans="9:10" x14ac:dyDescent="0.3">
      <c r="I8205"/>
      <c r="J8205"/>
    </row>
    <row r="8206" spans="9:10" x14ac:dyDescent="0.3">
      <c r="I8206"/>
      <c r="J8206"/>
    </row>
    <row r="8207" spans="9:10" x14ac:dyDescent="0.3">
      <c r="I8207"/>
      <c r="J8207"/>
    </row>
    <row r="8208" spans="9:10" x14ac:dyDescent="0.3">
      <c r="I8208"/>
      <c r="J8208"/>
    </row>
    <row r="8209" spans="9:10" x14ac:dyDescent="0.3">
      <c r="I8209"/>
      <c r="J8209"/>
    </row>
    <row r="8210" spans="9:10" x14ac:dyDescent="0.3">
      <c r="I8210"/>
      <c r="J8210"/>
    </row>
    <row r="8211" spans="9:10" x14ac:dyDescent="0.3">
      <c r="I8211"/>
      <c r="J8211"/>
    </row>
    <row r="8212" spans="9:10" x14ac:dyDescent="0.3">
      <c r="I8212"/>
      <c r="J8212"/>
    </row>
    <row r="8213" spans="9:10" x14ac:dyDescent="0.3">
      <c r="I8213"/>
      <c r="J8213"/>
    </row>
    <row r="8214" spans="9:10" x14ac:dyDescent="0.3">
      <c r="I8214"/>
      <c r="J8214"/>
    </row>
    <row r="8215" spans="9:10" x14ac:dyDescent="0.3">
      <c r="I8215"/>
      <c r="J8215"/>
    </row>
    <row r="8216" spans="9:10" x14ac:dyDescent="0.3">
      <c r="I8216"/>
      <c r="J8216"/>
    </row>
    <row r="8217" spans="9:10" x14ac:dyDescent="0.3">
      <c r="I8217"/>
      <c r="J8217"/>
    </row>
    <row r="8218" spans="9:10" x14ac:dyDescent="0.3">
      <c r="I8218"/>
      <c r="J8218"/>
    </row>
    <row r="8219" spans="9:10" x14ac:dyDescent="0.3">
      <c r="I8219"/>
      <c r="J8219"/>
    </row>
    <row r="8220" spans="9:10" x14ac:dyDescent="0.3">
      <c r="I8220"/>
      <c r="J8220"/>
    </row>
    <row r="8221" spans="9:10" x14ac:dyDescent="0.3">
      <c r="I8221"/>
      <c r="J8221"/>
    </row>
    <row r="8222" spans="9:10" x14ac:dyDescent="0.3">
      <c r="I8222"/>
      <c r="J8222"/>
    </row>
    <row r="8223" spans="9:10" x14ac:dyDescent="0.3">
      <c r="I8223"/>
      <c r="J8223"/>
    </row>
    <row r="8224" spans="9:10" x14ac:dyDescent="0.3">
      <c r="I8224"/>
      <c r="J8224"/>
    </row>
    <row r="8225" spans="9:10" x14ac:dyDescent="0.3">
      <c r="I8225"/>
      <c r="J8225"/>
    </row>
    <row r="8226" spans="9:10" x14ac:dyDescent="0.3">
      <c r="I8226"/>
      <c r="J8226"/>
    </row>
    <row r="8227" spans="9:10" x14ac:dyDescent="0.3">
      <c r="I8227"/>
      <c r="J8227"/>
    </row>
    <row r="8228" spans="9:10" x14ac:dyDescent="0.3">
      <c r="I8228"/>
      <c r="J8228"/>
    </row>
    <row r="8229" spans="9:10" x14ac:dyDescent="0.3">
      <c r="I8229"/>
      <c r="J8229"/>
    </row>
    <row r="8230" spans="9:10" x14ac:dyDescent="0.3">
      <c r="I8230"/>
      <c r="J8230"/>
    </row>
    <row r="8231" spans="9:10" x14ac:dyDescent="0.3">
      <c r="I8231"/>
      <c r="J8231"/>
    </row>
    <row r="8232" spans="9:10" x14ac:dyDescent="0.3">
      <c r="I8232"/>
      <c r="J8232"/>
    </row>
    <row r="8233" spans="9:10" x14ac:dyDescent="0.3">
      <c r="I8233"/>
      <c r="J8233"/>
    </row>
    <row r="8234" spans="9:10" x14ac:dyDescent="0.3">
      <c r="I8234"/>
      <c r="J8234"/>
    </row>
    <row r="8235" spans="9:10" x14ac:dyDescent="0.3">
      <c r="I8235"/>
      <c r="J8235"/>
    </row>
    <row r="8236" spans="9:10" x14ac:dyDescent="0.3">
      <c r="I8236"/>
      <c r="J8236"/>
    </row>
    <row r="8237" spans="9:10" x14ac:dyDescent="0.3">
      <c r="I8237"/>
      <c r="J8237"/>
    </row>
    <row r="8238" spans="9:10" x14ac:dyDescent="0.3">
      <c r="I8238"/>
      <c r="J8238"/>
    </row>
    <row r="8239" spans="9:10" x14ac:dyDescent="0.3">
      <c r="I8239"/>
      <c r="J8239"/>
    </row>
    <row r="8240" spans="9:10" x14ac:dyDescent="0.3">
      <c r="I8240"/>
      <c r="J8240"/>
    </row>
    <row r="8241" spans="9:10" x14ac:dyDescent="0.3">
      <c r="I8241"/>
      <c r="J8241"/>
    </row>
    <row r="8242" spans="9:10" x14ac:dyDescent="0.3">
      <c r="I8242"/>
      <c r="J8242"/>
    </row>
    <row r="8243" spans="9:10" x14ac:dyDescent="0.3">
      <c r="I8243"/>
      <c r="J8243"/>
    </row>
    <row r="8244" spans="9:10" x14ac:dyDescent="0.3">
      <c r="I8244"/>
      <c r="J8244"/>
    </row>
    <row r="8245" spans="9:10" x14ac:dyDescent="0.3">
      <c r="I8245"/>
      <c r="J8245"/>
    </row>
    <row r="8246" spans="9:10" x14ac:dyDescent="0.3">
      <c r="I8246"/>
      <c r="J8246"/>
    </row>
    <row r="8247" spans="9:10" x14ac:dyDescent="0.3">
      <c r="I8247"/>
      <c r="J8247"/>
    </row>
    <row r="8248" spans="9:10" x14ac:dyDescent="0.3">
      <c r="I8248"/>
      <c r="J8248"/>
    </row>
    <row r="8249" spans="9:10" x14ac:dyDescent="0.3">
      <c r="I8249"/>
      <c r="J8249"/>
    </row>
    <row r="8250" spans="9:10" x14ac:dyDescent="0.3">
      <c r="I8250"/>
      <c r="J8250"/>
    </row>
    <row r="8251" spans="9:10" x14ac:dyDescent="0.3">
      <c r="I8251"/>
      <c r="J8251"/>
    </row>
    <row r="8252" spans="9:10" x14ac:dyDescent="0.3">
      <c r="I8252"/>
      <c r="J8252"/>
    </row>
    <row r="8253" spans="9:10" x14ac:dyDescent="0.3">
      <c r="I8253"/>
      <c r="J8253"/>
    </row>
    <row r="8254" spans="9:10" x14ac:dyDescent="0.3">
      <c r="I8254"/>
      <c r="J8254"/>
    </row>
    <row r="8255" spans="9:10" x14ac:dyDescent="0.3">
      <c r="I8255"/>
      <c r="J8255"/>
    </row>
    <row r="8256" spans="9:10" x14ac:dyDescent="0.3">
      <c r="I8256"/>
      <c r="J8256"/>
    </row>
    <row r="8257" spans="9:10" x14ac:dyDescent="0.3">
      <c r="I8257"/>
      <c r="J8257"/>
    </row>
    <row r="8258" spans="9:10" x14ac:dyDescent="0.3">
      <c r="I8258"/>
      <c r="J8258"/>
    </row>
    <row r="8259" spans="9:10" x14ac:dyDescent="0.3">
      <c r="I8259"/>
      <c r="J8259"/>
    </row>
    <row r="8260" spans="9:10" x14ac:dyDescent="0.3">
      <c r="I8260"/>
      <c r="J8260"/>
    </row>
    <row r="8261" spans="9:10" x14ac:dyDescent="0.3">
      <c r="I8261"/>
      <c r="J8261"/>
    </row>
    <row r="8262" spans="9:10" x14ac:dyDescent="0.3">
      <c r="I8262"/>
      <c r="J8262"/>
    </row>
    <row r="8263" spans="9:10" x14ac:dyDescent="0.3">
      <c r="I8263"/>
      <c r="J8263"/>
    </row>
    <row r="8264" spans="9:10" x14ac:dyDescent="0.3">
      <c r="I8264"/>
      <c r="J8264"/>
    </row>
    <row r="8265" spans="9:10" x14ac:dyDescent="0.3">
      <c r="I8265"/>
      <c r="J8265"/>
    </row>
    <row r="8266" spans="9:10" x14ac:dyDescent="0.3">
      <c r="I8266"/>
      <c r="J8266"/>
    </row>
    <row r="8267" spans="9:10" x14ac:dyDescent="0.3">
      <c r="I8267"/>
      <c r="J8267"/>
    </row>
    <row r="8268" spans="9:10" x14ac:dyDescent="0.3">
      <c r="I8268"/>
      <c r="J8268"/>
    </row>
    <row r="8269" spans="9:10" x14ac:dyDescent="0.3">
      <c r="I8269"/>
      <c r="J8269"/>
    </row>
    <row r="8270" spans="9:10" x14ac:dyDescent="0.3">
      <c r="I8270"/>
      <c r="J8270"/>
    </row>
    <row r="8271" spans="9:10" x14ac:dyDescent="0.3">
      <c r="I8271"/>
      <c r="J8271"/>
    </row>
    <row r="8272" spans="9:10" x14ac:dyDescent="0.3">
      <c r="I8272"/>
      <c r="J8272"/>
    </row>
    <row r="8273" spans="9:10" x14ac:dyDescent="0.3">
      <c r="I8273"/>
      <c r="J8273"/>
    </row>
    <row r="8274" spans="9:10" x14ac:dyDescent="0.3">
      <c r="I8274"/>
      <c r="J8274"/>
    </row>
    <row r="8275" spans="9:10" x14ac:dyDescent="0.3">
      <c r="I8275"/>
      <c r="J8275"/>
    </row>
    <row r="8276" spans="9:10" x14ac:dyDescent="0.3">
      <c r="I8276"/>
      <c r="J8276"/>
    </row>
    <row r="8277" spans="9:10" x14ac:dyDescent="0.3">
      <c r="I8277"/>
      <c r="J8277"/>
    </row>
    <row r="8278" spans="9:10" x14ac:dyDescent="0.3">
      <c r="I8278"/>
      <c r="J8278"/>
    </row>
    <row r="8279" spans="9:10" x14ac:dyDescent="0.3">
      <c r="I8279"/>
      <c r="J8279"/>
    </row>
    <row r="8280" spans="9:10" x14ac:dyDescent="0.3">
      <c r="I8280"/>
      <c r="J8280"/>
    </row>
    <row r="8281" spans="9:10" x14ac:dyDescent="0.3">
      <c r="I8281"/>
      <c r="J8281"/>
    </row>
    <row r="8282" spans="9:10" x14ac:dyDescent="0.3">
      <c r="I8282"/>
      <c r="J8282"/>
    </row>
    <row r="8283" spans="9:10" x14ac:dyDescent="0.3">
      <c r="I8283"/>
      <c r="J8283"/>
    </row>
    <row r="8284" spans="9:10" x14ac:dyDescent="0.3">
      <c r="I8284"/>
      <c r="J8284"/>
    </row>
    <row r="8285" spans="9:10" x14ac:dyDescent="0.3">
      <c r="I8285"/>
      <c r="J8285"/>
    </row>
    <row r="8286" spans="9:10" x14ac:dyDescent="0.3">
      <c r="I8286"/>
      <c r="J8286"/>
    </row>
    <row r="8287" spans="9:10" x14ac:dyDescent="0.3">
      <c r="I8287"/>
      <c r="J8287"/>
    </row>
    <row r="8288" spans="9:10" x14ac:dyDescent="0.3">
      <c r="I8288"/>
      <c r="J8288"/>
    </row>
    <row r="8289" spans="9:10" x14ac:dyDescent="0.3">
      <c r="I8289"/>
      <c r="J8289"/>
    </row>
    <row r="8290" spans="9:10" x14ac:dyDescent="0.3">
      <c r="I8290"/>
      <c r="J8290"/>
    </row>
    <row r="8291" spans="9:10" x14ac:dyDescent="0.3">
      <c r="I8291"/>
      <c r="J8291"/>
    </row>
    <row r="8292" spans="9:10" x14ac:dyDescent="0.3">
      <c r="I8292"/>
      <c r="J8292"/>
    </row>
    <row r="8293" spans="9:10" x14ac:dyDescent="0.3">
      <c r="I8293"/>
      <c r="J8293"/>
    </row>
    <row r="8294" spans="9:10" x14ac:dyDescent="0.3">
      <c r="I8294"/>
      <c r="J8294"/>
    </row>
    <row r="8295" spans="9:10" x14ac:dyDescent="0.3">
      <c r="I8295"/>
      <c r="J8295"/>
    </row>
    <row r="8296" spans="9:10" x14ac:dyDescent="0.3">
      <c r="I8296"/>
      <c r="J8296"/>
    </row>
    <row r="8297" spans="9:10" x14ac:dyDescent="0.3">
      <c r="I8297"/>
      <c r="J8297"/>
    </row>
    <row r="8298" spans="9:10" x14ac:dyDescent="0.3">
      <c r="I8298"/>
      <c r="J8298"/>
    </row>
    <row r="8299" spans="9:10" x14ac:dyDescent="0.3">
      <c r="I8299"/>
      <c r="J8299"/>
    </row>
    <row r="8300" spans="9:10" x14ac:dyDescent="0.3">
      <c r="I8300"/>
      <c r="J8300"/>
    </row>
    <row r="8301" spans="9:10" x14ac:dyDescent="0.3">
      <c r="I8301"/>
      <c r="J8301"/>
    </row>
    <row r="8302" spans="9:10" x14ac:dyDescent="0.3">
      <c r="I8302"/>
      <c r="J8302"/>
    </row>
    <row r="8303" spans="9:10" x14ac:dyDescent="0.3">
      <c r="I8303"/>
      <c r="J8303"/>
    </row>
    <row r="8304" spans="9:10" x14ac:dyDescent="0.3">
      <c r="I8304"/>
      <c r="J8304"/>
    </row>
    <row r="8305" spans="9:10" x14ac:dyDescent="0.3">
      <c r="I8305"/>
      <c r="J8305"/>
    </row>
    <row r="8306" spans="9:10" x14ac:dyDescent="0.3">
      <c r="I8306"/>
      <c r="J8306"/>
    </row>
    <row r="8307" spans="9:10" x14ac:dyDescent="0.3">
      <c r="I8307"/>
      <c r="J8307"/>
    </row>
    <row r="8308" spans="9:10" x14ac:dyDescent="0.3">
      <c r="I8308"/>
      <c r="J8308"/>
    </row>
    <row r="8309" spans="9:10" x14ac:dyDescent="0.3">
      <c r="I8309"/>
      <c r="J8309"/>
    </row>
    <row r="8310" spans="9:10" x14ac:dyDescent="0.3">
      <c r="I8310"/>
      <c r="J8310"/>
    </row>
    <row r="8311" spans="9:10" x14ac:dyDescent="0.3">
      <c r="I8311"/>
      <c r="J8311"/>
    </row>
    <row r="8312" spans="9:10" x14ac:dyDescent="0.3">
      <c r="I8312"/>
      <c r="J8312"/>
    </row>
    <row r="8313" spans="9:10" x14ac:dyDescent="0.3">
      <c r="I8313"/>
      <c r="J8313"/>
    </row>
    <row r="8314" spans="9:10" x14ac:dyDescent="0.3">
      <c r="I8314"/>
      <c r="J8314"/>
    </row>
    <row r="8315" spans="9:10" x14ac:dyDescent="0.3">
      <c r="I8315"/>
      <c r="J8315"/>
    </row>
    <row r="8316" spans="9:10" x14ac:dyDescent="0.3">
      <c r="I8316"/>
      <c r="J8316"/>
    </row>
    <row r="8317" spans="9:10" x14ac:dyDescent="0.3">
      <c r="I8317"/>
      <c r="J8317"/>
    </row>
    <row r="8318" spans="9:10" x14ac:dyDescent="0.3">
      <c r="I8318"/>
      <c r="J8318"/>
    </row>
    <row r="8319" spans="9:10" x14ac:dyDescent="0.3">
      <c r="I8319"/>
      <c r="J8319"/>
    </row>
    <row r="8320" spans="9:10" x14ac:dyDescent="0.3">
      <c r="I8320"/>
      <c r="J8320"/>
    </row>
    <row r="8321" spans="9:10" x14ac:dyDescent="0.3">
      <c r="I8321"/>
      <c r="J8321"/>
    </row>
    <row r="8322" spans="9:10" x14ac:dyDescent="0.3">
      <c r="I8322"/>
      <c r="J8322"/>
    </row>
    <row r="8323" spans="9:10" x14ac:dyDescent="0.3">
      <c r="I8323"/>
      <c r="J8323"/>
    </row>
    <row r="8324" spans="9:10" x14ac:dyDescent="0.3">
      <c r="I8324"/>
      <c r="J8324"/>
    </row>
    <row r="8325" spans="9:10" x14ac:dyDescent="0.3">
      <c r="I8325"/>
      <c r="J8325"/>
    </row>
    <row r="8326" spans="9:10" x14ac:dyDescent="0.3">
      <c r="I8326"/>
      <c r="J8326"/>
    </row>
    <row r="8327" spans="9:10" x14ac:dyDescent="0.3">
      <c r="I8327"/>
      <c r="J8327"/>
    </row>
    <row r="8328" spans="9:10" x14ac:dyDescent="0.3">
      <c r="I8328"/>
      <c r="J8328"/>
    </row>
    <row r="8329" spans="9:10" x14ac:dyDescent="0.3">
      <c r="I8329"/>
      <c r="J8329"/>
    </row>
    <row r="8330" spans="9:10" x14ac:dyDescent="0.3">
      <c r="I8330"/>
      <c r="J8330"/>
    </row>
    <row r="8331" spans="9:10" x14ac:dyDescent="0.3">
      <c r="I8331"/>
      <c r="J8331"/>
    </row>
    <row r="8332" spans="9:10" x14ac:dyDescent="0.3">
      <c r="I8332"/>
      <c r="J8332"/>
    </row>
    <row r="8333" spans="9:10" x14ac:dyDescent="0.3">
      <c r="I8333"/>
      <c r="J8333"/>
    </row>
    <row r="8334" spans="9:10" x14ac:dyDescent="0.3">
      <c r="I8334"/>
      <c r="J8334"/>
    </row>
    <row r="8335" spans="9:10" x14ac:dyDescent="0.3">
      <c r="I8335"/>
      <c r="J8335"/>
    </row>
    <row r="8336" spans="9:10" x14ac:dyDescent="0.3">
      <c r="I8336"/>
      <c r="J8336"/>
    </row>
    <row r="8337" spans="9:10" x14ac:dyDescent="0.3">
      <c r="I8337"/>
      <c r="J8337"/>
    </row>
    <row r="8338" spans="9:10" x14ac:dyDescent="0.3">
      <c r="I8338"/>
      <c r="J8338"/>
    </row>
    <row r="8339" spans="9:10" x14ac:dyDescent="0.3">
      <c r="I8339"/>
      <c r="J8339"/>
    </row>
    <row r="8340" spans="9:10" x14ac:dyDescent="0.3">
      <c r="I8340"/>
      <c r="J8340"/>
    </row>
    <row r="8341" spans="9:10" x14ac:dyDescent="0.3">
      <c r="I8341"/>
      <c r="J8341"/>
    </row>
    <row r="8342" spans="9:10" x14ac:dyDescent="0.3">
      <c r="I8342"/>
      <c r="J8342"/>
    </row>
    <row r="8343" spans="9:10" x14ac:dyDescent="0.3">
      <c r="I8343"/>
      <c r="J8343"/>
    </row>
    <row r="8344" spans="9:10" x14ac:dyDescent="0.3">
      <c r="I8344"/>
      <c r="J8344"/>
    </row>
    <row r="8345" spans="9:10" x14ac:dyDescent="0.3">
      <c r="I8345"/>
      <c r="J8345"/>
    </row>
    <row r="8346" spans="9:10" x14ac:dyDescent="0.3">
      <c r="I8346"/>
      <c r="J8346"/>
    </row>
    <row r="8347" spans="9:10" x14ac:dyDescent="0.3">
      <c r="I8347"/>
      <c r="J8347"/>
    </row>
    <row r="8348" spans="9:10" x14ac:dyDescent="0.3">
      <c r="I8348"/>
      <c r="J8348"/>
    </row>
    <row r="8349" spans="9:10" x14ac:dyDescent="0.3">
      <c r="I8349"/>
      <c r="J8349"/>
    </row>
    <row r="8350" spans="9:10" x14ac:dyDescent="0.3">
      <c r="I8350"/>
      <c r="J8350"/>
    </row>
    <row r="8351" spans="9:10" x14ac:dyDescent="0.3">
      <c r="I8351"/>
      <c r="J8351"/>
    </row>
    <row r="8352" spans="9:10" x14ac:dyDescent="0.3">
      <c r="I8352"/>
      <c r="J8352"/>
    </row>
    <row r="8353" spans="9:10" x14ac:dyDescent="0.3">
      <c r="I8353"/>
      <c r="J8353"/>
    </row>
    <row r="8354" spans="9:10" x14ac:dyDescent="0.3">
      <c r="I8354"/>
      <c r="J8354"/>
    </row>
    <row r="8355" spans="9:10" x14ac:dyDescent="0.3">
      <c r="I8355"/>
      <c r="J8355"/>
    </row>
    <row r="8356" spans="9:10" x14ac:dyDescent="0.3">
      <c r="I8356"/>
      <c r="J8356"/>
    </row>
    <row r="8357" spans="9:10" x14ac:dyDescent="0.3">
      <c r="I8357"/>
      <c r="J8357"/>
    </row>
    <row r="8358" spans="9:10" x14ac:dyDescent="0.3">
      <c r="I8358"/>
      <c r="J8358"/>
    </row>
    <row r="8359" spans="9:10" x14ac:dyDescent="0.3">
      <c r="I8359"/>
      <c r="J8359"/>
    </row>
    <row r="8360" spans="9:10" x14ac:dyDescent="0.3">
      <c r="I8360"/>
      <c r="J8360"/>
    </row>
    <row r="8361" spans="9:10" x14ac:dyDescent="0.3">
      <c r="I8361"/>
      <c r="J8361"/>
    </row>
    <row r="8362" spans="9:10" x14ac:dyDescent="0.3">
      <c r="I8362"/>
      <c r="J8362"/>
    </row>
    <row r="8363" spans="9:10" x14ac:dyDescent="0.3">
      <c r="I8363"/>
      <c r="J8363"/>
    </row>
    <row r="8364" spans="9:10" x14ac:dyDescent="0.3">
      <c r="I8364"/>
      <c r="J8364"/>
    </row>
    <row r="8365" spans="9:10" x14ac:dyDescent="0.3">
      <c r="I8365"/>
      <c r="J8365"/>
    </row>
    <row r="8366" spans="9:10" x14ac:dyDescent="0.3">
      <c r="I8366"/>
      <c r="J8366"/>
    </row>
    <row r="8367" spans="9:10" x14ac:dyDescent="0.3">
      <c r="I8367"/>
      <c r="J8367"/>
    </row>
    <row r="8368" spans="9:10" x14ac:dyDescent="0.3">
      <c r="I8368"/>
      <c r="J8368"/>
    </row>
    <row r="8369" spans="9:10" x14ac:dyDescent="0.3">
      <c r="I8369"/>
      <c r="J8369"/>
    </row>
    <row r="8370" spans="9:10" x14ac:dyDescent="0.3">
      <c r="I8370"/>
      <c r="J8370"/>
    </row>
    <row r="8371" spans="9:10" x14ac:dyDescent="0.3">
      <c r="I8371"/>
      <c r="J8371"/>
    </row>
    <row r="8372" spans="9:10" x14ac:dyDescent="0.3">
      <c r="I8372"/>
      <c r="J8372"/>
    </row>
    <row r="8373" spans="9:10" x14ac:dyDescent="0.3">
      <c r="I8373"/>
      <c r="J8373"/>
    </row>
    <row r="8374" spans="9:10" x14ac:dyDescent="0.3">
      <c r="I8374"/>
      <c r="J8374"/>
    </row>
    <row r="8375" spans="9:10" x14ac:dyDescent="0.3">
      <c r="I8375"/>
      <c r="J8375"/>
    </row>
    <row r="8376" spans="9:10" x14ac:dyDescent="0.3">
      <c r="I8376"/>
      <c r="J8376"/>
    </row>
    <row r="8377" spans="9:10" x14ac:dyDescent="0.3">
      <c r="I8377"/>
      <c r="J8377"/>
    </row>
    <row r="8378" spans="9:10" x14ac:dyDescent="0.3">
      <c r="I8378"/>
      <c r="J8378"/>
    </row>
    <row r="8379" spans="9:10" x14ac:dyDescent="0.3">
      <c r="I8379"/>
      <c r="J8379"/>
    </row>
    <row r="8380" spans="9:10" x14ac:dyDescent="0.3">
      <c r="I8380"/>
      <c r="J8380"/>
    </row>
    <row r="8381" spans="9:10" x14ac:dyDescent="0.3">
      <c r="I8381"/>
      <c r="J8381"/>
    </row>
    <row r="8382" spans="9:10" x14ac:dyDescent="0.3">
      <c r="I8382"/>
      <c r="J8382"/>
    </row>
    <row r="8383" spans="9:10" x14ac:dyDescent="0.3">
      <c r="I8383"/>
      <c r="J8383"/>
    </row>
    <row r="8384" spans="9:10" x14ac:dyDescent="0.3">
      <c r="I8384"/>
      <c r="J8384"/>
    </row>
    <row r="8385" spans="9:10" x14ac:dyDescent="0.3">
      <c r="I8385"/>
      <c r="J8385"/>
    </row>
    <row r="8386" spans="9:10" x14ac:dyDescent="0.3">
      <c r="I8386"/>
      <c r="J8386"/>
    </row>
    <row r="8387" spans="9:10" x14ac:dyDescent="0.3">
      <c r="I8387"/>
      <c r="J8387"/>
    </row>
    <row r="8388" spans="9:10" x14ac:dyDescent="0.3">
      <c r="I8388"/>
      <c r="J8388"/>
    </row>
    <row r="8389" spans="9:10" x14ac:dyDescent="0.3">
      <c r="I8389"/>
      <c r="J8389"/>
    </row>
    <row r="8390" spans="9:10" x14ac:dyDescent="0.3">
      <c r="I8390"/>
      <c r="J8390"/>
    </row>
    <row r="8391" spans="9:10" x14ac:dyDescent="0.3">
      <c r="I8391"/>
      <c r="J8391"/>
    </row>
    <row r="8392" spans="9:10" x14ac:dyDescent="0.3">
      <c r="I8392"/>
      <c r="J8392"/>
    </row>
    <row r="8393" spans="9:10" x14ac:dyDescent="0.3">
      <c r="I8393"/>
      <c r="J8393"/>
    </row>
    <row r="8394" spans="9:10" x14ac:dyDescent="0.3">
      <c r="I8394"/>
      <c r="J8394"/>
    </row>
    <row r="8395" spans="9:10" x14ac:dyDescent="0.3">
      <c r="I8395"/>
      <c r="J8395"/>
    </row>
    <row r="8396" spans="9:10" x14ac:dyDescent="0.3">
      <c r="I8396"/>
      <c r="J8396"/>
    </row>
    <row r="8397" spans="9:10" x14ac:dyDescent="0.3">
      <c r="I8397"/>
      <c r="J8397"/>
    </row>
    <row r="8398" spans="9:10" x14ac:dyDescent="0.3">
      <c r="I8398"/>
      <c r="J8398"/>
    </row>
    <row r="8399" spans="9:10" x14ac:dyDescent="0.3">
      <c r="I8399"/>
      <c r="J8399"/>
    </row>
    <row r="8400" spans="9:10" x14ac:dyDescent="0.3">
      <c r="I8400"/>
      <c r="J8400"/>
    </row>
    <row r="8401" spans="9:10" x14ac:dyDescent="0.3">
      <c r="I8401"/>
      <c r="J8401"/>
    </row>
    <row r="8402" spans="9:10" x14ac:dyDescent="0.3">
      <c r="I8402"/>
      <c r="J8402"/>
    </row>
    <row r="8403" spans="9:10" x14ac:dyDescent="0.3">
      <c r="I8403"/>
      <c r="J8403"/>
    </row>
    <row r="8404" spans="9:10" x14ac:dyDescent="0.3">
      <c r="I8404"/>
      <c r="J8404"/>
    </row>
    <row r="8405" spans="9:10" x14ac:dyDescent="0.3">
      <c r="I8405"/>
      <c r="J8405"/>
    </row>
    <row r="8406" spans="9:10" x14ac:dyDescent="0.3">
      <c r="I8406"/>
      <c r="J8406"/>
    </row>
    <row r="8407" spans="9:10" x14ac:dyDescent="0.3">
      <c r="I8407"/>
      <c r="J8407"/>
    </row>
    <row r="8408" spans="9:10" x14ac:dyDescent="0.3">
      <c r="I8408"/>
      <c r="J8408"/>
    </row>
    <row r="8409" spans="9:10" x14ac:dyDescent="0.3">
      <c r="I8409"/>
      <c r="J8409"/>
    </row>
    <row r="8410" spans="9:10" x14ac:dyDescent="0.3">
      <c r="I8410"/>
      <c r="J8410"/>
    </row>
    <row r="8411" spans="9:10" x14ac:dyDescent="0.3">
      <c r="I8411"/>
      <c r="J8411"/>
    </row>
    <row r="8412" spans="9:10" x14ac:dyDescent="0.3">
      <c r="I8412"/>
      <c r="J8412"/>
    </row>
    <row r="8413" spans="9:10" x14ac:dyDescent="0.3">
      <c r="I8413"/>
      <c r="J8413"/>
    </row>
    <row r="8414" spans="9:10" x14ac:dyDescent="0.3">
      <c r="I8414"/>
      <c r="J8414"/>
    </row>
    <row r="8415" spans="9:10" x14ac:dyDescent="0.3">
      <c r="I8415"/>
      <c r="J8415"/>
    </row>
    <row r="8416" spans="9:10" x14ac:dyDescent="0.3">
      <c r="I8416"/>
      <c r="J8416"/>
    </row>
    <row r="8417" spans="9:10" x14ac:dyDescent="0.3">
      <c r="I8417"/>
      <c r="J8417"/>
    </row>
    <row r="8418" spans="9:10" x14ac:dyDescent="0.3">
      <c r="I8418"/>
      <c r="J8418"/>
    </row>
    <row r="8419" spans="9:10" x14ac:dyDescent="0.3">
      <c r="I8419"/>
      <c r="J8419"/>
    </row>
    <row r="8420" spans="9:10" x14ac:dyDescent="0.3">
      <c r="I8420"/>
      <c r="J8420"/>
    </row>
    <row r="8421" spans="9:10" x14ac:dyDescent="0.3">
      <c r="I8421"/>
      <c r="J8421"/>
    </row>
    <row r="8422" spans="9:10" x14ac:dyDescent="0.3">
      <c r="I8422"/>
      <c r="J8422"/>
    </row>
    <row r="8423" spans="9:10" x14ac:dyDescent="0.3">
      <c r="I8423"/>
      <c r="J8423"/>
    </row>
    <row r="8424" spans="9:10" x14ac:dyDescent="0.3">
      <c r="I8424"/>
      <c r="J8424"/>
    </row>
    <row r="8425" spans="9:10" x14ac:dyDescent="0.3">
      <c r="I8425"/>
      <c r="J8425"/>
    </row>
    <row r="8426" spans="9:10" x14ac:dyDescent="0.3">
      <c r="I8426"/>
      <c r="J8426"/>
    </row>
    <row r="8427" spans="9:10" x14ac:dyDescent="0.3">
      <c r="I8427"/>
      <c r="J8427"/>
    </row>
    <row r="8428" spans="9:10" x14ac:dyDescent="0.3">
      <c r="I8428"/>
      <c r="J8428"/>
    </row>
    <row r="8429" spans="9:10" x14ac:dyDescent="0.3">
      <c r="I8429"/>
      <c r="J8429"/>
    </row>
    <row r="8430" spans="9:10" x14ac:dyDescent="0.3">
      <c r="I8430"/>
      <c r="J8430"/>
    </row>
    <row r="8431" spans="9:10" x14ac:dyDescent="0.3">
      <c r="I8431"/>
      <c r="J8431"/>
    </row>
    <row r="8432" spans="9:10" x14ac:dyDescent="0.3">
      <c r="I8432"/>
      <c r="J8432"/>
    </row>
    <row r="8433" spans="9:10" x14ac:dyDescent="0.3">
      <c r="I8433"/>
      <c r="J8433"/>
    </row>
    <row r="8434" spans="9:10" x14ac:dyDescent="0.3">
      <c r="I8434"/>
      <c r="J8434"/>
    </row>
    <row r="8435" spans="9:10" x14ac:dyDescent="0.3">
      <c r="I8435"/>
      <c r="J8435"/>
    </row>
    <row r="8436" spans="9:10" x14ac:dyDescent="0.3">
      <c r="I8436"/>
      <c r="J8436"/>
    </row>
    <row r="8437" spans="9:10" x14ac:dyDescent="0.3">
      <c r="I8437"/>
      <c r="J8437"/>
    </row>
    <row r="8438" spans="9:10" x14ac:dyDescent="0.3">
      <c r="I8438"/>
      <c r="J8438"/>
    </row>
    <row r="8439" spans="9:10" x14ac:dyDescent="0.3">
      <c r="I8439"/>
      <c r="J8439"/>
    </row>
    <row r="8440" spans="9:10" x14ac:dyDescent="0.3">
      <c r="I8440"/>
      <c r="J8440"/>
    </row>
    <row r="8441" spans="9:10" x14ac:dyDescent="0.3">
      <c r="I8441"/>
      <c r="J8441"/>
    </row>
    <row r="8442" spans="9:10" x14ac:dyDescent="0.3">
      <c r="I8442"/>
      <c r="J8442"/>
    </row>
    <row r="8443" spans="9:10" x14ac:dyDescent="0.3">
      <c r="I8443"/>
      <c r="J8443"/>
    </row>
    <row r="8444" spans="9:10" x14ac:dyDescent="0.3">
      <c r="I8444"/>
      <c r="J8444"/>
    </row>
    <row r="8445" spans="9:10" x14ac:dyDescent="0.3">
      <c r="I8445"/>
      <c r="J8445"/>
    </row>
    <row r="8446" spans="9:10" x14ac:dyDescent="0.3">
      <c r="I8446"/>
      <c r="J8446"/>
    </row>
    <row r="8447" spans="9:10" x14ac:dyDescent="0.3">
      <c r="I8447"/>
      <c r="J8447"/>
    </row>
    <row r="8448" spans="9:10" x14ac:dyDescent="0.3">
      <c r="I8448"/>
      <c r="J8448"/>
    </row>
    <row r="8449" spans="9:10" x14ac:dyDescent="0.3">
      <c r="I8449"/>
      <c r="J8449"/>
    </row>
    <row r="8450" spans="9:10" x14ac:dyDescent="0.3">
      <c r="I8450"/>
      <c r="J8450"/>
    </row>
    <row r="8451" spans="9:10" x14ac:dyDescent="0.3">
      <c r="I8451"/>
      <c r="J8451"/>
    </row>
    <row r="8452" spans="9:10" x14ac:dyDescent="0.3">
      <c r="I8452"/>
      <c r="J8452"/>
    </row>
    <row r="8453" spans="9:10" x14ac:dyDescent="0.3">
      <c r="I8453"/>
      <c r="J8453"/>
    </row>
    <row r="8454" spans="9:10" x14ac:dyDescent="0.3">
      <c r="I8454"/>
      <c r="J8454"/>
    </row>
    <row r="8455" spans="9:10" x14ac:dyDescent="0.3">
      <c r="I8455"/>
      <c r="J8455"/>
    </row>
    <row r="8456" spans="9:10" x14ac:dyDescent="0.3">
      <c r="I8456"/>
      <c r="J8456"/>
    </row>
    <row r="8457" spans="9:10" x14ac:dyDescent="0.3">
      <c r="I8457"/>
      <c r="J8457"/>
    </row>
    <row r="8458" spans="9:10" x14ac:dyDescent="0.3">
      <c r="I8458"/>
      <c r="J8458"/>
    </row>
    <row r="8459" spans="9:10" x14ac:dyDescent="0.3">
      <c r="I8459"/>
      <c r="J8459"/>
    </row>
    <row r="8460" spans="9:10" x14ac:dyDescent="0.3">
      <c r="I8460"/>
      <c r="J8460"/>
    </row>
    <row r="8461" spans="9:10" x14ac:dyDescent="0.3">
      <c r="I8461"/>
      <c r="J8461"/>
    </row>
    <row r="8462" spans="9:10" x14ac:dyDescent="0.3">
      <c r="I8462"/>
      <c r="J8462"/>
    </row>
    <row r="8463" spans="9:10" x14ac:dyDescent="0.3">
      <c r="I8463"/>
      <c r="J8463"/>
    </row>
    <row r="8464" spans="9:10" x14ac:dyDescent="0.3">
      <c r="I8464"/>
      <c r="J8464"/>
    </row>
    <row r="8465" spans="9:10" x14ac:dyDescent="0.3">
      <c r="I8465"/>
      <c r="J8465"/>
    </row>
    <row r="8466" spans="9:10" x14ac:dyDescent="0.3">
      <c r="I8466"/>
      <c r="J8466"/>
    </row>
    <row r="8467" spans="9:10" x14ac:dyDescent="0.3">
      <c r="I8467"/>
      <c r="J8467"/>
    </row>
    <row r="8468" spans="9:10" x14ac:dyDescent="0.3">
      <c r="I8468"/>
      <c r="J8468"/>
    </row>
    <row r="8469" spans="9:10" x14ac:dyDescent="0.3">
      <c r="I8469"/>
      <c r="J8469"/>
    </row>
    <row r="8470" spans="9:10" x14ac:dyDescent="0.3">
      <c r="I8470"/>
      <c r="J8470"/>
    </row>
    <row r="8471" spans="9:10" x14ac:dyDescent="0.3">
      <c r="I8471"/>
      <c r="J8471"/>
    </row>
    <row r="8472" spans="9:10" x14ac:dyDescent="0.3">
      <c r="I8472"/>
      <c r="J8472"/>
    </row>
    <row r="8473" spans="9:10" x14ac:dyDescent="0.3">
      <c r="I8473"/>
      <c r="J8473"/>
    </row>
    <row r="8474" spans="9:10" x14ac:dyDescent="0.3">
      <c r="I8474"/>
      <c r="J8474"/>
    </row>
    <row r="8475" spans="9:10" x14ac:dyDescent="0.3">
      <c r="I8475"/>
      <c r="J8475"/>
    </row>
    <row r="8476" spans="9:10" x14ac:dyDescent="0.3">
      <c r="I8476"/>
      <c r="J8476"/>
    </row>
    <row r="8477" spans="9:10" x14ac:dyDescent="0.3">
      <c r="I8477"/>
      <c r="J8477"/>
    </row>
    <row r="8478" spans="9:10" x14ac:dyDescent="0.3">
      <c r="I8478"/>
      <c r="J8478"/>
    </row>
    <row r="8479" spans="9:10" x14ac:dyDescent="0.3">
      <c r="I8479"/>
      <c r="J8479"/>
    </row>
    <row r="8480" spans="9:10" x14ac:dyDescent="0.3">
      <c r="I8480"/>
      <c r="J8480"/>
    </row>
    <row r="8481" spans="9:10" x14ac:dyDescent="0.3">
      <c r="I8481"/>
      <c r="J8481"/>
    </row>
    <row r="8482" spans="9:10" x14ac:dyDescent="0.3">
      <c r="I8482"/>
      <c r="J8482"/>
    </row>
    <row r="8483" spans="9:10" x14ac:dyDescent="0.3">
      <c r="I8483"/>
      <c r="J8483"/>
    </row>
    <row r="8484" spans="9:10" x14ac:dyDescent="0.3">
      <c r="I8484"/>
      <c r="J8484"/>
    </row>
    <row r="8485" spans="9:10" x14ac:dyDescent="0.3">
      <c r="I8485"/>
      <c r="J8485"/>
    </row>
    <row r="8486" spans="9:10" x14ac:dyDescent="0.3">
      <c r="I8486"/>
      <c r="J8486"/>
    </row>
    <row r="8487" spans="9:10" x14ac:dyDescent="0.3">
      <c r="I8487"/>
      <c r="J8487"/>
    </row>
    <row r="8488" spans="9:10" x14ac:dyDescent="0.3">
      <c r="I8488"/>
      <c r="J8488"/>
    </row>
    <row r="8489" spans="9:10" x14ac:dyDescent="0.3">
      <c r="I8489"/>
      <c r="J8489"/>
    </row>
    <row r="8490" spans="9:10" x14ac:dyDescent="0.3">
      <c r="I8490"/>
      <c r="J8490"/>
    </row>
    <row r="8491" spans="9:10" x14ac:dyDescent="0.3">
      <c r="I8491"/>
      <c r="J8491"/>
    </row>
    <row r="8492" spans="9:10" x14ac:dyDescent="0.3">
      <c r="I8492"/>
      <c r="J8492"/>
    </row>
    <row r="8493" spans="9:10" x14ac:dyDescent="0.3">
      <c r="I8493"/>
      <c r="J8493"/>
    </row>
    <row r="8494" spans="9:10" x14ac:dyDescent="0.3">
      <c r="I8494"/>
      <c r="J8494"/>
    </row>
    <row r="8495" spans="9:10" x14ac:dyDescent="0.3">
      <c r="I8495"/>
      <c r="J8495"/>
    </row>
    <row r="8496" spans="9:10" x14ac:dyDescent="0.3">
      <c r="I8496"/>
      <c r="J8496"/>
    </row>
    <row r="8497" spans="9:10" x14ac:dyDescent="0.3">
      <c r="I8497"/>
      <c r="J8497"/>
    </row>
    <row r="8498" spans="9:10" x14ac:dyDescent="0.3">
      <c r="I8498"/>
      <c r="J8498"/>
    </row>
    <row r="8499" spans="9:10" x14ac:dyDescent="0.3">
      <c r="I8499"/>
      <c r="J8499"/>
    </row>
    <row r="8500" spans="9:10" x14ac:dyDescent="0.3">
      <c r="I8500"/>
      <c r="J8500"/>
    </row>
    <row r="8501" spans="9:10" x14ac:dyDescent="0.3">
      <c r="I8501"/>
      <c r="J8501"/>
    </row>
    <row r="8502" spans="9:10" x14ac:dyDescent="0.3">
      <c r="I8502"/>
      <c r="J8502"/>
    </row>
    <row r="8503" spans="9:10" x14ac:dyDescent="0.3">
      <c r="I8503"/>
      <c r="J8503"/>
    </row>
    <row r="8504" spans="9:10" x14ac:dyDescent="0.3">
      <c r="I8504"/>
      <c r="J8504"/>
    </row>
    <row r="8505" spans="9:10" x14ac:dyDescent="0.3">
      <c r="I8505"/>
      <c r="J8505"/>
    </row>
    <row r="8506" spans="9:10" x14ac:dyDescent="0.3">
      <c r="I8506"/>
      <c r="J8506"/>
    </row>
    <row r="8507" spans="9:10" x14ac:dyDescent="0.3">
      <c r="I8507"/>
      <c r="J8507"/>
    </row>
    <row r="8508" spans="9:10" x14ac:dyDescent="0.3">
      <c r="I8508"/>
      <c r="J8508"/>
    </row>
    <row r="8509" spans="9:10" x14ac:dyDescent="0.3">
      <c r="I8509"/>
      <c r="J8509"/>
    </row>
    <row r="8510" spans="9:10" x14ac:dyDescent="0.3">
      <c r="I8510"/>
      <c r="J8510"/>
    </row>
    <row r="8511" spans="9:10" x14ac:dyDescent="0.3">
      <c r="I8511"/>
      <c r="J8511"/>
    </row>
    <row r="8512" spans="9:10" x14ac:dyDescent="0.3">
      <c r="I8512"/>
      <c r="J8512"/>
    </row>
    <row r="8513" spans="9:10" x14ac:dyDescent="0.3">
      <c r="I8513"/>
      <c r="J8513"/>
    </row>
    <row r="8514" spans="9:10" x14ac:dyDescent="0.3">
      <c r="I8514"/>
      <c r="J8514"/>
    </row>
    <row r="8515" spans="9:10" x14ac:dyDescent="0.3">
      <c r="I8515"/>
      <c r="J8515"/>
    </row>
    <row r="8516" spans="9:10" x14ac:dyDescent="0.3">
      <c r="I8516"/>
      <c r="J8516"/>
    </row>
    <row r="8517" spans="9:10" x14ac:dyDescent="0.3">
      <c r="I8517"/>
      <c r="J8517"/>
    </row>
    <row r="8518" spans="9:10" x14ac:dyDescent="0.3">
      <c r="I8518"/>
      <c r="J8518"/>
    </row>
    <row r="8519" spans="9:10" x14ac:dyDescent="0.3">
      <c r="I8519"/>
      <c r="J8519"/>
    </row>
    <row r="8520" spans="9:10" x14ac:dyDescent="0.3">
      <c r="I8520"/>
      <c r="J8520"/>
    </row>
    <row r="8521" spans="9:10" x14ac:dyDescent="0.3">
      <c r="I8521"/>
      <c r="J8521"/>
    </row>
    <row r="8522" spans="9:10" x14ac:dyDescent="0.3">
      <c r="I8522"/>
      <c r="J8522"/>
    </row>
    <row r="8523" spans="9:10" x14ac:dyDescent="0.3">
      <c r="I8523"/>
      <c r="J8523"/>
    </row>
    <row r="8524" spans="9:10" x14ac:dyDescent="0.3">
      <c r="I8524"/>
      <c r="J8524"/>
    </row>
    <row r="8525" spans="9:10" x14ac:dyDescent="0.3">
      <c r="I8525"/>
      <c r="J8525"/>
    </row>
    <row r="8526" spans="9:10" x14ac:dyDescent="0.3">
      <c r="I8526"/>
      <c r="J8526"/>
    </row>
    <row r="8527" spans="9:10" x14ac:dyDescent="0.3">
      <c r="I8527"/>
      <c r="J8527"/>
    </row>
    <row r="8528" spans="9:10" x14ac:dyDescent="0.3">
      <c r="I8528"/>
      <c r="J8528"/>
    </row>
    <row r="8529" spans="9:10" x14ac:dyDescent="0.3">
      <c r="I8529"/>
      <c r="J8529"/>
    </row>
    <row r="8530" spans="9:10" x14ac:dyDescent="0.3">
      <c r="I8530"/>
      <c r="J8530"/>
    </row>
    <row r="8531" spans="9:10" x14ac:dyDescent="0.3">
      <c r="I8531"/>
      <c r="J8531"/>
    </row>
    <row r="8532" spans="9:10" x14ac:dyDescent="0.3">
      <c r="I8532"/>
      <c r="J8532"/>
    </row>
    <row r="8533" spans="9:10" x14ac:dyDescent="0.3">
      <c r="I8533"/>
      <c r="J8533"/>
    </row>
    <row r="8534" spans="9:10" x14ac:dyDescent="0.3">
      <c r="I8534"/>
      <c r="J8534"/>
    </row>
    <row r="8535" spans="9:10" x14ac:dyDescent="0.3">
      <c r="I8535"/>
      <c r="J8535"/>
    </row>
    <row r="8536" spans="9:10" x14ac:dyDescent="0.3">
      <c r="I8536"/>
      <c r="J8536"/>
    </row>
    <row r="8537" spans="9:10" x14ac:dyDescent="0.3">
      <c r="I8537"/>
      <c r="J8537"/>
    </row>
    <row r="8538" spans="9:10" x14ac:dyDescent="0.3">
      <c r="I8538"/>
      <c r="J8538"/>
    </row>
    <row r="8539" spans="9:10" x14ac:dyDescent="0.3">
      <c r="I8539"/>
      <c r="J8539"/>
    </row>
    <row r="8540" spans="9:10" x14ac:dyDescent="0.3">
      <c r="I8540"/>
      <c r="J8540"/>
    </row>
    <row r="8541" spans="9:10" x14ac:dyDescent="0.3">
      <c r="I8541"/>
      <c r="J8541"/>
    </row>
    <row r="8542" spans="9:10" x14ac:dyDescent="0.3">
      <c r="I8542"/>
      <c r="J8542"/>
    </row>
    <row r="8543" spans="9:10" x14ac:dyDescent="0.3">
      <c r="I8543"/>
      <c r="J8543"/>
    </row>
    <row r="8544" spans="9:10" x14ac:dyDescent="0.3">
      <c r="I8544"/>
      <c r="J8544"/>
    </row>
    <row r="8545" spans="9:10" x14ac:dyDescent="0.3">
      <c r="I8545"/>
      <c r="J8545"/>
    </row>
    <row r="8546" spans="9:10" x14ac:dyDescent="0.3">
      <c r="I8546"/>
      <c r="J8546"/>
    </row>
    <row r="8547" spans="9:10" x14ac:dyDescent="0.3">
      <c r="I8547"/>
      <c r="J8547"/>
    </row>
    <row r="8548" spans="9:10" x14ac:dyDescent="0.3">
      <c r="I8548"/>
      <c r="J8548"/>
    </row>
    <row r="8549" spans="9:10" x14ac:dyDescent="0.3">
      <c r="I8549"/>
      <c r="J8549"/>
    </row>
    <row r="8550" spans="9:10" x14ac:dyDescent="0.3">
      <c r="I8550"/>
      <c r="J8550"/>
    </row>
    <row r="8551" spans="9:10" x14ac:dyDescent="0.3">
      <c r="I8551"/>
      <c r="J8551"/>
    </row>
    <row r="8552" spans="9:10" x14ac:dyDescent="0.3">
      <c r="I8552"/>
      <c r="J8552"/>
    </row>
    <row r="8553" spans="9:10" x14ac:dyDescent="0.3">
      <c r="I8553"/>
      <c r="J8553"/>
    </row>
    <row r="8554" spans="9:10" x14ac:dyDescent="0.3">
      <c r="I8554"/>
      <c r="J8554"/>
    </row>
    <row r="8555" spans="9:10" x14ac:dyDescent="0.3">
      <c r="I8555"/>
      <c r="J8555"/>
    </row>
    <row r="8556" spans="9:10" x14ac:dyDescent="0.3">
      <c r="I8556"/>
      <c r="J8556"/>
    </row>
    <row r="8557" spans="9:10" x14ac:dyDescent="0.3">
      <c r="I8557"/>
      <c r="J8557"/>
    </row>
    <row r="8558" spans="9:10" x14ac:dyDescent="0.3">
      <c r="I8558"/>
      <c r="J8558"/>
    </row>
    <row r="8559" spans="9:10" x14ac:dyDescent="0.3">
      <c r="I8559"/>
      <c r="J8559"/>
    </row>
    <row r="8560" spans="9:10" x14ac:dyDescent="0.3">
      <c r="I8560"/>
      <c r="J8560"/>
    </row>
    <row r="8561" spans="9:10" x14ac:dyDescent="0.3">
      <c r="I8561"/>
      <c r="J8561"/>
    </row>
    <row r="8562" spans="9:10" x14ac:dyDescent="0.3">
      <c r="I8562"/>
      <c r="J8562"/>
    </row>
    <row r="8563" spans="9:10" x14ac:dyDescent="0.3">
      <c r="I8563"/>
      <c r="J8563"/>
    </row>
    <row r="8564" spans="9:10" x14ac:dyDescent="0.3">
      <c r="I8564"/>
      <c r="J8564"/>
    </row>
    <row r="8565" spans="9:10" x14ac:dyDescent="0.3">
      <c r="I8565"/>
      <c r="J8565"/>
    </row>
    <row r="8566" spans="9:10" x14ac:dyDescent="0.3">
      <c r="I8566"/>
      <c r="J8566"/>
    </row>
    <row r="8567" spans="9:10" x14ac:dyDescent="0.3">
      <c r="I8567"/>
      <c r="J8567"/>
    </row>
    <row r="8568" spans="9:10" x14ac:dyDescent="0.3">
      <c r="I8568"/>
      <c r="J8568"/>
    </row>
    <row r="8569" spans="9:10" x14ac:dyDescent="0.3">
      <c r="I8569"/>
      <c r="J8569"/>
    </row>
    <row r="8570" spans="9:10" x14ac:dyDescent="0.3">
      <c r="I8570"/>
      <c r="J8570"/>
    </row>
    <row r="8571" spans="9:10" x14ac:dyDescent="0.3">
      <c r="I8571"/>
      <c r="J8571"/>
    </row>
    <row r="8572" spans="9:10" x14ac:dyDescent="0.3">
      <c r="I8572"/>
      <c r="J8572"/>
    </row>
    <row r="8573" spans="9:10" x14ac:dyDescent="0.3">
      <c r="I8573"/>
      <c r="J8573"/>
    </row>
    <row r="8574" spans="9:10" x14ac:dyDescent="0.3">
      <c r="I8574"/>
      <c r="J8574"/>
    </row>
    <row r="8575" spans="9:10" x14ac:dyDescent="0.3">
      <c r="I8575"/>
      <c r="J8575"/>
    </row>
    <row r="8576" spans="9:10" x14ac:dyDescent="0.3">
      <c r="I8576"/>
      <c r="J8576"/>
    </row>
    <row r="8577" spans="9:10" x14ac:dyDescent="0.3">
      <c r="I8577"/>
      <c r="J8577"/>
    </row>
    <row r="8578" spans="9:10" x14ac:dyDescent="0.3">
      <c r="I8578"/>
      <c r="J8578"/>
    </row>
    <row r="8579" spans="9:10" x14ac:dyDescent="0.3">
      <c r="I8579"/>
      <c r="J8579"/>
    </row>
    <row r="8580" spans="9:10" x14ac:dyDescent="0.3">
      <c r="I8580"/>
      <c r="J8580"/>
    </row>
    <row r="8581" spans="9:10" x14ac:dyDescent="0.3">
      <c r="I8581"/>
      <c r="J8581"/>
    </row>
    <row r="8582" spans="9:10" x14ac:dyDescent="0.3">
      <c r="I8582"/>
      <c r="J8582"/>
    </row>
    <row r="8583" spans="9:10" x14ac:dyDescent="0.3">
      <c r="I8583"/>
      <c r="J8583"/>
    </row>
    <row r="8584" spans="9:10" x14ac:dyDescent="0.3">
      <c r="I8584"/>
      <c r="J8584"/>
    </row>
    <row r="8585" spans="9:10" x14ac:dyDescent="0.3">
      <c r="I8585"/>
      <c r="J8585"/>
    </row>
    <row r="8586" spans="9:10" x14ac:dyDescent="0.3">
      <c r="I8586"/>
      <c r="J8586"/>
    </row>
    <row r="8587" spans="9:10" x14ac:dyDescent="0.3">
      <c r="I8587"/>
      <c r="J8587"/>
    </row>
    <row r="8588" spans="9:10" x14ac:dyDescent="0.3">
      <c r="I8588"/>
      <c r="J8588"/>
    </row>
    <row r="8589" spans="9:10" x14ac:dyDescent="0.3">
      <c r="I8589"/>
      <c r="J8589"/>
    </row>
    <row r="8590" spans="9:10" x14ac:dyDescent="0.3">
      <c r="I8590"/>
      <c r="J8590"/>
    </row>
    <row r="8591" spans="9:10" x14ac:dyDescent="0.3">
      <c r="I8591"/>
      <c r="J8591"/>
    </row>
    <row r="8592" spans="9:10" x14ac:dyDescent="0.3">
      <c r="I8592"/>
      <c r="J8592"/>
    </row>
    <row r="8593" spans="9:10" x14ac:dyDescent="0.3">
      <c r="I8593"/>
      <c r="J8593"/>
    </row>
    <row r="8594" spans="9:10" x14ac:dyDescent="0.3">
      <c r="I8594"/>
      <c r="J8594"/>
    </row>
    <row r="8595" spans="9:10" x14ac:dyDescent="0.3">
      <c r="I8595"/>
      <c r="J8595"/>
    </row>
    <row r="8596" spans="9:10" x14ac:dyDescent="0.3">
      <c r="I8596"/>
      <c r="J8596"/>
    </row>
    <row r="8597" spans="9:10" x14ac:dyDescent="0.3">
      <c r="I8597"/>
      <c r="J8597"/>
    </row>
    <row r="8598" spans="9:10" x14ac:dyDescent="0.3">
      <c r="I8598"/>
      <c r="J8598"/>
    </row>
    <row r="8599" spans="9:10" x14ac:dyDescent="0.3">
      <c r="I8599"/>
      <c r="J8599"/>
    </row>
    <row r="8600" spans="9:10" x14ac:dyDescent="0.3">
      <c r="I8600"/>
      <c r="J8600"/>
    </row>
    <row r="8601" spans="9:10" x14ac:dyDescent="0.3">
      <c r="I8601"/>
      <c r="J8601"/>
    </row>
    <row r="8602" spans="9:10" x14ac:dyDescent="0.3">
      <c r="I8602"/>
      <c r="J8602"/>
    </row>
    <row r="8603" spans="9:10" x14ac:dyDescent="0.3">
      <c r="I8603"/>
      <c r="J8603"/>
    </row>
    <row r="8604" spans="9:10" x14ac:dyDescent="0.3">
      <c r="I8604"/>
      <c r="J8604"/>
    </row>
    <row r="8605" spans="9:10" x14ac:dyDescent="0.3">
      <c r="I8605"/>
      <c r="J8605"/>
    </row>
    <row r="8606" spans="9:10" x14ac:dyDescent="0.3">
      <c r="I8606"/>
      <c r="J8606"/>
    </row>
    <row r="8607" spans="9:10" x14ac:dyDescent="0.3">
      <c r="I8607"/>
      <c r="J8607"/>
    </row>
    <row r="8608" spans="9:10" x14ac:dyDescent="0.3">
      <c r="I8608"/>
      <c r="J8608"/>
    </row>
    <row r="8609" spans="9:10" x14ac:dyDescent="0.3">
      <c r="I8609"/>
      <c r="J8609"/>
    </row>
    <row r="8610" spans="9:10" x14ac:dyDescent="0.3">
      <c r="I8610"/>
      <c r="J8610"/>
    </row>
    <row r="8611" spans="9:10" x14ac:dyDescent="0.3">
      <c r="I8611"/>
      <c r="J8611"/>
    </row>
    <row r="8612" spans="9:10" x14ac:dyDescent="0.3">
      <c r="I8612"/>
      <c r="J8612"/>
    </row>
    <row r="8613" spans="9:10" x14ac:dyDescent="0.3">
      <c r="I8613"/>
      <c r="J8613"/>
    </row>
    <row r="8614" spans="9:10" x14ac:dyDescent="0.3">
      <c r="I8614"/>
      <c r="J8614"/>
    </row>
    <row r="8615" spans="9:10" x14ac:dyDescent="0.3">
      <c r="I8615"/>
      <c r="J8615"/>
    </row>
    <row r="8616" spans="9:10" x14ac:dyDescent="0.3">
      <c r="I8616"/>
      <c r="J8616"/>
    </row>
    <row r="8617" spans="9:10" x14ac:dyDescent="0.3">
      <c r="I8617"/>
      <c r="J8617"/>
    </row>
    <row r="8618" spans="9:10" x14ac:dyDescent="0.3">
      <c r="I8618"/>
      <c r="J8618"/>
    </row>
    <row r="8619" spans="9:10" x14ac:dyDescent="0.3">
      <c r="I8619"/>
      <c r="J8619"/>
    </row>
    <row r="8620" spans="9:10" x14ac:dyDescent="0.3">
      <c r="I8620"/>
      <c r="J8620"/>
    </row>
    <row r="8621" spans="9:10" x14ac:dyDescent="0.3">
      <c r="I8621"/>
      <c r="J8621"/>
    </row>
    <row r="8622" spans="9:10" x14ac:dyDescent="0.3">
      <c r="I8622"/>
      <c r="J8622"/>
    </row>
    <row r="8623" spans="9:10" x14ac:dyDescent="0.3">
      <c r="I8623"/>
      <c r="J8623"/>
    </row>
    <row r="8624" spans="9:10" x14ac:dyDescent="0.3">
      <c r="I8624"/>
      <c r="J8624"/>
    </row>
    <row r="8625" spans="9:10" x14ac:dyDescent="0.3">
      <c r="I8625"/>
      <c r="J8625"/>
    </row>
    <row r="8626" spans="9:10" x14ac:dyDescent="0.3">
      <c r="I8626"/>
      <c r="J8626"/>
    </row>
    <row r="8627" spans="9:10" x14ac:dyDescent="0.3">
      <c r="I8627"/>
      <c r="J8627"/>
    </row>
    <row r="8628" spans="9:10" x14ac:dyDescent="0.3">
      <c r="I8628"/>
      <c r="J8628"/>
    </row>
    <row r="8629" spans="9:10" x14ac:dyDescent="0.3">
      <c r="I8629"/>
      <c r="J8629"/>
    </row>
    <row r="8630" spans="9:10" x14ac:dyDescent="0.3">
      <c r="I8630"/>
      <c r="J8630"/>
    </row>
    <row r="8631" spans="9:10" x14ac:dyDescent="0.3">
      <c r="I8631"/>
      <c r="J8631"/>
    </row>
    <row r="8632" spans="9:10" x14ac:dyDescent="0.3">
      <c r="I8632"/>
      <c r="J8632"/>
    </row>
    <row r="8633" spans="9:10" x14ac:dyDescent="0.3">
      <c r="I8633"/>
      <c r="J8633"/>
    </row>
    <row r="8634" spans="9:10" x14ac:dyDescent="0.3">
      <c r="I8634"/>
      <c r="J8634"/>
    </row>
    <row r="8635" spans="9:10" x14ac:dyDescent="0.3">
      <c r="I8635"/>
      <c r="J8635"/>
    </row>
    <row r="8636" spans="9:10" x14ac:dyDescent="0.3">
      <c r="I8636"/>
      <c r="J8636"/>
    </row>
    <row r="8637" spans="9:10" x14ac:dyDescent="0.3">
      <c r="I8637"/>
      <c r="J8637"/>
    </row>
    <row r="8638" spans="9:10" x14ac:dyDescent="0.3">
      <c r="I8638"/>
      <c r="J8638"/>
    </row>
    <row r="8639" spans="9:10" x14ac:dyDescent="0.3">
      <c r="I8639"/>
      <c r="J8639"/>
    </row>
    <row r="8640" spans="9:10" x14ac:dyDescent="0.3">
      <c r="I8640"/>
      <c r="J8640"/>
    </row>
    <row r="8641" spans="9:10" x14ac:dyDescent="0.3">
      <c r="I8641"/>
      <c r="J8641"/>
    </row>
    <row r="8642" spans="9:10" x14ac:dyDescent="0.3">
      <c r="I8642"/>
      <c r="J8642"/>
    </row>
    <row r="8643" spans="9:10" x14ac:dyDescent="0.3">
      <c r="I8643"/>
      <c r="J8643"/>
    </row>
    <row r="8644" spans="9:10" x14ac:dyDescent="0.3">
      <c r="I8644"/>
      <c r="J8644"/>
    </row>
    <row r="8645" spans="9:10" x14ac:dyDescent="0.3">
      <c r="I8645"/>
      <c r="J8645"/>
    </row>
    <row r="8646" spans="9:10" x14ac:dyDescent="0.3">
      <c r="I8646"/>
      <c r="J8646"/>
    </row>
    <row r="8647" spans="9:10" x14ac:dyDescent="0.3">
      <c r="I8647"/>
      <c r="J8647"/>
    </row>
    <row r="8648" spans="9:10" x14ac:dyDescent="0.3">
      <c r="I8648"/>
      <c r="J8648"/>
    </row>
    <row r="8649" spans="9:10" x14ac:dyDescent="0.3">
      <c r="I8649"/>
      <c r="J8649"/>
    </row>
    <row r="8650" spans="9:10" x14ac:dyDescent="0.3">
      <c r="I8650"/>
      <c r="J8650"/>
    </row>
    <row r="8651" spans="9:10" x14ac:dyDescent="0.3">
      <c r="I8651"/>
      <c r="J8651"/>
    </row>
    <row r="8652" spans="9:10" x14ac:dyDescent="0.3">
      <c r="I8652"/>
      <c r="J8652"/>
    </row>
    <row r="8653" spans="9:10" x14ac:dyDescent="0.3">
      <c r="I8653"/>
      <c r="J8653"/>
    </row>
    <row r="8654" spans="9:10" x14ac:dyDescent="0.3">
      <c r="I8654"/>
      <c r="J8654"/>
    </row>
    <row r="8655" spans="9:10" x14ac:dyDescent="0.3">
      <c r="I8655"/>
      <c r="J8655"/>
    </row>
    <row r="8656" spans="9:10" x14ac:dyDescent="0.3">
      <c r="I8656"/>
      <c r="J8656"/>
    </row>
    <row r="8657" spans="9:10" x14ac:dyDescent="0.3">
      <c r="I8657"/>
      <c r="J8657"/>
    </row>
    <row r="8658" spans="9:10" x14ac:dyDescent="0.3">
      <c r="I8658"/>
      <c r="J8658"/>
    </row>
    <row r="8659" spans="9:10" x14ac:dyDescent="0.3">
      <c r="I8659"/>
      <c r="J8659"/>
    </row>
    <row r="8660" spans="9:10" x14ac:dyDescent="0.3">
      <c r="I8660"/>
      <c r="J8660"/>
    </row>
    <row r="8661" spans="9:10" x14ac:dyDescent="0.3">
      <c r="I8661"/>
      <c r="J8661"/>
    </row>
    <row r="8662" spans="9:10" x14ac:dyDescent="0.3">
      <c r="I8662"/>
      <c r="J8662"/>
    </row>
    <row r="8663" spans="9:10" x14ac:dyDescent="0.3">
      <c r="I8663"/>
      <c r="J8663"/>
    </row>
    <row r="8664" spans="9:10" x14ac:dyDescent="0.3">
      <c r="I8664"/>
      <c r="J8664"/>
    </row>
    <row r="8665" spans="9:10" x14ac:dyDescent="0.3">
      <c r="I8665"/>
      <c r="J8665"/>
    </row>
    <row r="8666" spans="9:10" x14ac:dyDescent="0.3">
      <c r="I8666"/>
      <c r="J8666"/>
    </row>
    <row r="8667" spans="9:10" x14ac:dyDescent="0.3">
      <c r="I8667"/>
      <c r="J8667"/>
    </row>
    <row r="8668" spans="9:10" x14ac:dyDescent="0.3">
      <c r="I8668"/>
      <c r="J8668"/>
    </row>
    <row r="8669" spans="9:10" x14ac:dyDescent="0.3">
      <c r="I8669"/>
      <c r="J8669"/>
    </row>
    <row r="8670" spans="9:10" x14ac:dyDescent="0.3">
      <c r="I8670"/>
      <c r="J8670"/>
    </row>
    <row r="8671" spans="9:10" x14ac:dyDescent="0.3">
      <c r="I8671"/>
      <c r="J8671"/>
    </row>
    <row r="8672" spans="9:10" x14ac:dyDescent="0.3">
      <c r="I8672"/>
      <c r="J8672"/>
    </row>
    <row r="8673" spans="9:10" x14ac:dyDescent="0.3">
      <c r="I8673"/>
      <c r="J8673"/>
    </row>
    <row r="8674" spans="9:10" x14ac:dyDescent="0.3">
      <c r="I8674"/>
      <c r="J8674"/>
    </row>
    <row r="8675" spans="9:10" x14ac:dyDescent="0.3">
      <c r="I8675"/>
      <c r="J8675"/>
    </row>
    <row r="8676" spans="9:10" x14ac:dyDescent="0.3">
      <c r="I8676"/>
      <c r="J8676"/>
    </row>
    <row r="8677" spans="9:10" x14ac:dyDescent="0.3">
      <c r="I8677"/>
      <c r="J8677"/>
    </row>
    <row r="8678" spans="9:10" x14ac:dyDescent="0.3">
      <c r="I8678"/>
      <c r="J8678"/>
    </row>
    <row r="8679" spans="9:10" x14ac:dyDescent="0.3">
      <c r="I8679"/>
      <c r="J8679"/>
    </row>
    <row r="8680" spans="9:10" x14ac:dyDescent="0.3">
      <c r="I8680"/>
      <c r="J8680"/>
    </row>
    <row r="8681" spans="9:10" x14ac:dyDescent="0.3">
      <c r="I8681"/>
      <c r="J8681"/>
    </row>
    <row r="8682" spans="9:10" x14ac:dyDescent="0.3">
      <c r="I8682"/>
      <c r="J8682"/>
    </row>
    <row r="8683" spans="9:10" x14ac:dyDescent="0.3">
      <c r="I8683"/>
      <c r="J8683"/>
    </row>
    <row r="8684" spans="9:10" x14ac:dyDescent="0.3">
      <c r="I8684"/>
      <c r="J8684"/>
    </row>
    <row r="8685" spans="9:10" x14ac:dyDescent="0.3">
      <c r="I8685"/>
      <c r="J8685"/>
    </row>
    <row r="8686" spans="9:10" x14ac:dyDescent="0.3">
      <c r="I8686"/>
      <c r="J8686"/>
    </row>
    <row r="8687" spans="9:10" x14ac:dyDescent="0.3">
      <c r="I8687"/>
      <c r="J8687"/>
    </row>
    <row r="8688" spans="9:10" x14ac:dyDescent="0.3">
      <c r="I8688"/>
      <c r="J8688"/>
    </row>
    <row r="8689" spans="9:10" x14ac:dyDescent="0.3">
      <c r="I8689"/>
      <c r="J8689"/>
    </row>
    <row r="8690" spans="9:10" x14ac:dyDescent="0.3">
      <c r="I8690"/>
      <c r="J8690"/>
    </row>
    <row r="8691" spans="9:10" x14ac:dyDescent="0.3">
      <c r="I8691"/>
      <c r="J8691"/>
    </row>
    <row r="8692" spans="9:10" x14ac:dyDescent="0.3">
      <c r="I8692"/>
      <c r="J8692"/>
    </row>
    <row r="8693" spans="9:10" x14ac:dyDescent="0.3">
      <c r="I8693"/>
      <c r="J8693"/>
    </row>
    <row r="8694" spans="9:10" x14ac:dyDescent="0.3">
      <c r="I8694"/>
      <c r="J8694"/>
    </row>
    <row r="8695" spans="9:10" x14ac:dyDescent="0.3">
      <c r="I8695"/>
      <c r="J8695"/>
    </row>
    <row r="8696" spans="9:10" x14ac:dyDescent="0.3">
      <c r="I8696"/>
      <c r="J8696"/>
    </row>
    <row r="8697" spans="9:10" x14ac:dyDescent="0.3">
      <c r="I8697"/>
      <c r="J8697"/>
    </row>
    <row r="8698" spans="9:10" x14ac:dyDescent="0.3">
      <c r="I8698"/>
      <c r="J8698"/>
    </row>
    <row r="8699" spans="9:10" x14ac:dyDescent="0.3">
      <c r="I8699"/>
      <c r="J8699"/>
    </row>
    <row r="8700" spans="9:10" x14ac:dyDescent="0.3">
      <c r="I8700"/>
      <c r="J8700"/>
    </row>
    <row r="8701" spans="9:10" x14ac:dyDescent="0.3">
      <c r="I8701"/>
      <c r="J8701"/>
    </row>
    <row r="8702" spans="9:10" x14ac:dyDescent="0.3">
      <c r="I8702"/>
      <c r="J8702"/>
    </row>
    <row r="8703" spans="9:10" x14ac:dyDescent="0.3">
      <c r="I8703"/>
      <c r="J8703"/>
    </row>
    <row r="8704" spans="9:10" x14ac:dyDescent="0.3">
      <c r="I8704"/>
      <c r="J8704"/>
    </row>
    <row r="8705" spans="9:10" x14ac:dyDescent="0.3">
      <c r="I8705"/>
      <c r="J8705"/>
    </row>
    <row r="8706" spans="9:10" x14ac:dyDescent="0.3">
      <c r="I8706"/>
      <c r="J8706"/>
    </row>
    <row r="8707" spans="9:10" x14ac:dyDescent="0.3">
      <c r="I8707"/>
      <c r="J8707"/>
    </row>
    <row r="8708" spans="9:10" x14ac:dyDescent="0.3">
      <c r="I8708"/>
      <c r="J8708"/>
    </row>
    <row r="8709" spans="9:10" x14ac:dyDescent="0.3">
      <c r="I8709"/>
      <c r="J8709"/>
    </row>
    <row r="8710" spans="9:10" x14ac:dyDescent="0.3">
      <c r="I8710"/>
      <c r="J8710"/>
    </row>
    <row r="8711" spans="9:10" x14ac:dyDescent="0.3">
      <c r="I8711"/>
      <c r="J8711"/>
    </row>
    <row r="8712" spans="9:10" x14ac:dyDescent="0.3">
      <c r="I8712"/>
      <c r="J8712"/>
    </row>
    <row r="8713" spans="9:10" x14ac:dyDescent="0.3">
      <c r="I8713"/>
      <c r="J8713"/>
    </row>
    <row r="8714" spans="9:10" x14ac:dyDescent="0.3">
      <c r="I8714"/>
      <c r="J8714"/>
    </row>
    <row r="8715" spans="9:10" x14ac:dyDescent="0.3">
      <c r="I8715"/>
      <c r="J8715"/>
    </row>
    <row r="8716" spans="9:10" x14ac:dyDescent="0.3">
      <c r="I8716"/>
      <c r="J8716"/>
    </row>
    <row r="8717" spans="9:10" x14ac:dyDescent="0.3">
      <c r="I8717"/>
      <c r="J8717"/>
    </row>
    <row r="8718" spans="9:10" x14ac:dyDescent="0.3">
      <c r="I8718"/>
      <c r="J8718"/>
    </row>
    <row r="8719" spans="9:10" x14ac:dyDescent="0.3">
      <c r="I8719"/>
      <c r="J8719"/>
    </row>
    <row r="8720" spans="9:10" x14ac:dyDescent="0.3">
      <c r="I8720"/>
      <c r="J8720"/>
    </row>
    <row r="8721" spans="9:10" x14ac:dyDescent="0.3">
      <c r="I8721"/>
      <c r="J8721"/>
    </row>
    <row r="8722" spans="9:10" x14ac:dyDescent="0.3">
      <c r="I8722"/>
      <c r="J8722"/>
    </row>
    <row r="8723" spans="9:10" x14ac:dyDescent="0.3">
      <c r="I8723"/>
      <c r="J8723"/>
    </row>
    <row r="8724" spans="9:10" x14ac:dyDescent="0.3">
      <c r="I8724"/>
      <c r="J8724"/>
    </row>
    <row r="8725" spans="9:10" x14ac:dyDescent="0.3">
      <c r="I8725"/>
      <c r="J8725"/>
    </row>
    <row r="8726" spans="9:10" x14ac:dyDescent="0.3">
      <c r="I8726"/>
      <c r="J8726"/>
    </row>
    <row r="8727" spans="9:10" x14ac:dyDescent="0.3">
      <c r="I8727"/>
      <c r="J8727"/>
    </row>
    <row r="8728" spans="9:10" x14ac:dyDescent="0.3">
      <c r="I8728"/>
      <c r="J8728"/>
    </row>
    <row r="8729" spans="9:10" x14ac:dyDescent="0.3">
      <c r="I8729"/>
      <c r="J8729"/>
    </row>
    <row r="8730" spans="9:10" x14ac:dyDescent="0.3">
      <c r="I8730"/>
      <c r="J8730"/>
    </row>
    <row r="8731" spans="9:10" x14ac:dyDescent="0.3">
      <c r="I8731"/>
      <c r="J8731"/>
    </row>
    <row r="8732" spans="9:10" x14ac:dyDescent="0.3">
      <c r="I8732"/>
      <c r="J8732"/>
    </row>
    <row r="8733" spans="9:10" x14ac:dyDescent="0.3">
      <c r="I8733"/>
      <c r="J8733"/>
    </row>
    <row r="8734" spans="9:10" x14ac:dyDescent="0.3">
      <c r="I8734"/>
      <c r="J8734"/>
    </row>
    <row r="8735" spans="9:10" x14ac:dyDescent="0.3">
      <c r="I8735"/>
      <c r="J8735"/>
    </row>
    <row r="8736" spans="9:10" x14ac:dyDescent="0.3">
      <c r="I8736"/>
      <c r="J8736"/>
    </row>
    <row r="8737" spans="9:10" x14ac:dyDescent="0.3">
      <c r="I8737"/>
      <c r="J8737"/>
    </row>
    <row r="8738" spans="9:10" x14ac:dyDescent="0.3">
      <c r="I8738"/>
      <c r="J8738"/>
    </row>
    <row r="8739" spans="9:10" x14ac:dyDescent="0.3">
      <c r="I8739"/>
      <c r="J8739"/>
    </row>
    <row r="8740" spans="9:10" x14ac:dyDescent="0.3">
      <c r="I8740"/>
      <c r="J8740"/>
    </row>
    <row r="8741" spans="9:10" x14ac:dyDescent="0.3">
      <c r="I8741"/>
      <c r="J8741"/>
    </row>
    <row r="8742" spans="9:10" x14ac:dyDescent="0.3">
      <c r="I8742"/>
      <c r="J8742"/>
    </row>
    <row r="8743" spans="9:10" x14ac:dyDescent="0.3">
      <c r="I8743"/>
      <c r="J8743"/>
    </row>
    <row r="8744" spans="9:10" x14ac:dyDescent="0.3">
      <c r="I8744"/>
      <c r="J8744"/>
    </row>
    <row r="8745" spans="9:10" x14ac:dyDescent="0.3">
      <c r="I8745"/>
      <c r="J8745"/>
    </row>
    <row r="8746" spans="9:10" x14ac:dyDescent="0.3">
      <c r="I8746"/>
      <c r="J8746"/>
    </row>
    <row r="8747" spans="9:10" x14ac:dyDescent="0.3">
      <c r="I8747"/>
      <c r="J8747"/>
    </row>
    <row r="8748" spans="9:10" x14ac:dyDescent="0.3">
      <c r="I8748"/>
      <c r="J8748"/>
    </row>
    <row r="8749" spans="9:10" x14ac:dyDescent="0.3">
      <c r="I8749"/>
      <c r="J8749"/>
    </row>
    <row r="8750" spans="9:10" x14ac:dyDescent="0.3">
      <c r="I8750"/>
      <c r="J8750"/>
    </row>
    <row r="8751" spans="9:10" x14ac:dyDescent="0.3">
      <c r="I8751"/>
      <c r="J8751"/>
    </row>
    <row r="8752" spans="9:10" x14ac:dyDescent="0.3">
      <c r="I8752"/>
      <c r="J8752"/>
    </row>
    <row r="8753" spans="9:10" x14ac:dyDescent="0.3">
      <c r="I8753"/>
      <c r="J8753"/>
    </row>
    <row r="8754" spans="9:10" x14ac:dyDescent="0.3">
      <c r="I8754"/>
      <c r="J8754"/>
    </row>
    <row r="8755" spans="9:10" x14ac:dyDescent="0.3">
      <c r="I8755"/>
      <c r="J8755"/>
    </row>
    <row r="8756" spans="9:10" x14ac:dyDescent="0.3">
      <c r="I8756"/>
      <c r="J8756"/>
    </row>
    <row r="8757" spans="9:10" x14ac:dyDescent="0.3">
      <c r="I8757"/>
      <c r="J8757"/>
    </row>
    <row r="8758" spans="9:10" x14ac:dyDescent="0.3">
      <c r="I8758"/>
      <c r="J8758"/>
    </row>
    <row r="8759" spans="9:10" x14ac:dyDescent="0.3">
      <c r="I8759"/>
      <c r="J8759"/>
    </row>
    <row r="8760" spans="9:10" x14ac:dyDescent="0.3">
      <c r="I8760"/>
      <c r="J8760"/>
    </row>
    <row r="8761" spans="9:10" x14ac:dyDescent="0.3">
      <c r="I8761"/>
      <c r="J8761"/>
    </row>
    <row r="8762" spans="9:10" x14ac:dyDescent="0.3">
      <c r="I8762"/>
      <c r="J8762"/>
    </row>
    <row r="8763" spans="9:10" x14ac:dyDescent="0.3">
      <c r="I8763"/>
      <c r="J8763"/>
    </row>
    <row r="8764" spans="9:10" x14ac:dyDescent="0.3">
      <c r="I8764"/>
      <c r="J8764"/>
    </row>
    <row r="8765" spans="9:10" x14ac:dyDescent="0.3">
      <c r="I8765"/>
      <c r="J8765"/>
    </row>
    <row r="8766" spans="9:10" x14ac:dyDescent="0.3">
      <c r="I8766"/>
      <c r="J8766"/>
    </row>
    <row r="8767" spans="9:10" x14ac:dyDescent="0.3">
      <c r="I8767"/>
      <c r="J8767"/>
    </row>
    <row r="8768" spans="9:10" x14ac:dyDescent="0.3">
      <c r="I8768"/>
      <c r="J8768"/>
    </row>
    <row r="8769" spans="9:10" x14ac:dyDescent="0.3">
      <c r="I8769"/>
      <c r="J8769"/>
    </row>
    <row r="8770" spans="9:10" x14ac:dyDescent="0.3">
      <c r="I8770"/>
      <c r="J8770"/>
    </row>
    <row r="8771" spans="9:10" x14ac:dyDescent="0.3">
      <c r="I8771"/>
      <c r="J8771"/>
    </row>
    <row r="8772" spans="9:10" x14ac:dyDescent="0.3">
      <c r="I8772"/>
      <c r="J8772"/>
    </row>
    <row r="8773" spans="9:10" x14ac:dyDescent="0.3">
      <c r="I8773"/>
      <c r="J8773"/>
    </row>
    <row r="8774" spans="9:10" x14ac:dyDescent="0.3">
      <c r="I8774"/>
      <c r="J8774"/>
    </row>
    <row r="8775" spans="9:10" x14ac:dyDescent="0.3">
      <c r="I8775"/>
      <c r="J8775"/>
    </row>
    <row r="8776" spans="9:10" x14ac:dyDescent="0.3">
      <c r="I8776"/>
      <c r="J8776"/>
    </row>
    <row r="8777" spans="9:10" x14ac:dyDescent="0.3">
      <c r="I8777"/>
      <c r="J8777"/>
    </row>
    <row r="8778" spans="9:10" x14ac:dyDescent="0.3">
      <c r="I8778"/>
      <c r="J8778"/>
    </row>
    <row r="8779" spans="9:10" x14ac:dyDescent="0.3">
      <c r="I8779"/>
      <c r="J8779"/>
    </row>
    <row r="8780" spans="9:10" x14ac:dyDescent="0.3">
      <c r="I8780"/>
      <c r="J8780"/>
    </row>
    <row r="8781" spans="9:10" x14ac:dyDescent="0.3">
      <c r="I8781"/>
      <c r="J8781"/>
    </row>
    <row r="8782" spans="9:10" x14ac:dyDescent="0.3">
      <c r="I8782"/>
      <c r="J8782"/>
    </row>
    <row r="8783" spans="9:10" x14ac:dyDescent="0.3">
      <c r="I8783"/>
      <c r="J8783"/>
    </row>
    <row r="8784" spans="9:10" x14ac:dyDescent="0.3">
      <c r="I8784"/>
      <c r="J8784"/>
    </row>
    <row r="8785" spans="9:10" x14ac:dyDescent="0.3">
      <c r="I8785"/>
      <c r="J8785"/>
    </row>
    <row r="8786" spans="9:10" x14ac:dyDescent="0.3">
      <c r="I8786"/>
      <c r="J8786"/>
    </row>
    <row r="8787" spans="9:10" x14ac:dyDescent="0.3">
      <c r="I8787"/>
      <c r="J8787"/>
    </row>
    <row r="8788" spans="9:10" x14ac:dyDescent="0.3">
      <c r="I8788"/>
      <c r="J8788"/>
    </row>
    <row r="8789" spans="9:10" x14ac:dyDescent="0.3">
      <c r="I8789"/>
      <c r="J8789"/>
    </row>
    <row r="8790" spans="9:10" x14ac:dyDescent="0.3">
      <c r="I8790"/>
      <c r="J8790"/>
    </row>
    <row r="8791" spans="9:10" x14ac:dyDescent="0.3">
      <c r="I8791"/>
      <c r="J8791"/>
    </row>
    <row r="8792" spans="9:10" x14ac:dyDescent="0.3">
      <c r="I8792"/>
      <c r="J8792"/>
    </row>
    <row r="8793" spans="9:10" x14ac:dyDescent="0.3">
      <c r="I8793"/>
      <c r="J8793"/>
    </row>
    <row r="8794" spans="9:10" x14ac:dyDescent="0.3">
      <c r="I8794"/>
      <c r="J8794"/>
    </row>
    <row r="8795" spans="9:10" x14ac:dyDescent="0.3">
      <c r="I8795"/>
      <c r="J8795"/>
    </row>
    <row r="8796" spans="9:10" x14ac:dyDescent="0.3">
      <c r="I8796"/>
      <c r="J8796"/>
    </row>
    <row r="8797" spans="9:10" x14ac:dyDescent="0.3">
      <c r="I8797"/>
      <c r="J8797"/>
    </row>
    <row r="8798" spans="9:10" x14ac:dyDescent="0.3">
      <c r="I8798"/>
      <c r="J8798"/>
    </row>
    <row r="8799" spans="9:10" x14ac:dyDescent="0.3">
      <c r="I8799"/>
      <c r="J8799"/>
    </row>
    <row r="8800" spans="9:10" x14ac:dyDescent="0.3">
      <c r="I8800"/>
      <c r="J8800"/>
    </row>
    <row r="8801" spans="9:10" x14ac:dyDescent="0.3">
      <c r="I8801"/>
      <c r="J8801"/>
    </row>
    <row r="8802" spans="9:10" x14ac:dyDescent="0.3">
      <c r="I8802"/>
      <c r="J8802"/>
    </row>
    <row r="8803" spans="9:10" x14ac:dyDescent="0.3">
      <c r="I8803"/>
      <c r="J8803"/>
    </row>
    <row r="8804" spans="9:10" x14ac:dyDescent="0.3">
      <c r="I8804"/>
      <c r="J8804"/>
    </row>
    <row r="8805" spans="9:10" x14ac:dyDescent="0.3">
      <c r="I8805"/>
      <c r="J8805"/>
    </row>
    <row r="8806" spans="9:10" x14ac:dyDescent="0.3">
      <c r="I8806"/>
      <c r="J8806"/>
    </row>
    <row r="8807" spans="9:10" x14ac:dyDescent="0.3">
      <c r="I8807"/>
      <c r="J8807"/>
    </row>
    <row r="8808" spans="9:10" x14ac:dyDescent="0.3">
      <c r="I8808"/>
      <c r="J8808"/>
    </row>
    <row r="8809" spans="9:10" x14ac:dyDescent="0.3">
      <c r="I8809"/>
      <c r="J8809"/>
    </row>
    <row r="8810" spans="9:10" x14ac:dyDescent="0.3">
      <c r="I8810"/>
      <c r="J8810"/>
    </row>
    <row r="8811" spans="9:10" x14ac:dyDescent="0.3">
      <c r="I8811"/>
      <c r="J8811"/>
    </row>
    <row r="8812" spans="9:10" x14ac:dyDescent="0.3">
      <c r="I8812"/>
      <c r="J8812"/>
    </row>
    <row r="8813" spans="9:10" x14ac:dyDescent="0.3">
      <c r="I8813"/>
      <c r="J8813"/>
    </row>
    <row r="8814" spans="9:10" x14ac:dyDescent="0.3">
      <c r="I8814"/>
      <c r="J8814"/>
    </row>
    <row r="8815" spans="9:10" x14ac:dyDescent="0.3">
      <c r="I8815"/>
      <c r="J8815"/>
    </row>
    <row r="8816" spans="9:10" x14ac:dyDescent="0.3">
      <c r="I8816"/>
      <c r="J8816"/>
    </row>
    <row r="8817" spans="9:10" x14ac:dyDescent="0.3">
      <c r="I8817"/>
      <c r="J8817"/>
    </row>
    <row r="8818" spans="9:10" x14ac:dyDescent="0.3">
      <c r="I8818"/>
      <c r="J8818"/>
    </row>
    <row r="8819" spans="9:10" x14ac:dyDescent="0.3">
      <c r="I8819"/>
      <c r="J8819"/>
    </row>
    <row r="8820" spans="9:10" x14ac:dyDescent="0.3">
      <c r="I8820"/>
      <c r="J8820"/>
    </row>
    <row r="8821" spans="9:10" x14ac:dyDescent="0.3">
      <c r="I8821"/>
      <c r="J8821"/>
    </row>
    <row r="8822" spans="9:10" x14ac:dyDescent="0.3">
      <c r="I8822"/>
      <c r="J8822"/>
    </row>
    <row r="8823" spans="9:10" x14ac:dyDescent="0.3">
      <c r="I8823"/>
      <c r="J8823"/>
    </row>
    <row r="8824" spans="9:10" x14ac:dyDescent="0.3">
      <c r="I8824"/>
      <c r="J8824"/>
    </row>
    <row r="8825" spans="9:10" x14ac:dyDescent="0.3">
      <c r="I8825"/>
      <c r="J8825"/>
    </row>
    <row r="8826" spans="9:10" x14ac:dyDescent="0.3">
      <c r="I8826"/>
      <c r="J8826"/>
    </row>
    <row r="8827" spans="9:10" x14ac:dyDescent="0.3">
      <c r="I8827"/>
      <c r="J8827"/>
    </row>
    <row r="8828" spans="9:10" x14ac:dyDescent="0.3">
      <c r="I8828"/>
      <c r="J8828"/>
    </row>
    <row r="8829" spans="9:10" x14ac:dyDescent="0.3">
      <c r="I8829"/>
      <c r="J8829"/>
    </row>
    <row r="8830" spans="9:10" x14ac:dyDescent="0.3">
      <c r="I8830"/>
      <c r="J8830"/>
    </row>
    <row r="8831" spans="9:10" x14ac:dyDescent="0.3">
      <c r="I8831"/>
      <c r="J8831"/>
    </row>
    <row r="8832" spans="9:10" x14ac:dyDescent="0.3">
      <c r="I8832"/>
      <c r="J8832"/>
    </row>
    <row r="8833" spans="9:10" x14ac:dyDescent="0.3">
      <c r="I8833"/>
      <c r="J8833"/>
    </row>
    <row r="8834" spans="9:10" x14ac:dyDescent="0.3">
      <c r="I8834"/>
      <c r="J8834"/>
    </row>
    <row r="8835" spans="9:10" x14ac:dyDescent="0.3">
      <c r="I8835"/>
      <c r="J8835"/>
    </row>
    <row r="8836" spans="9:10" x14ac:dyDescent="0.3">
      <c r="I8836"/>
      <c r="J8836"/>
    </row>
    <row r="8837" spans="9:10" x14ac:dyDescent="0.3">
      <c r="I8837"/>
      <c r="J8837"/>
    </row>
    <row r="8838" spans="9:10" x14ac:dyDescent="0.3">
      <c r="I8838"/>
      <c r="J8838"/>
    </row>
    <row r="8839" spans="9:10" x14ac:dyDescent="0.3">
      <c r="I8839"/>
      <c r="J8839"/>
    </row>
    <row r="8840" spans="9:10" x14ac:dyDescent="0.3">
      <c r="I8840"/>
      <c r="J8840"/>
    </row>
    <row r="8841" spans="9:10" x14ac:dyDescent="0.3">
      <c r="I8841"/>
      <c r="J8841"/>
    </row>
    <row r="8842" spans="9:10" x14ac:dyDescent="0.3">
      <c r="I8842"/>
      <c r="J8842"/>
    </row>
    <row r="8843" spans="9:10" x14ac:dyDescent="0.3">
      <c r="I8843"/>
      <c r="J8843"/>
    </row>
    <row r="8844" spans="9:10" x14ac:dyDescent="0.3">
      <c r="I8844"/>
      <c r="J8844"/>
    </row>
    <row r="8845" spans="9:10" x14ac:dyDescent="0.3">
      <c r="I8845"/>
      <c r="J8845"/>
    </row>
    <row r="8846" spans="9:10" x14ac:dyDescent="0.3">
      <c r="I8846"/>
      <c r="J8846"/>
    </row>
    <row r="8847" spans="9:10" x14ac:dyDescent="0.3">
      <c r="I8847"/>
      <c r="J8847"/>
    </row>
    <row r="8848" spans="9:10" x14ac:dyDescent="0.3">
      <c r="I8848"/>
      <c r="J8848"/>
    </row>
    <row r="8849" spans="9:10" x14ac:dyDescent="0.3">
      <c r="I8849"/>
      <c r="J8849"/>
    </row>
    <row r="8850" spans="9:10" x14ac:dyDescent="0.3">
      <c r="I8850"/>
      <c r="J8850"/>
    </row>
    <row r="8851" spans="9:10" x14ac:dyDescent="0.3">
      <c r="I8851"/>
      <c r="J8851"/>
    </row>
    <row r="8852" spans="9:10" x14ac:dyDescent="0.3">
      <c r="I8852"/>
      <c r="J8852"/>
    </row>
    <row r="8853" spans="9:10" x14ac:dyDescent="0.3">
      <c r="I8853"/>
      <c r="J8853"/>
    </row>
    <row r="8854" spans="9:10" x14ac:dyDescent="0.3">
      <c r="I8854"/>
      <c r="J8854"/>
    </row>
    <row r="8855" spans="9:10" x14ac:dyDescent="0.3">
      <c r="I8855"/>
      <c r="J8855"/>
    </row>
    <row r="8856" spans="9:10" x14ac:dyDescent="0.3">
      <c r="I8856"/>
      <c r="J8856"/>
    </row>
    <row r="8857" spans="9:10" x14ac:dyDescent="0.3">
      <c r="I8857"/>
      <c r="J8857"/>
    </row>
    <row r="8858" spans="9:10" x14ac:dyDescent="0.3">
      <c r="I8858"/>
      <c r="J8858"/>
    </row>
    <row r="8859" spans="9:10" x14ac:dyDescent="0.3">
      <c r="I8859"/>
      <c r="J8859"/>
    </row>
    <row r="8860" spans="9:10" x14ac:dyDescent="0.3">
      <c r="I8860"/>
      <c r="J8860"/>
    </row>
    <row r="8861" spans="9:10" x14ac:dyDescent="0.3">
      <c r="I8861"/>
      <c r="J8861"/>
    </row>
    <row r="8862" spans="9:10" x14ac:dyDescent="0.3">
      <c r="I8862"/>
      <c r="J8862"/>
    </row>
    <row r="8863" spans="9:10" x14ac:dyDescent="0.3">
      <c r="I8863"/>
      <c r="J8863"/>
    </row>
    <row r="8864" spans="9:10" x14ac:dyDescent="0.3">
      <c r="I8864"/>
      <c r="J8864"/>
    </row>
    <row r="8865" spans="9:10" x14ac:dyDescent="0.3">
      <c r="I8865"/>
      <c r="J8865"/>
    </row>
    <row r="8866" spans="9:10" x14ac:dyDescent="0.3">
      <c r="I8866"/>
      <c r="J8866"/>
    </row>
    <row r="8867" spans="9:10" x14ac:dyDescent="0.3">
      <c r="I8867"/>
      <c r="J8867"/>
    </row>
    <row r="8868" spans="9:10" x14ac:dyDescent="0.3">
      <c r="I8868"/>
      <c r="J8868"/>
    </row>
    <row r="8869" spans="9:10" x14ac:dyDescent="0.3">
      <c r="I8869"/>
      <c r="J8869"/>
    </row>
    <row r="8870" spans="9:10" x14ac:dyDescent="0.3">
      <c r="I8870"/>
      <c r="J8870"/>
    </row>
    <row r="8871" spans="9:10" x14ac:dyDescent="0.3">
      <c r="I8871"/>
      <c r="J8871"/>
    </row>
    <row r="8872" spans="9:10" x14ac:dyDescent="0.3">
      <c r="I8872"/>
      <c r="J8872"/>
    </row>
    <row r="8873" spans="9:10" x14ac:dyDescent="0.3">
      <c r="I8873"/>
      <c r="J8873"/>
    </row>
    <row r="8874" spans="9:10" x14ac:dyDescent="0.3">
      <c r="I8874"/>
      <c r="J8874"/>
    </row>
    <row r="8875" spans="9:10" x14ac:dyDescent="0.3">
      <c r="I8875"/>
      <c r="J8875"/>
    </row>
    <row r="8876" spans="9:10" x14ac:dyDescent="0.3">
      <c r="I8876"/>
      <c r="J8876"/>
    </row>
    <row r="8877" spans="9:10" x14ac:dyDescent="0.3">
      <c r="I8877"/>
      <c r="J8877"/>
    </row>
    <row r="8878" spans="9:10" x14ac:dyDescent="0.3">
      <c r="I8878"/>
      <c r="J8878"/>
    </row>
    <row r="8879" spans="9:10" x14ac:dyDescent="0.3">
      <c r="I8879"/>
      <c r="J8879"/>
    </row>
    <row r="8880" spans="9:10" x14ac:dyDescent="0.3">
      <c r="I8880"/>
      <c r="J8880"/>
    </row>
    <row r="8881" spans="9:10" x14ac:dyDescent="0.3">
      <c r="I8881"/>
      <c r="J8881"/>
    </row>
    <row r="8882" spans="9:10" x14ac:dyDescent="0.3">
      <c r="I8882"/>
      <c r="J8882"/>
    </row>
    <row r="8883" spans="9:10" x14ac:dyDescent="0.3">
      <c r="I8883"/>
      <c r="J8883"/>
    </row>
    <row r="8884" spans="9:10" x14ac:dyDescent="0.3">
      <c r="I8884"/>
      <c r="J8884"/>
    </row>
    <row r="8885" spans="9:10" x14ac:dyDescent="0.3">
      <c r="I8885"/>
      <c r="J8885"/>
    </row>
    <row r="8886" spans="9:10" x14ac:dyDescent="0.3">
      <c r="I8886"/>
      <c r="J8886"/>
    </row>
    <row r="8887" spans="9:10" x14ac:dyDescent="0.3">
      <c r="I8887"/>
      <c r="J8887"/>
    </row>
    <row r="8888" spans="9:10" x14ac:dyDescent="0.3">
      <c r="I8888"/>
      <c r="J8888"/>
    </row>
    <row r="8889" spans="9:10" x14ac:dyDescent="0.3">
      <c r="I8889"/>
      <c r="J8889"/>
    </row>
    <row r="8890" spans="9:10" x14ac:dyDescent="0.3">
      <c r="I8890"/>
      <c r="J8890"/>
    </row>
    <row r="8891" spans="9:10" x14ac:dyDescent="0.3">
      <c r="I8891"/>
      <c r="J8891"/>
    </row>
    <row r="8892" spans="9:10" x14ac:dyDescent="0.3">
      <c r="I8892"/>
      <c r="J8892"/>
    </row>
    <row r="8893" spans="9:10" x14ac:dyDescent="0.3">
      <c r="I8893"/>
      <c r="J8893"/>
    </row>
    <row r="8894" spans="9:10" x14ac:dyDescent="0.3">
      <c r="I8894"/>
      <c r="J8894"/>
    </row>
    <row r="8895" spans="9:10" x14ac:dyDescent="0.3">
      <c r="I8895"/>
      <c r="J8895"/>
    </row>
    <row r="8896" spans="9:10" x14ac:dyDescent="0.3">
      <c r="I8896"/>
      <c r="J8896"/>
    </row>
    <row r="8897" spans="9:10" x14ac:dyDescent="0.3">
      <c r="I8897"/>
      <c r="J8897"/>
    </row>
    <row r="8898" spans="9:10" x14ac:dyDescent="0.3">
      <c r="I8898"/>
      <c r="J8898"/>
    </row>
    <row r="8899" spans="9:10" x14ac:dyDescent="0.3">
      <c r="I8899"/>
      <c r="J8899"/>
    </row>
    <row r="8900" spans="9:10" x14ac:dyDescent="0.3">
      <c r="I8900"/>
      <c r="J8900"/>
    </row>
    <row r="8901" spans="9:10" x14ac:dyDescent="0.3">
      <c r="I8901"/>
      <c r="J8901"/>
    </row>
    <row r="8902" spans="9:10" x14ac:dyDescent="0.3">
      <c r="I8902"/>
      <c r="J8902"/>
    </row>
    <row r="8903" spans="9:10" x14ac:dyDescent="0.3">
      <c r="I8903"/>
      <c r="J8903"/>
    </row>
    <row r="8904" spans="9:10" x14ac:dyDescent="0.3">
      <c r="I8904"/>
      <c r="J8904"/>
    </row>
    <row r="8905" spans="9:10" x14ac:dyDescent="0.3">
      <c r="I8905"/>
      <c r="J8905"/>
    </row>
    <row r="8906" spans="9:10" x14ac:dyDescent="0.3">
      <c r="I8906"/>
      <c r="J8906"/>
    </row>
    <row r="8907" spans="9:10" x14ac:dyDescent="0.3">
      <c r="I8907"/>
      <c r="J8907"/>
    </row>
    <row r="8908" spans="9:10" x14ac:dyDescent="0.3">
      <c r="I8908"/>
      <c r="J8908"/>
    </row>
    <row r="8909" spans="9:10" x14ac:dyDescent="0.3">
      <c r="I8909"/>
      <c r="J8909"/>
    </row>
    <row r="8910" spans="9:10" x14ac:dyDescent="0.3">
      <c r="I8910"/>
      <c r="J8910"/>
    </row>
    <row r="8911" spans="9:10" x14ac:dyDescent="0.3">
      <c r="I8911"/>
      <c r="J8911"/>
    </row>
    <row r="8912" spans="9:10" x14ac:dyDescent="0.3">
      <c r="I8912"/>
      <c r="J8912"/>
    </row>
    <row r="8913" spans="9:10" x14ac:dyDescent="0.3">
      <c r="I8913"/>
      <c r="J8913"/>
    </row>
    <row r="8914" spans="9:10" x14ac:dyDescent="0.3">
      <c r="I8914"/>
      <c r="J8914"/>
    </row>
    <row r="8915" spans="9:10" x14ac:dyDescent="0.3">
      <c r="I8915"/>
      <c r="J8915"/>
    </row>
    <row r="8916" spans="9:10" x14ac:dyDescent="0.3">
      <c r="I8916"/>
      <c r="J8916"/>
    </row>
    <row r="8917" spans="9:10" x14ac:dyDescent="0.3">
      <c r="I8917"/>
      <c r="J8917"/>
    </row>
    <row r="8918" spans="9:10" x14ac:dyDescent="0.3">
      <c r="I8918"/>
      <c r="J8918"/>
    </row>
    <row r="8919" spans="9:10" x14ac:dyDescent="0.3">
      <c r="I8919"/>
      <c r="J8919"/>
    </row>
    <row r="8920" spans="9:10" x14ac:dyDescent="0.3">
      <c r="I8920"/>
      <c r="J8920"/>
    </row>
    <row r="8921" spans="9:10" x14ac:dyDescent="0.3">
      <c r="I8921"/>
      <c r="J8921"/>
    </row>
    <row r="8922" spans="9:10" x14ac:dyDescent="0.3">
      <c r="I8922"/>
      <c r="J8922"/>
    </row>
    <row r="8923" spans="9:10" x14ac:dyDescent="0.3">
      <c r="I8923"/>
      <c r="J8923"/>
    </row>
    <row r="8924" spans="9:10" x14ac:dyDescent="0.3">
      <c r="I8924"/>
      <c r="J8924"/>
    </row>
    <row r="8925" spans="9:10" x14ac:dyDescent="0.3">
      <c r="I8925"/>
      <c r="J8925"/>
    </row>
    <row r="8926" spans="9:10" x14ac:dyDescent="0.3">
      <c r="I8926"/>
      <c r="J8926"/>
    </row>
    <row r="8927" spans="9:10" x14ac:dyDescent="0.3">
      <c r="I8927"/>
      <c r="J8927"/>
    </row>
    <row r="8928" spans="9:10" x14ac:dyDescent="0.3">
      <c r="I8928"/>
      <c r="J8928"/>
    </row>
    <row r="8929" spans="9:10" x14ac:dyDescent="0.3">
      <c r="I8929"/>
      <c r="J8929"/>
    </row>
    <row r="8930" spans="9:10" x14ac:dyDescent="0.3">
      <c r="I8930"/>
      <c r="J8930"/>
    </row>
    <row r="8931" spans="9:10" x14ac:dyDescent="0.3">
      <c r="I8931"/>
      <c r="J8931"/>
    </row>
    <row r="8932" spans="9:10" x14ac:dyDescent="0.3">
      <c r="I8932"/>
      <c r="J8932"/>
    </row>
    <row r="8933" spans="9:10" x14ac:dyDescent="0.3">
      <c r="I8933"/>
      <c r="J8933"/>
    </row>
    <row r="8934" spans="9:10" x14ac:dyDescent="0.3">
      <c r="I8934"/>
      <c r="J8934"/>
    </row>
    <row r="8935" spans="9:10" x14ac:dyDescent="0.3">
      <c r="I8935"/>
      <c r="J8935"/>
    </row>
    <row r="8936" spans="9:10" x14ac:dyDescent="0.3">
      <c r="I8936"/>
      <c r="J8936"/>
    </row>
    <row r="8937" spans="9:10" x14ac:dyDescent="0.3">
      <c r="I8937"/>
      <c r="J8937"/>
    </row>
    <row r="8938" spans="9:10" x14ac:dyDescent="0.3">
      <c r="I8938"/>
      <c r="J8938"/>
    </row>
    <row r="8939" spans="9:10" x14ac:dyDescent="0.3">
      <c r="I8939"/>
      <c r="J8939"/>
    </row>
    <row r="8940" spans="9:10" x14ac:dyDescent="0.3">
      <c r="I8940"/>
      <c r="J8940"/>
    </row>
    <row r="8941" spans="9:10" x14ac:dyDescent="0.3">
      <c r="I8941"/>
      <c r="J8941"/>
    </row>
    <row r="8942" spans="9:10" x14ac:dyDescent="0.3">
      <c r="I8942"/>
      <c r="J8942"/>
    </row>
    <row r="8943" spans="9:10" x14ac:dyDescent="0.3">
      <c r="I8943"/>
      <c r="J8943"/>
    </row>
    <row r="8944" spans="9:10" x14ac:dyDescent="0.3">
      <c r="I8944"/>
      <c r="J8944"/>
    </row>
    <row r="8945" spans="9:10" x14ac:dyDescent="0.3">
      <c r="I8945"/>
      <c r="J8945"/>
    </row>
    <row r="8946" spans="9:10" x14ac:dyDescent="0.3">
      <c r="I8946"/>
      <c r="J8946"/>
    </row>
    <row r="8947" spans="9:10" x14ac:dyDescent="0.3">
      <c r="I8947"/>
      <c r="J8947"/>
    </row>
    <row r="8948" spans="9:10" x14ac:dyDescent="0.3">
      <c r="I8948"/>
      <c r="J8948"/>
    </row>
    <row r="8949" spans="9:10" x14ac:dyDescent="0.3">
      <c r="I8949"/>
      <c r="J8949"/>
    </row>
    <row r="8950" spans="9:10" x14ac:dyDescent="0.3">
      <c r="I8950"/>
      <c r="J8950"/>
    </row>
    <row r="8951" spans="9:10" x14ac:dyDescent="0.3">
      <c r="I8951"/>
      <c r="J8951"/>
    </row>
    <row r="8952" spans="9:10" x14ac:dyDescent="0.3">
      <c r="I8952"/>
      <c r="J8952"/>
    </row>
    <row r="8953" spans="9:10" x14ac:dyDescent="0.3">
      <c r="I8953"/>
      <c r="J8953"/>
    </row>
    <row r="8954" spans="9:10" x14ac:dyDescent="0.3">
      <c r="I8954"/>
      <c r="J8954"/>
    </row>
    <row r="8955" spans="9:10" x14ac:dyDescent="0.3">
      <c r="I8955"/>
      <c r="J8955"/>
    </row>
    <row r="8956" spans="9:10" x14ac:dyDescent="0.3">
      <c r="I8956"/>
      <c r="J8956"/>
    </row>
    <row r="8957" spans="9:10" x14ac:dyDescent="0.3">
      <c r="I8957"/>
      <c r="J8957"/>
    </row>
    <row r="8958" spans="9:10" x14ac:dyDescent="0.3">
      <c r="I8958"/>
      <c r="J8958"/>
    </row>
    <row r="8959" spans="9:10" x14ac:dyDescent="0.3">
      <c r="I8959"/>
      <c r="J8959"/>
    </row>
    <row r="8960" spans="9:10" x14ac:dyDescent="0.3">
      <c r="I8960"/>
      <c r="J8960"/>
    </row>
    <row r="8961" spans="9:10" x14ac:dyDescent="0.3">
      <c r="I8961"/>
      <c r="J8961"/>
    </row>
    <row r="8962" spans="9:10" x14ac:dyDescent="0.3">
      <c r="I8962"/>
      <c r="J8962"/>
    </row>
    <row r="8963" spans="9:10" x14ac:dyDescent="0.3">
      <c r="I8963"/>
      <c r="J8963"/>
    </row>
    <row r="8964" spans="9:10" x14ac:dyDescent="0.3">
      <c r="I8964"/>
      <c r="J8964"/>
    </row>
    <row r="8965" spans="9:10" x14ac:dyDescent="0.3">
      <c r="I8965"/>
      <c r="J8965"/>
    </row>
    <row r="8966" spans="9:10" x14ac:dyDescent="0.3">
      <c r="I8966"/>
      <c r="J8966"/>
    </row>
    <row r="8967" spans="9:10" x14ac:dyDescent="0.3">
      <c r="I8967"/>
      <c r="J8967"/>
    </row>
    <row r="8968" spans="9:10" x14ac:dyDescent="0.3">
      <c r="I8968"/>
      <c r="J8968"/>
    </row>
    <row r="8969" spans="9:10" x14ac:dyDescent="0.3">
      <c r="I8969"/>
      <c r="J8969"/>
    </row>
    <row r="8970" spans="9:10" x14ac:dyDescent="0.3">
      <c r="I8970"/>
      <c r="J8970"/>
    </row>
    <row r="8971" spans="9:10" x14ac:dyDescent="0.3">
      <c r="I8971"/>
      <c r="J8971"/>
    </row>
    <row r="8972" spans="9:10" x14ac:dyDescent="0.3">
      <c r="I8972"/>
      <c r="J8972"/>
    </row>
    <row r="8973" spans="9:10" x14ac:dyDescent="0.3">
      <c r="I8973"/>
      <c r="J8973"/>
    </row>
    <row r="8974" spans="9:10" x14ac:dyDescent="0.3">
      <c r="I8974"/>
      <c r="J8974"/>
    </row>
    <row r="8975" spans="9:10" x14ac:dyDescent="0.3">
      <c r="I8975"/>
      <c r="J8975"/>
    </row>
    <row r="8976" spans="9:10" x14ac:dyDescent="0.3">
      <c r="I8976"/>
      <c r="J8976"/>
    </row>
    <row r="8977" spans="9:10" x14ac:dyDescent="0.3">
      <c r="I8977"/>
      <c r="J8977"/>
    </row>
    <row r="8978" spans="9:10" x14ac:dyDescent="0.3">
      <c r="I8978"/>
      <c r="J8978"/>
    </row>
    <row r="8979" spans="9:10" x14ac:dyDescent="0.3">
      <c r="I8979"/>
      <c r="J8979"/>
    </row>
    <row r="8980" spans="9:10" x14ac:dyDescent="0.3">
      <c r="I8980"/>
      <c r="J8980"/>
    </row>
    <row r="8981" spans="9:10" x14ac:dyDescent="0.3">
      <c r="I8981"/>
      <c r="J8981"/>
    </row>
    <row r="8982" spans="9:10" x14ac:dyDescent="0.3">
      <c r="I8982"/>
      <c r="J8982"/>
    </row>
    <row r="8983" spans="9:10" x14ac:dyDescent="0.3">
      <c r="I8983"/>
      <c r="J8983"/>
    </row>
    <row r="8984" spans="9:10" x14ac:dyDescent="0.3">
      <c r="I8984"/>
      <c r="J8984"/>
    </row>
    <row r="8985" spans="9:10" x14ac:dyDescent="0.3">
      <c r="I8985"/>
      <c r="J8985"/>
    </row>
    <row r="8986" spans="9:10" x14ac:dyDescent="0.3">
      <c r="I8986"/>
      <c r="J8986"/>
    </row>
    <row r="8987" spans="9:10" x14ac:dyDescent="0.3">
      <c r="I8987"/>
      <c r="J8987"/>
    </row>
    <row r="8988" spans="9:10" x14ac:dyDescent="0.3">
      <c r="I8988"/>
      <c r="J8988"/>
    </row>
    <row r="8989" spans="9:10" x14ac:dyDescent="0.3">
      <c r="I8989"/>
      <c r="J8989"/>
    </row>
    <row r="8990" spans="9:10" x14ac:dyDescent="0.3">
      <c r="I8990"/>
      <c r="J8990"/>
    </row>
    <row r="8991" spans="9:10" x14ac:dyDescent="0.3">
      <c r="I8991"/>
      <c r="J8991"/>
    </row>
    <row r="8992" spans="9:10" x14ac:dyDescent="0.3">
      <c r="I8992"/>
      <c r="J8992"/>
    </row>
    <row r="8993" spans="9:10" x14ac:dyDescent="0.3">
      <c r="I8993"/>
      <c r="J8993"/>
    </row>
    <row r="8994" spans="9:10" x14ac:dyDescent="0.3">
      <c r="I8994"/>
      <c r="J8994"/>
    </row>
    <row r="8995" spans="9:10" x14ac:dyDescent="0.3">
      <c r="I8995"/>
      <c r="J8995"/>
    </row>
    <row r="8996" spans="9:10" x14ac:dyDescent="0.3">
      <c r="I8996"/>
      <c r="J8996"/>
    </row>
    <row r="8997" spans="9:10" x14ac:dyDescent="0.3">
      <c r="I8997"/>
      <c r="J8997"/>
    </row>
    <row r="8998" spans="9:10" x14ac:dyDescent="0.3">
      <c r="I8998"/>
      <c r="J8998"/>
    </row>
    <row r="8999" spans="9:10" x14ac:dyDescent="0.3">
      <c r="I8999"/>
      <c r="J8999"/>
    </row>
    <row r="9000" spans="9:10" x14ac:dyDescent="0.3">
      <c r="I9000"/>
      <c r="J9000"/>
    </row>
    <row r="9001" spans="9:10" x14ac:dyDescent="0.3">
      <c r="I9001"/>
      <c r="J9001"/>
    </row>
    <row r="9002" spans="9:10" x14ac:dyDescent="0.3">
      <c r="I9002"/>
      <c r="J9002"/>
    </row>
    <row r="9003" spans="9:10" x14ac:dyDescent="0.3">
      <c r="I9003"/>
      <c r="J9003"/>
    </row>
    <row r="9004" spans="9:10" x14ac:dyDescent="0.3">
      <c r="I9004"/>
      <c r="J9004"/>
    </row>
    <row r="9005" spans="9:10" x14ac:dyDescent="0.3">
      <c r="I9005"/>
      <c r="J9005"/>
    </row>
    <row r="9006" spans="9:10" x14ac:dyDescent="0.3">
      <c r="I9006"/>
      <c r="J9006"/>
    </row>
    <row r="9007" spans="9:10" x14ac:dyDescent="0.3">
      <c r="I9007"/>
      <c r="J9007"/>
    </row>
    <row r="9008" spans="9:10" x14ac:dyDescent="0.3">
      <c r="I9008"/>
      <c r="J9008"/>
    </row>
    <row r="9009" spans="9:10" x14ac:dyDescent="0.3">
      <c r="I9009"/>
      <c r="J9009"/>
    </row>
    <row r="9010" spans="9:10" x14ac:dyDescent="0.3">
      <c r="I9010"/>
      <c r="J9010"/>
    </row>
    <row r="9011" spans="9:10" x14ac:dyDescent="0.3">
      <c r="I9011"/>
      <c r="J9011"/>
    </row>
    <row r="9012" spans="9:10" x14ac:dyDescent="0.3">
      <c r="I9012"/>
      <c r="J9012"/>
    </row>
    <row r="9013" spans="9:10" x14ac:dyDescent="0.3">
      <c r="I9013"/>
      <c r="J9013"/>
    </row>
    <row r="9014" spans="9:10" x14ac:dyDescent="0.3">
      <c r="I9014"/>
      <c r="J9014"/>
    </row>
    <row r="9015" spans="9:10" x14ac:dyDescent="0.3">
      <c r="I9015"/>
      <c r="J9015"/>
    </row>
    <row r="9016" spans="9:10" x14ac:dyDescent="0.3">
      <c r="I9016"/>
      <c r="J9016"/>
    </row>
    <row r="9017" spans="9:10" x14ac:dyDescent="0.3">
      <c r="I9017"/>
      <c r="J9017"/>
    </row>
    <row r="9018" spans="9:10" x14ac:dyDescent="0.3">
      <c r="I9018"/>
      <c r="J9018"/>
    </row>
    <row r="9019" spans="9:10" x14ac:dyDescent="0.3">
      <c r="I9019"/>
      <c r="J9019"/>
    </row>
    <row r="9020" spans="9:10" x14ac:dyDescent="0.3">
      <c r="I9020"/>
      <c r="J9020"/>
    </row>
    <row r="9021" spans="9:10" x14ac:dyDescent="0.3">
      <c r="I9021"/>
      <c r="J9021"/>
    </row>
    <row r="9022" spans="9:10" x14ac:dyDescent="0.3">
      <c r="I9022"/>
      <c r="J9022"/>
    </row>
    <row r="9023" spans="9:10" x14ac:dyDescent="0.3">
      <c r="I9023"/>
      <c r="J9023"/>
    </row>
    <row r="9024" spans="9:10" x14ac:dyDescent="0.3">
      <c r="I9024"/>
      <c r="J9024"/>
    </row>
    <row r="9025" spans="9:10" x14ac:dyDescent="0.3">
      <c r="I9025"/>
      <c r="J9025"/>
    </row>
    <row r="9026" spans="9:10" x14ac:dyDescent="0.3">
      <c r="I9026"/>
      <c r="J9026"/>
    </row>
    <row r="9027" spans="9:10" x14ac:dyDescent="0.3">
      <c r="I9027"/>
      <c r="J9027"/>
    </row>
    <row r="9028" spans="9:10" x14ac:dyDescent="0.3">
      <c r="I9028"/>
      <c r="J9028"/>
    </row>
    <row r="9029" spans="9:10" x14ac:dyDescent="0.3">
      <c r="I9029"/>
      <c r="J9029"/>
    </row>
    <row r="9030" spans="9:10" x14ac:dyDescent="0.3">
      <c r="I9030"/>
      <c r="J9030"/>
    </row>
    <row r="9031" spans="9:10" x14ac:dyDescent="0.3">
      <c r="I9031"/>
      <c r="J9031"/>
    </row>
    <row r="9032" spans="9:10" x14ac:dyDescent="0.3">
      <c r="I9032"/>
      <c r="J9032"/>
    </row>
    <row r="9033" spans="9:10" x14ac:dyDescent="0.3">
      <c r="I9033"/>
      <c r="J9033"/>
    </row>
    <row r="9034" spans="9:10" x14ac:dyDescent="0.3">
      <c r="I9034"/>
      <c r="J9034"/>
    </row>
    <row r="9035" spans="9:10" x14ac:dyDescent="0.3">
      <c r="I9035"/>
      <c r="J9035"/>
    </row>
    <row r="9036" spans="9:10" x14ac:dyDescent="0.3">
      <c r="I9036"/>
      <c r="J9036"/>
    </row>
    <row r="9037" spans="9:10" x14ac:dyDescent="0.3">
      <c r="I9037"/>
      <c r="J9037"/>
    </row>
    <row r="9038" spans="9:10" x14ac:dyDescent="0.3">
      <c r="I9038"/>
      <c r="J9038"/>
    </row>
    <row r="9039" spans="9:10" x14ac:dyDescent="0.3">
      <c r="I9039"/>
      <c r="J9039"/>
    </row>
    <row r="9040" spans="9:10" x14ac:dyDescent="0.3">
      <c r="I9040"/>
      <c r="J9040"/>
    </row>
    <row r="9041" spans="9:10" x14ac:dyDescent="0.3">
      <c r="I9041"/>
      <c r="J9041"/>
    </row>
    <row r="9042" spans="9:10" x14ac:dyDescent="0.3">
      <c r="I9042"/>
      <c r="J9042"/>
    </row>
    <row r="9043" spans="9:10" x14ac:dyDescent="0.3">
      <c r="I9043"/>
      <c r="J9043"/>
    </row>
    <row r="9044" spans="9:10" x14ac:dyDescent="0.3">
      <c r="I9044"/>
      <c r="J9044"/>
    </row>
    <row r="9045" spans="9:10" x14ac:dyDescent="0.3">
      <c r="I9045"/>
      <c r="J9045"/>
    </row>
    <row r="9046" spans="9:10" x14ac:dyDescent="0.3">
      <c r="I9046"/>
      <c r="J9046"/>
    </row>
    <row r="9047" spans="9:10" x14ac:dyDescent="0.3">
      <c r="I9047"/>
      <c r="J9047"/>
    </row>
    <row r="9048" spans="9:10" x14ac:dyDescent="0.3">
      <c r="I9048"/>
      <c r="J9048"/>
    </row>
    <row r="9049" spans="9:10" x14ac:dyDescent="0.3">
      <c r="I9049"/>
      <c r="J9049"/>
    </row>
    <row r="9050" spans="9:10" x14ac:dyDescent="0.3">
      <c r="I9050"/>
      <c r="J9050"/>
    </row>
    <row r="9051" spans="9:10" x14ac:dyDescent="0.3">
      <c r="I9051"/>
      <c r="J9051"/>
    </row>
    <row r="9052" spans="9:10" x14ac:dyDescent="0.3">
      <c r="I9052"/>
      <c r="J9052"/>
    </row>
    <row r="9053" spans="9:10" x14ac:dyDescent="0.3">
      <c r="I9053"/>
      <c r="J9053"/>
    </row>
    <row r="9054" spans="9:10" x14ac:dyDescent="0.3">
      <c r="I9054"/>
      <c r="J9054"/>
    </row>
    <row r="9055" spans="9:10" x14ac:dyDescent="0.3">
      <c r="I9055"/>
      <c r="J9055"/>
    </row>
    <row r="9056" spans="9:10" x14ac:dyDescent="0.3">
      <c r="I9056"/>
      <c r="J9056"/>
    </row>
    <row r="9057" spans="9:10" x14ac:dyDescent="0.3">
      <c r="I9057"/>
      <c r="J9057"/>
    </row>
    <row r="9058" spans="9:10" x14ac:dyDescent="0.3">
      <c r="I9058"/>
      <c r="J9058"/>
    </row>
    <row r="9059" spans="9:10" x14ac:dyDescent="0.3">
      <c r="I9059"/>
      <c r="J9059"/>
    </row>
    <row r="9060" spans="9:10" x14ac:dyDescent="0.3">
      <c r="I9060"/>
      <c r="J9060"/>
    </row>
    <row r="9061" spans="9:10" x14ac:dyDescent="0.3">
      <c r="I9061"/>
      <c r="J9061"/>
    </row>
    <row r="9062" spans="9:10" x14ac:dyDescent="0.3">
      <c r="I9062"/>
      <c r="J9062"/>
    </row>
    <row r="9063" spans="9:10" x14ac:dyDescent="0.3">
      <c r="I9063"/>
      <c r="J9063"/>
    </row>
    <row r="9064" spans="9:10" x14ac:dyDescent="0.3">
      <c r="I9064"/>
      <c r="J9064"/>
    </row>
    <row r="9065" spans="9:10" x14ac:dyDescent="0.3">
      <c r="I9065"/>
      <c r="J9065"/>
    </row>
    <row r="9066" spans="9:10" x14ac:dyDescent="0.3">
      <c r="I9066"/>
      <c r="J9066"/>
    </row>
    <row r="9067" spans="9:10" x14ac:dyDescent="0.3">
      <c r="I9067"/>
      <c r="J9067"/>
    </row>
    <row r="9068" spans="9:10" x14ac:dyDescent="0.3">
      <c r="I9068"/>
      <c r="J9068"/>
    </row>
    <row r="9069" spans="9:10" x14ac:dyDescent="0.3">
      <c r="I9069"/>
      <c r="J9069"/>
    </row>
    <row r="9070" spans="9:10" x14ac:dyDescent="0.3">
      <c r="I9070"/>
      <c r="J9070"/>
    </row>
    <row r="9071" spans="9:10" x14ac:dyDescent="0.3">
      <c r="I9071"/>
      <c r="J9071"/>
    </row>
    <row r="9072" spans="9:10" x14ac:dyDescent="0.3">
      <c r="I9072"/>
      <c r="J9072"/>
    </row>
    <row r="9073" spans="9:10" x14ac:dyDescent="0.3">
      <c r="I9073"/>
      <c r="J9073"/>
    </row>
    <row r="9074" spans="9:10" x14ac:dyDescent="0.3">
      <c r="I9074"/>
      <c r="J9074"/>
    </row>
    <row r="9075" spans="9:10" x14ac:dyDescent="0.3">
      <c r="I9075"/>
      <c r="J9075"/>
    </row>
    <row r="9076" spans="9:10" x14ac:dyDescent="0.3">
      <c r="I9076"/>
      <c r="J9076"/>
    </row>
    <row r="9077" spans="9:10" x14ac:dyDescent="0.3">
      <c r="I9077"/>
      <c r="J9077"/>
    </row>
    <row r="9078" spans="9:10" x14ac:dyDescent="0.3">
      <c r="I9078"/>
      <c r="J9078"/>
    </row>
    <row r="9079" spans="9:10" x14ac:dyDescent="0.3">
      <c r="I9079"/>
      <c r="J9079"/>
    </row>
    <row r="9080" spans="9:10" x14ac:dyDescent="0.3">
      <c r="I9080"/>
      <c r="J9080"/>
    </row>
    <row r="9081" spans="9:10" x14ac:dyDescent="0.3">
      <c r="I9081"/>
      <c r="J9081"/>
    </row>
    <row r="9082" spans="9:10" x14ac:dyDescent="0.3">
      <c r="I9082"/>
      <c r="J9082"/>
    </row>
    <row r="9083" spans="9:10" x14ac:dyDescent="0.3">
      <c r="I9083"/>
      <c r="J9083"/>
    </row>
    <row r="9084" spans="9:10" x14ac:dyDescent="0.3">
      <c r="I9084"/>
      <c r="J9084"/>
    </row>
    <row r="9085" spans="9:10" x14ac:dyDescent="0.3">
      <c r="I9085"/>
      <c r="J9085"/>
    </row>
    <row r="9086" spans="9:10" x14ac:dyDescent="0.3">
      <c r="I9086"/>
      <c r="J9086"/>
    </row>
    <row r="9087" spans="9:10" x14ac:dyDescent="0.3">
      <c r="I9087"/>
      <c r="J9087"/>
    </row>
    <row r="9088" spans="9:10" x14ac:dyDescent="0.3">
      <c r="I9088"/>
      <c r="J9088"/>
    </row>
    <row r="9089" spans="9:10" x14ac:dyDescent="0.3">
      <c r="I9089"/>
      <c r="J9089"/>
    </row>
    <row r="9090" spans="9:10" x14ac:dyDescent="0.3">
      <c r="I9090"/>
      <c r="J9090"/>
    </row>
    <row r="9091" spans="9:10" x14ac:dyDescent="0.3">
      <c r="I9091"/>
      <c r="J9091"/>
    </row>
    <row r="9092" spans="9:10" x14ac:dyDescent="0.3">
      <c r="I9092"/>
      <c r="J9092"/>
    </row>
    <row r="9093" spans="9:10" x14ac:dyDescent="0.3">
      <c r="I9093"/>
      <c r="J9093"/>
    </row>
    <row r="9094" spans="9:10" x14ac:dyDescent="0.3">
      <c r="I9094"/>
      <c r="J9094"/>
    </row>
    <row r="9095" spans="9:10" x14ac:dyDescent="0.3">
      <c r="I9095"/>
      <c r="J9095"/>
    </row>
    <row r="9096" spans="9:10" x14ac:dyDescent="0.3">
      <c r="I9096"/>
      <c r="J9096"/>
    </row>
    <row r="9097" spans="9:10" x14ac:dyDescent="0.3">
      <c r="I9097"/>
      <c r="J9097"/>
    </row>
    <row r="9098" spans="9:10" x14ac:dyDescent="0.3">
      <c r="I9098"/>
      <c r="J9098"/>
    </row>
    <row r="9099" spans="9:10" x14ac:dyDescent="0.3">
      <c r="I9099"/>
      <c r="J9099"/>
    </row>
    <row r="9100" spans="9:10" x14ac:dyDescent="0.3">
      <c r="I9100"/>
      <c r="J9100"/>
    </row>
    <row r="9101" spans="9:10" x14ac:dyDescent="0.3">
      <c r="I9101"/>
      <c r="J9101"/>
    </row>
    <row r="9102" spans="9:10" x14ac:dyDescent="0.3">
      <c r="I9102"/>
      <c r="J9102"/>
    </row>
    <row r="9103" spans="9:10" x14ac:dyDescent="0.3">
      <c r="I9103"/>
      <c r="J9103"/>
    </row>
    <row r="9104" spans="9:10" x14ac:dyDescent="0.3">
      <c r="I9104"/>
      <c r="J9104"/>
    </row>
    <row r="9105" spans="9:10" x14ac:dyDescent="0.3">
      <c r="I9105"/>
      <c r="J9105"/>
    </row>
    <row r="9106" spans="9:10" x14ac:dyDescent="0.3">
      <c r="I9106"/>
      <c r="J9106"/>
    </row>
    <row r="9107" spans="9:10" x14ac:dyDescent="0.3">
      <c r="I9107"/>
      <c r="J9107"/>
    </row>
    <row r="9108" spans="9:10" x14ac:dyDescent="0.3">
      <c r="I9108"/>
      <c r="J9108"/>
    </row>
    <row r="9109" spans="9:10" x14ac:dyDescent="0.3">
      <c r="I9109"/>
      <c r="J9109"/>
    </row>
    <row r="9110" spans="9:10" x14ac:dyDescent="0.3">
      <c r="I9110"/>
      <c r="J9110"/>
    </row>
    <row r="9111" spans="9:10" x14ac:dyDescent="0.3">
      <c r="I9111"/>
      <c r="J9111"/>
    </row>
    <row r="9112" spans="9:10" x14ac:dyDescent="0.3">
      <c r="I9112"/>
      <c r="J9112"/>
    </row>
    <row r="9113" spans="9:10" x14ac:dyDescent="0.3">
      <c r="I9113"/>
      <c r="J9113"/>
    </row>
    <row r="9114" spans="9:10" x14ac:dyDescent="0.3">
      <c r="I9114"/>
      <c r="J9114"/>
    </row>
    <row r="9115" spans="9:10" x14ac:dyDescent="0.3">
      <c r="I9115"/>
      <c r="J9115"/>
    </row>
    <row r="9116" spans="9:10" x14ac:dyDescent="0.3">
      <c r="I9116"/>
      <c r="J9116"/>
    </row>
    <row r="9117" spans="9:10" x14ac:dyDescent="0.3">
      <c r="I9117"/>
      <c r="J9117"/>
    </row>
    <row r="9118" spans="9:10" x14ac:dyDescent="0.3">
      <c r="I9118"/>
      <c r="J9118"/>
    </row>
    <row r="9119" spans="9:10" x14ac:dyDescent="0.3">
      <c r="I9119"/>
      <c r="J9119"/>
    </row>
    <row r="9120" spans="9:10" x14ac:dyDescent="0.3">
      <c r="I9120"/>
      <c r="J9120"/>
    </row>
    <row r="9121" spans="9:10" x14ac:dyDescent="0.3">
      <c r="I9121"/>
      <c r="J9121"/>
    </row>
    <row r="9122" spans="9:10" x14ac:dyDescent="0.3">
      <c r="I9122"/>
      <c r="J9122"/>
    </row>
    <row r="9123" spans="9:10" x14ac:dyDescent="0.3">
      <c r="I9123"/>
      <c r="J9123"/>
    </row>
    <row r="9124" spans="9:10" x14ac:dyDescent="0.3">
      <c r="I9124"/>
      <c r="J9124"/>
    </row>
    <row r="9125" spans="9:10" x14ac:dyDescent="0.3">
      <c r="I9125"/>
      <c r="J9125"/>
    </row>
    <row r="9126" spans="9:10" x14ac:dyDescent="0.3">
      <c r="I9126"/>
      <c r="J9126"/>
    </row>
    <row r="9127" spans="9:10" x14ac:dyDescent="0.3">
      <c r="I9127"/>
      <c r="J9127"/>
    </row>
    <row r="9128" spans="9:10" x14ac:dyDescent="0.3">
      <c r="I9128"/>
      <c r="J9128"/>
    </row>
    <row r="9129" spans="9:10" x14ac:dyDescent="0.3">
      <c r="I9129"/>
      <c r="J9129"/>
    </row>
    <row r="9130" spans="9:10" x14ac:dyDescent="0.3">
      <c r="I9130"/>
      <c r="J9130"/>
    </row>
    <row r="9131" spans="9:10" x14ac:dyDescent="0.3">
      <c r="I9131"/>
      <c r="J9131"/>
    </row>
    <row r="9132" spans="9:10" x14ac:dyDescent="0.3">
      <c r="I9132"/>
      <c r="J9132"/>
    </row>
    <row r="9133" spans="9:10" x14ac:dyDescent="0.3">
      <c r="I9133"/>
      <c r="J9133"/>
    </row>
    <row r="9134" spans="9:10" x14ac:dyDescent="0.3">
      <c r="I9134"/>
      <c r="J9134"/>
    </row>
    <row r="9135" spans="9:10" x14ac:dyDescent="0.3">
      <c r="I9135"/>
      <c r="J9135"/>
    </row>
    <row r="9136" spans="9:10" x14ac:dyDescent="0.3">
      <c r="I9136"/>
      <c r="J9136"/>
    </row>
    <row r="9137" spans="9:10" x14ac:dyDescent="0.3">
      <c r="I9137"/>
      <c r="J9137"/>
    </row>
    <row r="9138" spans="9:10" x14ac:dyDescent="0.3">
      <c r="I9138"/>
      <c r="J9138"/>
    </row>
    <row r="9139" spans="9:10" x14ac:dyDescent="0.3">
      <c r="I9139"/>
      <c r="J9139"/>
    </row>
    <row r="9140" spans="9:10" x14ac:dyDescent="0.3">
      <c r="I9140"/>
      <c r="J9140"/>
    </row>
    <row r="9141" spans="9:10" x14ac:dyDescent="0.3">
      <c r="I9141"/>
      <c r="J9141"/>
    </row>
    <row r="9142" spans="9:10" x14ac:dyDescent="0.3">
      <c r="I9142"/>
      <c r="J9142"/>
    </row>
    <row r="9143" spans="9:10" x14ac:dyDescent="0.3">
      <c r="I9143"/>
      <c r="J9143"/>
    </row>
    <row r="9144" spans="9:10" x14ac:dyDescent="0.3">
      <c r="I9144"/>
      <c r="J9144"/>
    </row>
    <row r="9145" spans="9:10" x14ac:dyDescent="0.3">
      <c r="I9145"/>
      <c r="J9145"/>
    </row>
    <row r="9146" spans="9:10" x14ac:dyDescent="0.3">
      <c r="I9146"/>
      <c r="J9146"/>
    </row>
    <row r="9147" spans="9:10" x14ac:dyDescent="0.3">
      <c r="I9147"/>
      <c r="J9147"/>
    </row>
    <row r="9148" spans="9:10" x14ac:dyDescent="0.3">
      <c r="I9148"/>
      <c r="J9148"/>
    </row>
    <row r="9149" spans="9:10" x14ac:dyDescent="0.3">
      <c r="I9149"/>
      <c r="J9149"/>
    </row>
    <row r="9150" spans="9:10" x14ac:dyDescent="0.3">
      <c r="I9150"/>
      <c r="J9150"/>
    </row>
    <row r="9151" spans="9:10" x14ac:dyDescent="0.3">
      <c r="I9151"/>
      <c r="J9151"/>
    </row>
    <row r="9152" spans="9:10" x14ac:dyDescent="0.3">
      <c r="I9152"/>
      <c r="J9152"/>
    </row>
    <row r="9153" spans="9:10" x14ac:dyDescent="0.3">
      <c r="I9153"/>
      <c r="J9153"/>
    </row>
    <row r="9154" spans="9:10" x14ac:dyDescent="0.3">
      <c r="I9154"/>
      <c r="J9154"/>
    </row>
    <row r="9155" spans="9:10" x14ac:dyDescent="0.3">
      <c r="I9155"/>
      <c r="J9155"/>
    </row>
    <row r="9156" spans="9:10" x14ac:dyDescent="0.3">
      <c r="I9156"/>
      <c r="J9156"/>
    </row>
    <row r="9157" spans="9:10" x14ac:dyDescent="0.3">
      <c r="I9157"/>
      <c r="J9157"/>
    </row>
    <row r="9158" spans="9:10" x14ac:dyDescent="0.3">
      <c r="I9158"/>
      <c r="J9158"/>
    </row>
    <row r="9159" spans="9:10" x14ac:dyDescent="0.3">
      <c r="I9159"/>
      <c r="J9159"/>
    </row>
    <row r="9160" spans="9:10" x14ac:dyDescent="0.3">
      <c r="I9160"/>
      <c r="J9160"/>
    </row>
    <row r="9161" spans="9:10" x14ac:dyDescent="0.3">
      <c r="I9161"/>
      <c r="J9161"/>
    </row>
    <row r="9162" spans="9:10" x14ac:dyDescent="0.3">
      <c r="I9162"/>
      <c r="J9162"/>
    </row>
    <row r="9163" spans="9:10" x14ac:dyDescent="0.3">
      <c r="I9163"/>
      <c r="J9163"/>
    </row>
    <row r="9164" spans="9:10" x14ac:dyDescent="0.3">
      <c r="I9164"/>
      <c r="J9164"/>
    </row>
    <row r="9165" spans="9:10" x14ac:dyDescent="0.3">
      <c r="I9165"/>
      <c r="J9165"/>
    </row>
    <row r="9166" spans="9:10" x14ac:dyDescent="0.3">
      <c r="I9166"/>
      <c r="J9166"/>
    </row>
    <row r="9167" spans="9:10" x14ac:dyDescent="0.3">
      <c r="I9167"/>
      <c r="J9167"/>
    </row>
    <row r="9168" spans="9:10" x14ac:dyDescent="0.3">
      <c r="I9168"/>
      <c r="J9168"/>
    </row>
    <row r="9169" spans="9:10" x14ac:dyDescent="0.3">
      <c r="I9169"/>
      <c r="J9169"/>
    </row>
    <row r="9170" spans="9:10" x14ac:dyDescent="0.3">
      <c r="I9170"/>
      <c r="J9170"/>
    </row>
    <row r="9171" spans="9:10" x14ac:dyDescent="0.3">
      <c r="I9171"/>
      <c r="J9171"/>
    </row>
    <row r="9172" spans="9:10" x14ac:dyDescent="0.3">
      <c r="I9172"/>
      <c r="J9172"/>
    </row>
    <row r="9173" spans="9:10" x14ac:dyDescent="0.3">
      <c r="I9173"/>
      <c r="J9173"/>
    </row>
    <row r="9174" spans="9:10" x14ac:dyDescent="0.3">
      <c r="I9174"/>
      <c r="J9174"/>
    </row>
    <row r="9175" spans="9:10" x14ac:dyDescent="0.3">
      <c r="I9175"/>
      <c r="J9175"/>
    </row>
    <row r="9176" spans="9:10" x14ac:dyDescent="0.3">
      <c r="I9176"/>
      <c r="J9176"/>
    </row>
    <row r="9177" spans="9:10" x14ac:dyDescent="0.3">
      <c r="I9177"/>
      <c r="J9177"/>
    </row>
    <row r="9178" spans="9:10" x14ac:dyDescent="0.3">
      <c r="I9178"/>
      <c r="J9178"/>
    </row>
    <row r="9179" spans="9:10" x14ac:dyDescent="0.3">
      <c r="I9179"/>
      <c r="J9179"/>
    </row>
    <row r="9180" spans="9:10" x14ac:dyDescent="0.3">
      <c r="I9180"/>
      <c r="J9180"/>
    </row>
    <row r="9181" spans="9:10" x14ac:dyDescent="0.3">
      <c r="I9181"/>
      <c r="J9181"/>
    </row>
    <row r="9182" spans="9:10" x14ac:dyDescent="0.3">
      <c r="I9182"/>
      <c r="J9182"/>
    </row>
    <row r="9183" spans="9:10" x14ac:dyDescent="0.3">
      <c r="I9183"/>
      <c r="J9183"/>
    </row>
    <row r="9184" spans="9:10" x14ac:dyDescent="0.3">
      <c r="I9184"/>
      <c r="J9184"/>
    </row>
    <row r="9185" spans="9:10" x14ac:dyDescent="0.3">
      <c r="I9185"/>
      <c r="J9185"/>
    </row>
    <row r="9186" spans="9:10" x14ac:dyDescent="0.3">
      <c r="I9186"/>
      <c r="J9186"/>
    </row>
    <row r="9187" spans="9:10" x14ac:dyDescent="0.3">
      <c r="I9187"/>
      <c r="J9187"/>
    </row>
    <row r="9188" spans="9:10" x14ac:dyDescent="0.3">
      <c r="I9188"/>
      <c r="J9188"/>
    </row>
    <row r="9189" spans="9:10" x14ac:dyDescent="0.3">
      <c r="I9189"/>
      <c r="J9189"/>
    </row>
    <row r="9190" spans="9:10" x14ac:dyDescent="0.3">
      <c r="I9190"/>
      <c r="J9190"/>
    </row>
    <row r="9191" spans="9:10" x14ac:dyDescent="0.3">
      <c r="I9191"/>
      <c r="J9191"/>
    </row>
    <row r="9192" spans="9:10" x14ac:dyDescent="0.3">
      <c r="I9192"/>
      <c r="J9192"/>
    </row>
    <row r="9193" spans="9:10" x14ac:dyDescent="0.3">
      <c r="I9193"/>
      <c r="J9193"/>
    </row>
    <row r="9194" spans="9:10" x14ac:dyDescent="0.3">
      <c r="I9194"/>
      <c r="J9194"/>
    </row>
    <row r="9195" spans="9:10" x14ac:dyDescent="0.3">
      <c r="I9195"/>
      <c r="J9195"/>
    </row>
    <row r="9196" spans="9:10" x14ac:dyDescent="0.3">
      <c r="I9196"/>
      <c r="J9196"/>
    </row>
    <row r="9197" spans="9:10" x14ac:dyDescent="0.3">
      <c r="I9197"/>
      <c r="J9197"/>
    </row>
    <row r="9198" spans="9:10" x14ac:dyDescent="0.3">
      <c r="I9198"/>
      <c r="J9198"/>
    </row>
    <row r="9199" spans="9:10" x14ac:dyDescent="0.3">
      <c r="I9199"/>
      <c r="J9199"/>
    </row>
    <row r="9200" spans="9:10" x14ac:dyDescent="0.3">
      <c r="I9200"/>
      <c r="J9200"/>
    </row>
    <row r="9201" spans="9:10" x14ac:dyDescent="0.3">
      <c r="I9201"/>
      <c r="J9201"/>
    </row>
    <row r="9202" spans="9:10" x14ac:dyDescent="0.3">
      <c r="I9202"/>
      <c r="J9202"/>
    </row>
    <row r="9203" spans="9:10" x14ac:dyDescent="0.3">
      <c r="I9203"/>
      <c r="J9203"/>
    </row>
    <row r="9204" spans="9:10" x14ac:dyDescent="0.3">
      <c r="I9204"/>
      <c r="J9204"/>
    </row>
    <row r="9205" spans="9:10" x14ac:dyDescent="0.3">
      <c r="I9205"/>
      <c r="J9205"/>
    </row>
    <row r="9206" spans="9:10" x14ac:dyDescent="0.3">
      <c r="I9206"/>
      <c r="J9206"/>
    </row>
    <row r="9207" spans="9:10" x14ac:dyDescent="0.3">
      <c r="I9207"/>
      <c r="J9207"/>
    </row>
    <row r="9208" spans="9:10" x14ac:dyDescent="0.3">
      <c r="I9208"/>
      <c r="J9208"/>
    </row>
    <row r="9209" spans="9:10" x14ac:dyDescent="0.3">
      <c r="I9209"/>
      <c r="J9209"/>
    </row>
    <row r="9210" spans="9:10" x14ac:dyDescent="0.3">
      <c r="I9210"/>
      <c r="J9210"/>
    </row>
    <row r="9211" spans="9:10" x14ac:dyDescent="0.3">
      <c r="I9211"/>
      <c r="J9211"/>
    </row>
    <row r="9212" spans="9:10" x14ac:dyDescent="0.3">
      <c r="I9212"/>
      <c r="J9212"/>
    </row>
    <row r="9213" spans="9:10" x14ac:dyDescent="0.3">
      <c r="I9213"/>
      <c r="J9213"/>
    </row>
    <row r="9214" spans="9:10" x14ac:dyDescent="0.3">
      <c r="I9214"/>
      <c r="J9214"/>
    </row>
    <row r="9215" spans="9:10" x14ac:dyDescent="0.3">
      <c r="I9215"/>
      <c r="J9215"/>
    </row>
    <row r="9216" spans="9:10" x14ac:dyDescent="0.3">
      <c r="I9216"/>
      <c r="J9216"/>
    </row>
    <row r="9217" spans="9:10" x14ac:dyDescent="0.3">
      <c r="I9217"/>
      <c r="J9217"/>
    </row>
    <row r="9218" spans="9:10" x14ac:dyDescent="0.3">
      <c r="I9218"/>
      <c r="J9218"/>
    </row>
    <row r="9219" spans="9:10" x14ac:dyDescent="0.3">
      <c r="I9219"/>
      <c r="J9219"/>
    </row>
    <row r="9220" spans="9:10" x14ac:dyDescent="0.3">
      <c r="I9220"/>
      <c r="J9220"/>
    </row>
    <row r="9221" spans="9:10" x14ac:dyDescent="0.3">
      <c r="I9221"/>
      <c r="J9221"/>
    </row>
    <row r="9222" spans="9:10" x14ac:dyDescent="0.3">
      <c r="I9222"/>
      <c r="J9222"/>
    </row>
    <row r="9223" spans="9:10" x14ac:dyDescent="0.3">
      <c r="I9223"/>
      <c r="J9223"/>
    </row>
    <row r="9224" spans="9:10" x14ac:dyDescent="0.3">
      <c r="I9224"/>
      <c r="J9224"/>
    </row>
    <row r="9225" spans="9:10" x14ac:dyDescent="0.3">
      <c r="I9225"/>
      <c r="J9225"/>
    </row>
    <row r="9226" spans="9:10" x14ac:dyDescent="0.3">
      <c r="I9226"/>
      <c r="J9226"/>
    </row>
    <row r="9227" spans="9:10" x14ac:dyDescent="0.3">
      <c r="I9227"/>
      <c r="J9227"/>
    </row>
    <row r="9228" spans="9:10" x14ac:dyDescent="0.3">
      <c r="I9228"/>
      <c r="J9228"/>
    </row>
    <row r="9229" spans="9:10" x14ac:dyDescent="0.3">
      <c r="I9229"/>
      <c r="J9229"/>
    </row>
    <row r="9230" spans="9:10" x14ac:dyDescent="0.3">
      <c r="I9230"/>
      <c r="J9230"/>
    </row>
    <row r="9231" spans="9:10" x14ac:dyDescent="0.3">
      <c r="I9231"/>
      <c r="J9231"/>
    </row>
    <row r="9232" spans="9:10" x14ac:dyDescent="0.3">
      <c r="I9232"/>
      <c r="J9232"/>
    </row>
    <row r="9233" spans="9:10" x14ac:dyDescent="0.3">
      <c r="I9233"/>
      <c r="J9233"/>
    </row>
    <row r="9234" spans="9:10" x14ac:dyDescent="0.3">
      <c r="I9234"/>
      <c r="J9234"/>
    </row>
    <row r="9235" spans="9:10" x14ac:dyDescent="0.3">
      <c r="I9235"/>
      <c r="J9235"/>
    </row>
    <row r="9236" spans="9:10" x14ac:dyDescent="0.3">
      <c r="I9236"/>
      <c r="J9236"/>
    </row>
    <row r="9237" spans="9:10" x14ac:dyDescent="0.3">
      <c r="I9237"/>
      <c r="J9237"/>
    </row>
    <row r="9238" spans="9:10" x14ac:dyDescent="0.3">
      <c r="I9238"/>
      <c r="J9238"/>
    </row>
    <row r="9239" spans="9:10" x14ac:dyDescent="0.3">
      <c r="I9239"/>
      <c r="J9239"/>
    </row>
    <row r="9240" spans="9:10" x14ac:dyDescent="0.3">
      <c r="I9240"/>
      <c r="J9240"/>
    </row>
    <row r="9241" spans="9:10" x14ac:dyDescent="0.3">
      <c r="I9241"/>
      <c r="J9241"/>
    </row>
    <row r="9242" spans="9:10" x14ac:dyDescent="0.3">
      <c r="I9242"/>
      <c r="J9242"/>
    </row>
    <row r="9243" spans="9:10" x14ac:dyDescent="0.3">
      <c r="I9243"/>
      <c r="J9243"/>
    </row>
    <row r="9244" spans="9:10" x14ac:dyDescent="0.3">
      <c r="I9244"/>
      <c r="J9244"/>
    </row>
    <row r="9245" spans="9:10" x14ac:dyDescent="0.3">
      <c r="I9245"/>
      <c r="J9245"/>
    </row>
    <row r="9246" spans="9:10" x14ac:dyDescent="0.3">
      <c r="I9246"/>
      <c r="J9246"/>
    </row>
    <row r="9247" spans="9:10" x14ac:dyDescent="0.3">
      <c r="I9247"/>
      <c r="J9247"/>
    </row>
    <row r="9248" spans="9:10" x14ac:dyDescent="0.3">
      <c r="I9248"/>
      <c r="J9248"/>
    </row>
    <row r="9249" spans="9:10" x14ac:dyDescent="0.3">
      <c r="I9249"/>
      <c r="J9249"/>
    </row>
    <row r="9250" spans="9:10" x14ac:dyDescent="0.3">
      <c r="I9250"/>
      <c r="J9250"/>
    </row>
    <row r="9251" spans="9:10" x14ac:dyDescent="0.3">
      <c r="I9251"/>
      <c r="J9251"/>
    </row>
    <row r="9252" spans="9:10" x14ac:dyDescent="0.3">
      <c r="I9252"/>
      <c r="J9252"/>
    </row>
    <row r="9253" spans="9:10" x14ac:dyDescent="0.3">
      <c r="I9253"/>
      <c r="J9253"/>
    </row>
    <row r="9254" spans="9:10" x14ac:dyDescent="0.3">
      <c r="I9254"/>
      <c r="J9254"/>
    </row>
    <row r="9255" spans="9:10" x14ac:dyDescent="0.3">
      <c r="I9255"/>
      <c r="J9255"/>
    </row>
    <row r="9256" spans="9:10" x14ac:dyDescent="0.3">
      <c r="I9256"/>
      <c r="J9256"/>
    </row>
    <row r="9257" spans="9:10" x14ac:dyDescent="0.3">
      <c r="I9257"/>
      <c r="J9257"/>
    </row>
    <row r="9258" spans="9:10" x14ac:dyDescent="0.3">
      <c r="I9258"/>
      <c r="J9258"/>
    </row>
    <row r="9259" spans="9:10" x14ac:dyDescent="0.3">
      <c r="I9259"/>
      <c r="J9259"/>
    </row>
    <row r="9260" spans="9:10" x14ac:dyDescent="0.3">
      <c r="I9260"/>
      <c r="J9260"/>
    </row>
    <row r="9261" spans="9:10" x14ac:dyDescent="0.3">
      <c r="I9261"/>
      <c r="J9261"/>
    </row>
    <row r="9262" spans="9:10" x14ac:dyDescent="0.3">
      <c r="I9262"/>
      <c r="J9262"/>
    </row>
    <row r="9263" spans="9:10" x14ac:dyDescent="0.3">
      <c r="I9263"/>
      <c r="J9263"/>
    </row>
    <row r="9264" spans="9:10" x14ac:dyDescent="0.3">
      <c r="I9264"/>
      <c r="J9264"/>
    </row>
    <row r="9265" spans="9:10" x14ac:dyDescent="0.3">
      <c r="I9265"/>
      <c r="J9265"/>
    </row>
    <row r="9266" spans="9:10" x14ac:dyDescent="0.3">
      <c r="I9266"/>
      <c r="J9266"/>
    </row>
    <row r="9267" spans="9:10" x14ac:dyDescent="0.3">
      <c r="I9267"/>
      <c r="J9267"/>
    </row>
    <row r="9268" spans="9:10" x14ac:dyDescent="0.3">
      <c r="I9268"/>
      <c r="J9268"/>
    </row>
    <row r="9269" spans="9:10" x14ac:dyDescent="0.3">
      <c r="I9269"/>
      <c r="J9269"/>
    </row>
    <row r="9270" spans="9:10" x14ac:dyDescent="0.3">
      <c r="I9270"/>
      <c r="J9270"/>
    </row>
    <row r="9271" spans="9:10" x14ac:dyDescent="0.3">
      <c r="I9271"/>
      <c r="J9271"/>
    </row>
    <row r="9272" spans="9:10" x14ac:dyDescent="0.3">
      <c r="I9272"/>
      <c r="J9272"/>
    </row>
    <row r="9273" spans="9:10" x14ac:dyDescent="0.3">
      <c r="I9273"/>
      <c r="J9273"/>
    </row>
    <row r="9274" spans="9:10" x14ac:dyDescent="0.3">
      <c r="I9274"/>
      <c r="J9274"/>
    </row>
    <row r="9275" spans="9:10" x14ac:dyDescent="0.3">
      <c r="I9275"/>
      <c r="J9275"/>
    </row>
    <row r="9276" spans="9:10" x14ac:dyDescent="0.3">
      <c r="I9276"/>
      <c r="J9276"/>
    </row>
    <row r="9277" spans="9:10" x14ac:dyDescent="0.3">
      <c r="I9277"/>
      <c r="J9277"/>
    </row>
    <row r="9278" spans="9:10" x14ac:dyDescent="0.3">
      <c r="I9278"/>
      <c r="J9278"/>
    </row>
    <row r="9279" spans="9:10" x14ac:dyDescent="0.3">
      <c r="I9279"/>
      <c r="J9279"/>
    </row>
    <row r="9280" spans="9:10" x14ac:dyDescent="0.3">
      <c r="I9280"/>
      <c r="J9280"/>
    </row>
    <row r="9281" spans="9:10" x14ac:dyDescent="0.3">
      <c r="I9281"/>
      <c r="J9281"/>
    </row>
    <row r="9282" spans="9:10" x14ac:dyDescent="0.3">
      <c r="I9282"/>
      <c r="J9282"/>
    </row>
    <row r="9283" spans="9:10" x14ac:dyDescent="0.3">
      <c r="I9283"/>
      <c r="J9283"/>
    </row>
    <row r="9284" spans="9:10" x14ac:dyDescent="0.3">
      <c r="I9284"/>
      <c r="J9284"/>
    </row>
    <row r="9285" spans="9:10" x14ac:dyDescent="0.3">
      <c r="I9285"/>
      <c r="J9285"/>
    </row>
    <row r="9286" spans="9:10" x14ac:dyDescent="0.3">
      <c r="I9286"/>
      <c r="J9286"/>
    </row>
    <row r="9287" spans="9:10" x14ac:dyDescent="0.3">
      <c r="I9287"/>
      <c r="J9287"/>
    </row>
    <row r="9288" spans="9:10" x14ac:dyDescent="0.3">
      <c r="I9288"/>
      <c r="J9288"/>
    </row>
    <row r="9289" spans="9:10" x14ac:dyDescent="0.3">
      <c r="I9289"/>
      <c r="J9289"/>
    </row>
    <row r="9290" spans="9:10" x14ac:dyDescent="0.3">
      <c r="I9290"/>
      <c r="J9290"/>
    </row>
    <row r="9291" spans="9:10" x14ac:dyDescent="0.3">
      <c r="I9291"/>
      <c r="J9291"/>
    </row>
    <row r="9292" spans="9:10" x14ac:dyDescent="0.3">
      <c r="I9292"/>
      <c r="J9292"/>
    </row>
    <row r="9293" spans="9:10" x14ac:dyDescent="0.3">
      <c r="I9293"/>
      <c r="J9293"/>
    </row>
    <row r="9294" spans="9:10" x14ac:dyDescent="0.3">
      <c r="I9294"/>
      <c r="J9294"/>
    </row>
    <row r="9295" spans="9:10" x14ac:dyDescent="0.3">
      <c r="I9295"/>
      <c r="J9295"/>
    </row>
    <row r="9296" spans="9:10" x14ac:dyDescent="0.3">
      <c r="I9296"/>
      <c r="J9296"/>
    </row>
    <row r="9297" spans="9:10" x14ac:dyDescent="0.3">
      <c r="I9297"/>
      <c r="J9297"/>
    </row>
    <row r="9298" spans="9:10" x14ac:dyDescent="0.3">
      <c r="I9298"/>
      <c r="J9298"/>
    </row>
    <row r="9299" spans="9:10" x14ac:dyDescent="0.3">
      <c r="I9299"/>
      <c r="J9299"/>
    </row>
    <row r="9300" spans="9:10" x14ac:dyDescent="0.3">
      <c r="I9300"/>
      <c r="J9300"/>
    </row>
    <row r="9301" spans="9:10" x14ac:dyDescent="0.3">
      <c r="I9301"/>
      <c r="J9301"/>
    </row>
    <row r="9302" spans="9:10" x14ac:dyDescent="0.3">
      <c r="I9302"/>
      <c r="J9302"/>
    </row>
    <row r="9303" spans="9:10" x14ac:dyDescent="0.3">
      <c r="I9303"/>
      <c r="J9303"/>
    </row>
    <row r="9304" spans="9:10" x14ac:dyDescent="0.3">
      <c r="I9304"/>
      <c r="J9304"/>
    </row>
    <row r="9305" spans="9:10" x14ac:dyDescent="0.3">
      <c r="I9305"/>
      <c r="J9305"/>
    </row>
    <row r="9306" spans="9:10" x14ac:dyDescent="0.3">
      <c r="I9306"/>
      <c r="J9306"/>
    </row>
    <row r="9307" spans="9:10" x14ac:dyDescent="0.3">
      <c r="I9307"/>
      <c r="J9307"/>
    </row>
    <row r="9308" spans="9:10" x14ac:dyDescent="0.3">
      <c r="I9308"/>
      <c r="J9308"/>
    </row>
    <row r="9309" spans="9:10" x14ac:dyDescent="0.3">
      <c r="I9309"/>
      <c r="J9309"/>
    </row>
    <row r="9310" spans="9:10" x14ac:dyDescent="0.3">
      <c r="I9310"/>
      <c r="J9310"/>
    </row>
    <row r="9311" spans="9:10" x14ac:dyDescent="0.3">
      <c r="I9311"/>
      <c r="J9311"/>
    </row>
    <row r="9312" spans="9:10" x14ac:dyDescent="0.3">
      <c r="I9312"/>
      <c r="J9312"/>
    </row>
    <row r="9313" spans="9:10" x14ac:dyDescent="0.3">
      <c r="I9313"/>
      <c r="J9313"/>
    </row>
    <row r="9314" spans="9:10" x14ac:dyDescent="0.3">
      <c r="I9314"/>
      <c r="J9314"/>
    </row>
    <row r="9315" spans="9:10" x14ac:dyDescent="0.3">
      <c r="I9315"/>
      <c r="J9315"/>
    </row>
    <row r="9316" spans="9:10" x14ac:dyDescent="0.3">
      <c r="I9316"/>
      <c r="J9316"/>
    </row>
    <row r="9317" spans="9:10" x14ac:dyDescent="0.3">
      <c r="I9317"/>
      <c r="J9317"/>
    </row>
    <row r="9318" spans="9:10" x14ac:dyDescent="0.3">
      <c r="I9318"/>
      <c r="J9318"/>
    </row>
    <row r="9319" spans="9:10" x14ac:dyDescent="0.3">
      <c r="I9319"/>
      <c r="J9319"/>
    </row>
    <row r="9320" spans="9:10" x14ac:dyDescent="0.3">
      <c r="I9320"/>
      <c r="J9320"/>
    </row>
    <row r="9321" spans="9:10" x14ac:dyDescent="0.3">
      <c r="I9321"/>
      <c r="J9321"/>
    </row>
    <row r="9322" spans="9:10" x14ac:dyDescent="0.3">
      <c r="I9322"/>
      <c r="J9322"/>
    </row>
    <row r="9323" spans="9:10" x14ac:dyDescent="0.3">
      <c r="I9323"/>
      <c r="J9323"/>
    </row>
    <row r="9324" spans="9:10" x14ac:dyDescent="0.3">
      <c r="I9324"/>
      <c r="J9324"/>
    </row>
    <row r="9325" spans="9:10" x14ac:dyDescent="0.3">
      <c r="I9325"/>
      <c r="J9325"/>
    </row>
    <row r="9326" spans="9:10" x14ac:dyDescent="0.3">
      <c r="I9326"/>
      <c r="J9326"/>
    </row>
    <row r="9327" spans="9:10" x14ac:dyDescent="0.3">
      <c r="I9327"/>
      <c r="J9327"/>
    </row>
    <row r="9328" spans="9:10" x14ac:dyDescent="0.3">
      <c r="I9328"/>
      <c r="J9328"/>
    </row>
    <row r="9329" spans="9:10" x14ac:dyDescent="0.3">
      <c r="I9329"/>
      <c r="J9329"/>
    </row>
    <row r="9330" spans="9:10" x14ac:dyDescent="0.3">
      <c r="I9330"/>
      <c r="J9330"/>
    </row>
    <row r="9331" spans="9:10" x14ac:dyDescent="0.3">
      <c r="I9331"/>
      <c r="J9331"/>
    </row>
    <row r="9332" spans="9:10" x14ac:dyDescent="0.3">
      <c r="I9332"/>
      <c r="J9332"/>
    </row>
    <row r="9333" spans="9:10" x14ac:dyDescent="0.3">
      <c r="I9333"/>
      <c r="J9333"/>
    </row>
    <row r="9334" spans="9:10" x14ac:dyDescent="0.3">
      <c r="I9334"/>
      <c r="J9334"/>
    </row>
    <row r="9335" spans="9:10" x14ac:dyDescent="0.3">
      <c r="I9335"/>
      <c r="J9335"/>
    </row>
    <row r="9336" spans="9:10" x14ac:dyDescent="0.3">
      <c r="I9336"/>
      <c r="J9336"/>
    </row>
    <row r="9337" spans="9:10" x14ac:dyDescent="0.3">
      <c r="I9337"/>
      <c r="J9337"/>
    </row>
    <row r="9338" spans="9:10" x14ac:dyDescent="0.3">
      <c r="I9338"/>
      <c r="J9338"/>
    </row>
    <row r="9339" spans="9:10" x14ac:dyDescent="0.3">
      <c r="I9339"/>
      <c r="J9339"/>
    </row>
    <row r="9340" spans="9:10" x14ac:dyDescent="0.3">
      <c r="I9340"/>
      <c r="J9340"/>
    </row>
    <row r="9341" spans="9:10" x14ac:dyDescent="0.3">
      <c r="I9341"/>
      <c r="J9341"/>
    </row>
    <row r="9342" spans="9:10" x14ac:dyDescent="0.3">
      <c r="I9342"/>
      <c r="J9342"/>
    </row>
    <row r="9343" spans="9:10" x14ac:dyDescent="0.3">
      <c r="I9343"/>
      <c r="J9343"/>
    </row>
    <row r="9344" spans="9:10" x14ac:dyDescent="0.3">
      <c r="I9344"/>
      <c r="J9344"/>
    </row>
    <row r="9345" spans="9:10" x14ac:dyDescent="0.3">
      <c r="I9345"/>
      <c r="J9345"/>
    </row>
    <row r="9346" spans="9:10" x14ac:dyDescent="0.3">
      <c r="I9346"/>
      <c r="J9346"/>
    </row>
    <row r="9347" spans="9:10" x14ac:dyDescent="0.3">
      <c r="I9347"/>
      <c r="J9347"/>
    </row>
    <row r="9348" spans="9:10" x14ac:dyDescent="0.3">
      <c r="I9348"/>
      <c r="J9348"/>
    </row>
    <row r="9349" spans="9:10" x14ac:dyDescent="0.3">
      <c r="I9349"/>
      <c r="J9349"/>
    </row>
    <row r="9350" spans="9:10" x14ac:dyDescent="0.3">
      <c r="I9350"/>
      <c r="J9350"/>
    </row>
    <row r="9351" spans="9:10" x14ac:dyDescent="0.3">
      <c r="I9351"/>
      <c r="J9351"/>
    </row>
    <row r="9352" spans="9:10" x14ac:dyDescent="0.3">
      <c r="I9352"/>
      <c r="J9352"/>
    </row>
    <row r="9353" spans="9:10" x14ac:dyDescent="0.3">
      <c r="I9353"/>
      <c r="J9353"/>
    </row>
    <row r="9354" spans="9:10" x14ac:dyDescent="0.3">
      <c r="I9354"/>
      <c r="J9354"/>
    </row>
    <row r="9355" spans="9:10" x14ac:dyDescent="0.3">
      <c r="I9355"/>
      <c r="J9355"/>
    </row>
    <row r="9356" spans="9:10" x14ac:dyDescent="0.3">
      <c r="I9356"/>
      <c r="J9356"/>
    </row>
    <row r="9357" spans="9:10" x14ac:dyDescent="0.3">
      <c r="I9357"/>
      <c r="J9357"/>
    </row>
    <row r="9358" spans="9:10" x14ac:dyDescent="0.3">
      <c r="I9358"/>
      <c r="J9358"/>
    </row>
    <row r="9359" spans="9:10" x14ac:dyDescent="0.3">
      <c r="I9359"/>
      <c r="J9359"/>
    </row>
    <row r="9360" spans="9:10" x14ac:dyDescent="0.3">
      <c r="I9360"/>
      <c r="J9360"/>
    </row>
    <row r="9361" spans="9:10" x14ac:dyDescent="0.3">
      <c r="I9361"/>
      <c r="J9361"/>
    </row>
    <row r="9362" spans="9:10" x14ac:dyDescent="0.3">
      <c r="I9362"/>
      <c r="J9362"/>
    </row>
    <row r="9363" spans="9:10" x14ac:dyDescent="0.3">
      <c r="I9363"/>
      <c r="J9363"/>
    </row>
    <row r="9364" spans="9:10" x14ac:dyDescent="0.3">
      <c r="I9364"/>
      <c r="J9364"/>
    </row>
    <row r="9365" spans="9:10" x14ac:dyDescent="0.3">
      <c r="I9365"/>
      <c r="J9365"/>
    </row>
    <row r="9366" spans="9:10" x14ac:dyDescent="0.3">
      <c r="I9366"/>
      <c r="J9366"/>
    </row>
    <row r="9367" spans="9:10" x14ac:dyDescent="0.3">
      <c r="I9367"/>
      <c r="J9367"/>
    </row>
    <row r="9368" spans="9:10" x14ac:dyDescent="0.3">
      <c r="I9368"/>
      <c r="J9368"/>
    </row>
    <row r="9369" spans="9:10" x14ac:dyDescent="0.3">
      <c r="I9369"/>
      <c r="J9369"/>
    </row>
    <row r="9370" spans="9:10" x14ac:dyDescent="0.3">
      <c r="I9370"/>
      <c r="J9370"/>
    </row>
    <row r="9371" spans="9:10" x14ac:dyDescent="0.3">
      <c r="I9371"/>
      <c r="J9371"/>
    </row>
    <row r="9372" spans="9:10" x14ac:dyDescent="0.3">
      <c r="I9372"/>
      <c r="J9372"/>
    </row>
    <row r="9373" spans="9:10" x14ac:dyDescent="0.3">
      <c r="I9373"/>
      <c r="J9373"/>
    </row>
    <row r="9374" spans="9:10" x14ac:dyDescent="0.3">
      <c r="I9374"/>
      <c r="J9374"/>
    </row>
    <row r="9375" spans="9:10" x14ac:dyDescent="0.3">
      <c r="I9375"/>
      <c r="J9375"/>
    </row>
    <row r="9376" spans="9:10" x14ac:dyDescent="0.3">
      <c r="I9376"/>
      <c r="J9376"/>
    </row>
    <row r="9377" spans="9:10" x14ac:dyDescent="0.3">
      <c r="I9377"/>
      <c r="J9377"/>
    </row>
    <row r="9378" spans="9:10" x14ac:dyDescent="0.3">
      <c r="I9378"/>
      <c r="J9378"/>
    </row>
    <row r="9379" spans="9:10" x14ac:dyDescent="0.3">
      <c r="I9379"/>
      <c r="J9379"/>
    </row>
    <row r="9380" spans="9:10" x14ac:dyDescent="0.3">
      <c r="I9380"/>
      <c r="J9380"/>
    </row>
    <row r="9381" spans="9:10" x14ac:dyDescent="0.3">
      <c r="I9381"/>
      <c r="J9381"/>
    </row>
    <row r="9382" spans="9:10" x14ac:dyDescent="0.3">
      <c r="I9382"/>
      <c r="J9382"/>
    </row>
    <row r="9383" spans="9:10" x14ac:dyDescent="0.3">
      <c r="I9383"/>
      <c r="J9383"/>
    </row>
    <row r="9384" spans="9:10" x14ac:dyDescent="0.3">
      <c r="I9384"/>
      <c r="J9384"/>
    </row>
    <row r="9385" spans="9:10" x14ac:dyDescent="0.3">
      <c r="I9385"/>
      <c r="J9385"/>
    </row>
    <row r="9386" spans="9:10" x14ac:dyDescent="0.3">
      <c r="I9386"/>
      <c r="J9386"/>
    </row>
    <row r="9387" spans="9:10" x14ac:dyDescent="0.3">
      <c r="I9387"/>
      <c r="J9387"/>
    </row>
    <row r="9388" spans="9:10" x14ac:dyDescent="0.3">
      <c r="I9388"/>
      <c r="J9388"/>
    </row>
    <row r="9389" spans="9:10" x14ac:dyDescent="0.3">
      <c r="I9389"/>
      <c r="J9389"/>
    </row>
    <row r="9390" spans="9:10" x14ac:dyDescent="0.3">
      <c r="I9390"/>
      <c r="J9390"/>
    </row>
    <row r="9391" spans="9:10" x14ac:dyDescent="0.3">
      <c r="I9391"/>
      <c r="J9391"/>
    </row>
    <row r="9392" spans="9:10" x14ac:dyDescent="0.3">
      <c r="I9392"/>
      <c r="J9392"/>
    </row>
    <row r="9393" spans="9:10" x14ac:dyDescent="0.3">
      <c r="I9393"/>
      <c r="J9393"/>
    </row>
    <row r="9394" spans="9:10" x14ac:dyDescent="0.3">
      <c r="I9394"/>
      <c r="J9394"/>
    </row>
    <row r="9395" spans="9:10" x14ac:dyDescent="0.3">
      <c r="I9395"/>
      <c r="J9395"/>
    </row>
    <row r="9396" spans="9:10" x14ac:dyDescent="0.3">
      <c r="I9396"/>
      <c r="J9396"/>
    </row>
    <row r="9397" spans="9:10" x14ac:dyDescent="0.3">
      <c r="I9397"/>
      <c r="J9397"/>
    </row>
    <row r="9398" spans="9:10" x14ac:dyDescent="0.3">
      <c r="I9398"/>
      <c r="J9398"/>
    </row>
    <row r="9399" spans="9:10" x14ac:dyDescent="0.3">
      <c r="I9399"/>
      <c r="J9399"/>
    </row>
    <row r="9400" spans="9:10" x14ac:dyDescent="0.3">
      <c r="I9400"/>
      <c r="J9400"/>
    </row>
    <row r="9401" spans="9:10" x14ac:dyDescent="0.3">
      <c r="I9401"/>
      <c r="J9401"/>
    </row>
    <row r="9402" spans="9:10" x14ac:dyDescent="0.3">
      <c r="I9402"/>
      <c r="J9402"/>
    </row>
    <row r="9403" spans="9:10" x14ac:dyDescent="0.3">
      <c r="I9403"/>
      <c r="J9403"/>
    </row>
    <row r="9404" spans="9:10" x14ac:dyDescent="0.3">
      <c r="I9404"/>
      <c r="J9404"/>
    </row>
    <row r="9405" spans="9:10" x14ac:dyDescent="0.3">
      <c r="I9405"/>
      <c r="J9405"/>
    </row>
    <row r="9406" spans="9:10" x14ac:dyDescent="0.3">
      <c r="I9406"/>
      <c r="J9406"/>
    </row>
    <row r="9407" spans="9:10" x14ac:dyDescent="0.3">
      <c r="I9407"/>
      <c r="J9407"/>
    </row>
    <row r="9408" spans="9:10" x14ac:dyDescent="0.3">
      <c r="I9408"/>
      <c r="J9408"/>
    </row>
    <row r="9409" spans="9:10" x14ac:dyDescent="0.3">
      <c r="I9409"/>
      <c r="J9409"/>
    </row>
    <row r="9410" spans="9:10" x14ac:dyDescent="0.3">
      <c r="I9410"/>
      <c r="J9410"/>
    </row>
    <row r="9411" spans="9:10" x14ac:dyDescent="0.3">
      <c r="I9411"/>
      <c r="J9411"/>
    </row>
    <row r="9412" spans="9:10" x14ac:dyDescent="0.3">
      <c r="I9412"/>
      <c r="J9412"/>
    </row>
    <row r="9413" spans="9:10" x14ac:dyDescent="0.3">
      <c r="I9413"/>
      <c r="J9413"/>
    </row>
    <row r="9414" spans="9:10" x14ac:dyDescent="0.3">
      <c r="I9414"/>
      <c r="J9414"/>
    </row>
    <row r="9415" spans="9:10" x14ac:dyDescent="0.3">
      <c r="I9415"/>
      <c r="J9415"/>
    </row>
    <row r="9416" spans="9:10" x14ac:dyDescent="0.3">
      <c r="I9416"/>
      <c r="J9416"/>
    </row>
    <row r="9417" spans="9:10" x14ac:dyDescent="0.3">
      <c r="I9417"/>
      <c r="J9417"/>
    </row>
    <row r="9418" spans="9:10" x14ac:dyDescent="0.3">
      <c r="I9418"/>
      <c r="J9418"/>
    </row>
    <row r="9419" spans="9:10" x14ac:dyDescent="0.3">
      <c r="I9419"/>
      <c r="J9419"/>
    </row>
    <row r="9420" spans="9:10" x14ac:dyDescent="0.3">
      <c r="I9420"/>
      <c r="J9420"/>
    </row>
    <row r="9421" spans="9:10" x14ac:dyDescent="0.3">
      <c r="I9421"/>
      <c r="J9421"/>
    </row>
    <row r="9422" spans="9:10" x14ac:dyDescent="0.3">
      <c r="I9422"/>
      <c r="J9422"/>
    </row>
    <row r="9423" spans="9:10" x14ac:dyDescent="0.3">
      <c r="I9423"/>
      <c r="J9423"/>
    </row>
    <row r="9424" spans="9:10" x14ac:dyDescent="0.3">
      <c r="I9424"/>
      <c r="J9424"/>
    </row>
    <row r="9425" spans="9:10" x14ac:dyDescent="0.3">
      <c r="I9425"/>
      <c r="J9425"/>
    </row>
    <row r="9426" spans="9:10" x14ac:dyDescent="0.3">
      <c r="I9426"/>
      <c r="J9426"/>
    </row>
    <row r="9427" spans="9:10" x14ac:dyDescent="0.3">
      <c r="I9427"/>
      <c r="J9427"/>
    </row>
    <row r="9428" spans="9:10" x14ac:dyDescent="0.3">
      <c r="I9428"/>
      <c r="J9428"/>
    </row>
    <row r="9429" spans="9:10" x14ac:dyDescent="0.3">
      <c r="I9429"/>
      <c r="J9429"/>
    </row>
    <row r="9430" spans="9:10" x14ac:dyDescent="0.3">
      <c r="I9430"/>
      <c r="J9430"/>
    </row>
    <row r="9431" spans="9:10" x14ac:dyDescent="0.3">
      <c r="I9431"/>
      <c r="J9431"/>
    </row>
    <row r="9432" spans="9:10" x14ac:dyDescent="0.3">
      <c r="I9432"/>
      <c r="J9432"/>
    </row>
    <row r="9433" spans="9:10" x14ac:dyDescent="0.3">
      <c r="I9433"/>
      <c r="J9433"/>
    </row>
    <row r="9434" spans="9:10" x14ac:dyDescent="0.3">
      <c r="I9434"/>
      <c r="J9434"/>
    </row>
    <row r="9435" spans="9:10" x14ac:dyDescent="0.3">
      <c r="I9435"/>
      <c r="J9435"/>
    </row>
    <row r="9436" spans="9:10" x14ac:dyDescent="0.3">
      <c r="I9436"/>
      <c r="J9436"/>
    </row>
    <row r="9437" spans="9:10" x14ac:dyDescent="0.3">
      <c r="I9437"/>
      <c r="J9437"/>
    </row>
    <row r="9438" spans="9:10" x14ac:dyDescent="0.3">
      <c r="I9438"/>
      <c r="J9438"/>
    </row>
    <row r="9439" spans="9:10" x14ac:dyDescent="0.3">
      <c r="I9439"/>
      <c r="J9439"/>
    </row>
    <row r="9440" spans="9:10" x14ac:dyDescent="0.3">
      <c r="I9440"/>
      <c r="J9440"/>
    </row>
    <row r="9441" spans="9:10" x14ac:dyDescent="0.3">
      <c r="I9441"/>
      <c r="J9441"/>
    </row>
    <row r="9442" spans="9:10" x14ac:dyDescent="0.3">
      <c r="I9442"/>
      <c r="J9442"/>
    </row>
    <row r="9443" spans="9:10" x14ac:dyDescent="0.3">
      <c r="I9443"/>
      <c r="J9443"/>
    </row>
    <row r="9444" spans="9:10" x14ac:dyDescent="0.3">
      <c r="I9444"/>
      <c r="J9444"/>
    </row>
    <row r="9445" spans="9:10" x14ac:dyDescent="0.3">
      <c r="I9445"/>
      <c r="J9445"/>
    </row>
    <row r="9446" spans="9:10" x14ac:dyDescent="0.3">
      <c r="I9446"/>
      <c r="J9446"/>
    </row>
    <row r="9447" spans="9:10" x14ac:dyDescent="0.3">
      <c r="I9447"/>
      <c r="J9447"/>
    </row>
    <row r="9448" spans="9:10" x14ac:dyDescent="0.3">
      <c r="I9448"/>
      <c r="J9448"/>
    </row>
    <row r="9449" spans="9:10" x14ac:dyDescent="0.3">
      <c r="I9449"/>
      <c r="J9449"/>
    </row>
    <row r="9450" spans="9:10" x14ac:dyDescent="0.3">
      <c r="I9450"/>
      <c r="J9450"/>
    </row>
    <row r="9451" spans="9:10" x14ac:dyDescent="0.3">
      <c r="I9451"/>
      <c r="J9451"/>
    </row>
    <row r="9452" spans="9:10" x14ac:dyDescent="0.3">
      <c r="I9452"/>
      <c r="J9452"/>
    </row>
    <row r="9453" spans="9:10" x14ac:dyDescent="0.3">
      <c r="I9453"/>
      <c r="J9453"/>
    </row>
    <row r="9454" spans="9:10" x14ac:dyDescent="0.3">
      <c r="I9454"/>
      <c r="J9454"/>
    </row>
    <row r="9455" spans="9:10" x14ac:dyDescent="0.3">
      <c r="I9455"/>
      <c r="J9455"/>
    </row>
    <row r="9456" spans="9:10" x14ac:dyDescent="0.3">
      <c r="I9456"/>
      <c r="J9456"/>
    </row>
    <row r="9457" spans="9:10" x14ac:dyDescent="0.3">
      <c r="I9457"/>
      <c r="J9457"/>
    </row>
    <row r="9458" spans="9:10" x14ac:dyDescent="0.3">
      <c r="I9458"/>
      <c r="J9458"/>
    </row>
    <row r="9459" spans="9:10" x14ac:dyDescent="0.3">
      <c r="I9459"/>
      <c r="J9459"/>
    </row>
    <row r="9460" spans="9:10" x14ac:dyDescent="0.3">
      <c r="I9460"/>
      <c r="J9460"/>
    </row>
    <row r="9461" spans="9:10" x14ac:dyDescent="0.3">
      <c r="I9461"/>
      <c r="J9461"/>
    </row>
    <row r="9462" spans="9:10" x14ac:dyDescent="0.3">
      <c r="I9462"/>
      <c r="J9462"/>
    </row>
    <row r="9463" spans="9:10" x14ac:dyDescent="0.3">
      <c r="I9463"/>
      <c r="J9463"/>
    </row>
    <row r="9464" spans="9:10" x14ac:dyDescent="0.3">
      <c r="I9464"/>
      <c r="J9464"/>
    </row>
    <row r="9465" spans="9:10" x14ac:dyDescent="0.3">
      <c r="I9465"/>
      <c r="J9465"/>
    </row>
    <row r="9466" spans="9:10" x14ac:dyDescent="0.3">
      <c r="I9466"/>
      <c r="J9466"/>
    </row>
    <row r="9467" spans="9:10" x14ac:dyDescent="0.3">
      <c r="I9467"/>
      <c r="J9467"/>
    </row>
    <row r="9468" spans="9:10" x14ac:dyDescent="0.3">
      <c r="I9468"/>
      <c r="J9468"/>
    </row>
    <row r="9469" spans="9:10" x14ac:dyDescent="0.3">
      <c r="I9469"/>
      <c r="J9469"/>
    </row>
    <row r="9470" spans="9:10" x14ac:dyDescent="0.3">
      <c r="I9470"/>
      <c r="J9470"/>
    </row>
    <row r="9471" spans="9:10" x14ac:dyDescent="0.3">
      <c r="I9471"/>
      <c r="J9471"/>
    </row>
    <row r="9472" spans="9:10" x14ac:dyDescent="0.3">
      <c r="I9472"/>
      <c r="J9472"/>
    </row>
    <row r="9473" spans="9:10" x14ac:dyDescent="0.3">
      <c r="I9473"/>
      <c r="J9473"/>
    </row>
    <row r="9474" spans="9:10" x14ac:dyDescent="0.3">
      <c r="I9474"/>
      <c r="J9474"/>
    </row>
    <row r="9475" spans="9:10" x14ac:dyDescent="0.3">
      <c r="I9475"/>
      <c r="J9475"/>
    </row>
    <row r="9476" spans="9:10" x14ac:dyDescent="0.3">
      <c r="I9476"/>
      <c r="J9476"/>
    </row>
    <row r="9477" spans="9:10" x14ac:dyDescent="0.3">
      <c r="I9477"/>
      <c r="J9477"/>
    </row>
    <row r="9478" spans="9:10" x14ac:dyDescent="0.3">
      <c r="I9478"/>
      <c r="J9478"/>
    </row>
    <row r="9479" spans="9:10" x14ac:dyDescent="0.3">
      <c r="I9479"/>
      <c r="J9479"/>
    </row>
    <row r="9480" spans="9:10" x14ac:dyDescent="0.3">
      <c r="I9480"/>
      <c r="J9480"/>
    </row>
    <row r="9481" spans="9:10" x14ac:dyDescent="0.3">
      <c r="I9481"/>
      <c r="J9481"/>
    </row>
    <row r="9482" spans="9:10" x14ac:dyDescent="0.3">
      <c r="I9482"/>
      <c r="J9482"/>
    </row>
    <row r="9483" spans="9:10" x14ac:dyDescent="0.3">
      <c r="I9483"/>
      <c r="J9483"/>
    </row>
    <row r="9484" spans="9:10" x14ac:dyDescent="0.3">
      <c r="I9484"/>
      <c r="J9484"/>
    </row>
    <row r="9485" spans="9:10" x14ac:dyDescent="0.3">
      <c r="I9485"/>
      <c r="J9485"/>
    </row>
    <row r="9486" spans="9:10" x14ac:dyDescent="0.3">
      <c r="I9486"/>
      <c r="J9486"/>
    </row>
    <row r="9487" spans="9:10" x14ac:dyDescent="0.3">
      <c r="I9487"/>
      <c r="J9487"/>
    </row>
    <row r="9488" spans="9:10" x14ac:dyDescent="0.3">
      <c r="I9488"/>
      <c r="J9488"/>
    </row>
    <row r="9489" spans="9:10" x14ac:dyDescent="0.3">
      <c r="I9489"/>
      <c r="J9489"/>
    </row>
    <row r="9490" spans="9:10" x14ac:dyDescent="0.3">
      <c r="I9490"/>
      <c r="J9490"/>
    </row>
    <row r="9491" spans="9:10" x14ac:dyDescent="0.3">
      <c r="I9491"/>
      <c r="J9491"/>
    </row>
    <row r="9492" spans="9:10" x14ac:dyDescent="0.3">
      <c r="I9492"/>
      <c r="J9492"/>
    </row>
    <row r="9493" spans="9:10" x14ac:dyDescent="0.3">
      <c r="I9493"/>
      <c r="J9493"/>
    </row>
    <row r="9494" spans="9:10" x14ac:dyDescent="0.3">
      <c r="I9494"/>
      <c r="J9494"/>
    </row>
    <row r="9495" spans="9:10" x14ac:dyDescent="0.3">
      <c r="I9495"/>
      <c r="J9495"/>
    </row>
    <row r="9496" spans="9:10" x14ac:dyDescent="0.3">
      <c r="I9496"/>
      <c r="J9496"/>
    </row>
    <row r="9497" spans="9:10" x14ac:dyDescent="0.3">
      <c r="I9497"/>
      <c r="J9497"/>
    </row>
    <row r="9498" spans="9:10" x14ac:dyDescent="0.3">
      <c r="I9498"/>
      <c r="J9498"/>
    </row>
    <row r="9499" spans="9:10" x14ac:dyDescent="0.3">
      <c r="I9499"/>
      <c r="J9499"/>
    </row>
    <row r="9500" spans="9:10" x14ac:dyDescent="0.3">
      <c r="I9500"/>
      <c r="J9500"/>
    </row>
    <row r="9501" spans="9:10" x14ac:dyDescent="0.3">
      <c r="I9501"/>
      <c r="J9501"/>
    </row>
    <row r="9502" spans="9:10" x14ac:dyDescent="0.3">
      <c r="I9502"/>
      <c r="J9502"/>
    </row>
    <row r="9503" spans="9:10" x14ac:dyDescent="0.3">
      <c r="I9503"/>
      <c r="J9503"/>
    </row>
    <row r="9504" spans="9:10" x14ac:dyDescent="0.3">
      <c r="I9504"/>
      <c r="J9504"/>
    </row>
    <row r="9505" spans="9:10" x14ac:dyDescent="0.3">
      <c r="I9505"/>
      <c r="J9505"/>
    </row>
    <row r="9506" spans="9:10" x14ac:dyDescent="0.3">
      <c r="I9506"/>
      <c r="J9506"/>
    </row>
    <row r="9507" spans="9:10" x14ac:dyDescent="0.3">
      <c r="I9507"/>
      <c r="J9507"/>
    </row>
    <row r="9508" spans="9:10" x14ac:dyDescent="0.3">
      <c r="I9508"/>
      <c r="J9508"/>
    </row>
    <row r="9509" spans="9:10" x14ac:dyDescent="0.3">
      <c r="I9509"/>
      <c r="J9509"/>
    </row>
    <row r="9510" spans="9:10" x14ac:dyDescent="0.3">
      <c r="I9510"/>
      <c r="J9510"/>
    </row>
    <row r="9511" spans="9:10" x14ac:dyDescent="0.3">
      <c r="I9511"/>
      <c r="J9511"/>
    </row>
    <row r="9512" spans="9:10" x14ac:dyDescent="0.3">
      <c r="I9512"/>
      <c r="J9512"/>
    </row>
    <row r="9513" spans="9:10" x14ac:dyDescent="0.3">
      <c r="I9513"/>
      <c r="J9513"/>
    </row>
    <row r="9514" spans="9:10" x14ac:dyDescent="0.3">
      <c r="I9514"/>
      <c r="J9514"/>
    </row>
    <row r="9515" spans="9:10" x14ac:dyDescent="0.3">
      <c r="I9515"/>
      <c r="J9515"/>
    </row>
    <row r="9516" spans="9:10" x14ac:dyDescent="0.3">
      <c r="I9516"/>
      <c r="J9516"/>
    </row>
    <row r="9517" spans="9:10" x14ac:dyDescent="0.3">
      <c r="I9517"/>
      <c r="J9517"/>
    </row>
    <row r="9518" spans="9:10" x14ac:dyDescent="0.3">
      <c r="I9518"/>
      <c r="J9518"/>
    </row>
    <row r="9519" spans="9:10" x14ac:dyDescent="0.3">
      <c r="I9519"/>
      <c r="J9519"/>
    </row>
    <row r="9520" spans="9:10" x14ac:dyDescent="0.3">
      <c r="I9520"/>
      <c r="J9520"/>
    </row>
    <row r="9521" spans="9:10" x14ac:dyDescent="0.3">
      <c r="I9521"/>
      <c r="J9521"/>
    </row>
    <row r="9522" spans="9:10" x14ac:dyDescent="0.3">
      <c r="I9522"/>
      <c r="J9522"/>
    </row>
    <row r="9523" spans="9:10" x14ac:dyDescent="0.3">
      <c r="I9523"/>
      <c r="J9523"/>
    </row>
    <row r="9524" spans="9:10" x14ac:dyDescent="0.3">
      <c r="I9524"/>
      <c r="J9524"/>
    </row>
    <row r="9525" spans="9:10" x14ac:dyDescent="0.3">
      <c r="I9525"/>
      <c r="J9525"/>
    </row>
    <row r="9526" spans="9:10" x14ac:dyDescent="0.3">
      <c r="I9526"/>
      <c r="J9526"/>
    </row>
    <row r="9527" spans="9:10" x14ac:dyDescent="0.3">
      <c r="I9527"/>
      <c r="J9527"/>
    </row>
    <row r="9528" spans="9:10" x14ac:dyDescent="0.3">
      <c r="I9528"/>
      <c r="J9528"/>
    </row>
    <row r="9529" spans="9:10" x14ac:dyDescent="0.3">
      <c r="I9529"/>
      <c r="J9529"/>
    </row>
    <row r="9530" spans="9:10" x14ac:dyDescent="0.3">
      <c r="I9530"/>
      <c r="J9530"/>
    </row>
    <row r="9531" spans="9:10" x14ac:dyDescent="0.3">
      <c r="I9531"/>
      <c r="J9531"/>
    </row>
    <row r="9532" spans="9:10" x14ac:dyDescent="0.3">
      <c r="I9532"/>
      <c r="J9532"/>
    </row>
    <row r="9533" spans="9:10" x14ac:dyDescent="0.3">
      <c r="I9533"/>
      <c r="J9533"/>
    </row>
    <row r="9534" spans="9:10" x14ac:dyDescent="0.3">
      <c r="I9534"/>
      <c r="J9534"/>
    </row>
    <row r="9535" spans="9:10" x14ac:dyDescent="0.3">
      <c r="I9535"/>
      <c r="J9535"/>
    </row>
    <row r="9536" spans="9:10" x14ac:dyDescent="0.3">
      <c r="I9536"/>
      <c r="J9536"/>
    </row>
    <row r="9537" spans="9:10" x14ac:dyDescent="0.3">
      <c r="I9537"/>
      <c r="J9537"/>
    </row>
    <row r="9538" spans="9:10" x14ac:dyDescent="0.3">
      <c r="I9538"/>
      <c r="J9538"/>
    </row>
    <row r="9539" spans="9:10" x14ac:dyDescent="0.3">
      <c r="I9539"/>
      <c r="J9539"/>
    </row>
    <row r="9540" spans="9:10" x14ac:dyDescent="0.3">
      <c r="I9540"/>
      <c r="J9540"/>
    </row>
    <row r="9541" spans="9:10" x14ac:dyDescent="0.3">
      <c r="I9541"/>
      <c r="J9541"/>
    </row>
    <row r="9542" spans="9:10" x14ac:dyDescent="0.3">
      <c r="I9542"/>
      <c r="J9542"/>
    </row>
    <row r="9543" spans="9:10" x14ac:dyDescent="0.3">
      <c r="I9543"/>
      <c r="J9543"/>
    </row>
    <row r="9544" spans="9:10" x14ac:dyDescent="0.3">
      <c r="I9544"/>
      <c r="J9544"/>
    </row>
    <row r="9545" spans="9:10" x14ac:dyDescent="0.3">
      <c r="I9545"/>
      <c r="J9545"/>
    </row>
    <row r="9546" spans="9:10" x14ac:dyDescent="0.3">
      <c r="I9546"/>
      <c r="J9546"/>
    </row>
    <row r="9547" spans="9:10" x14ac:dyDescent="0.3">
      <c r="I9547"/>
      <c r="J9547"/>
    </row>
    <row r="9548" spans="9:10" x14ac:dyDescent="0.3">
      <c r="I9548"/>
      <c r="J9548"/>
    </row>
    <row r="9549" spans="9:10" x14ac:dyDescent="0.3">
      <c r="I9549"/>
      <c r="J9549"/>
    </row>
    <row r="9550" spans="9:10" x14ac:dyDescent="0.3">
      <c r="I9550"/>
      <c r="J9550"/>
    </row>
    <row r="9551" spans="9:10" x14ac:dyDescent="0.3">
      <c r="I9551"/>
      <c r="J9551"/>
    </row>
    <row r="9552" spans="9:10" x14ac:dyDescent="0.3">
      <c r="I9552"/>
      <c r="J9552"/>
    </row>
    <row r="9553" spans="9:10" x14ac:dyDescent="0.3">
      <c r="I9553"/>
      <c r="J9553"/>
    </row>
    <row r="9554" spans="9:10" x14ac:dyDescent="0.3">
      <c r="I9554"/>
      <c r="J9554"/>
    </row>
    <row r="9555" spans="9:10" x14ac:dyDescent="0.3">
      <c r="I9555"/>
      <c r="J9555"/>
    </row>
    <row r="9556" spans="9:10" x14ac:dyDescent="0.3">
      <c r="I9556"/>
      <c r="J9556"/>
    </row>
    <row r="9557" spans="9:10" x14ac:dyDescent="0.3">
      <c r="I9557"/>
      <c r="J9557"/>
    </row>
    <row r="9558" spans="9:10" x14ac:dyDescent="0.3">
      <c r="I9558"/>
      <c r="J9558"/>
    </row>
    <row r="9559" spans="9:10" x14ac:dyDescent="0.3">
      <c r="I9559"/>
      <c r="J9559"/>
    </row>
    <row r="9560" spans="9:10" x14ac:dyDescent="0.3">
      <c r="I9560"/>
      <c r="J9560"/>
    </row>
    <row r="9561" spans="9:10" x14ac:dyDescent="0.3">
      <c r="I9561"/>
      <c r="J9561"/>
    </row>
    <row r="9562" spans="9:10" x14ac:dyDescent="0.3">
      <c r="I9562"/>
      <c r="J9562"/>
    </row>
    <row r="9563" spans="9:10" x14ac:dyDescent="0.3">
      <c r="I9563"/>
      <c r="J9563"/>
    </row>
    <row r="9564" spans="9:10" x14ac:dyDescent="0.3">
      <c r="I9564"/>
      <c r="J9564"/>
    </row>
    <row r="9565" spans="9:10" x14ac:dyDescent="0.3">
      <c r="I9565"/>
      <c r="J9565"/>
    </row>
    <row r="9566" spans="9:10" x14ac:dyDescent="0.3">
      <c r="I9566"/>
      <c r="J9566"/>
    </row>
    <row r="9567" spans="9:10" x14ac:dyDescent="0.3">
      <c r="I9567"/>
      <c r="J9567"/>
    </row>
    <row r="9568" spans="9:10" x14ac:dyDescent="0.3">
      <c r="I9568"/>
      <c r="J9568"/>
    </row>
    <row r="9569" spans="9:10" x14ac:dyDescent="0.3">
      <c r="I9569"/>
      <c r="J9569"/>
    </row>
    <row r="9570" spans="9:10" x14ac:dyDescent="0.3">
      <c r="I9570"/>
      <c r="J9570"/>
    </row>
    <row r="9571" spans="9:10" x14ac:dyDescent="0.3">
      <c r="I9571"/>
      <c r="J9571"/>
    </row>
    <row r="9572" spans="9:10" x14ac:dyDescent="0.3">
      <c r="I9572"/>
      <c r="J9572"/>
    </row>
    <row r="9573" spans="9:10" x14ac:dyDescent="0.3">
      <c r="I9573"/>
      <c r="J9573"/>
    </row>
    <row r="9574" spans="9:10" x14ac:dyDescent="0.3">
      <c r="I9574"/>
      <c r="J9574"/>
    </row>
    <row r="9575" spans="9:10" x14ac:dyDescent="0.3">
      <c r="I9575"/>
      <c r="J9575"/>
    </row>
    <row r="9576" spans="9:10" x14ac:dyDescent="0.3">
      <c r="I9576"/>
      <c r="J9576"/>
    </row>
    <row r="9577" spans="9:10" x14ac:dyDescent="0.3">
      <c r="I9577"/>
      <c r="J9577"/>
    </row>
    <row r="9578" spans="9:10" x14ac:dyDescent="0.3">
      <c r="I9578"/>
      <c r="J9578"/>
    </row>
    <row r="9579" spans="9:10" x14ac:dyDescent="0.3">
      <c r="I9579"/>
      <c r="J9579"/>
    </row>
    <row r="9580" spans="9:10" x14ac:dyDescent="0.3">
      <c r="I9580"/>
      <c r="J9580"/>
    </row>
    <row r="9581" spans="9:10" x14ac:dyDescent="0.3">
      <c r="I9581"/>
      <c r="J9581"/>
    </row>
    <row r="9582" spans="9:10" x14ac:dyDescent="0.3">
      <c r="I9582"/>
      <c r="J9582"/>
    </row>
    <row r="9583" spans="9:10" x14ac:dyDescent="0.3">
      <c r="I9583"/>
      <c r="J9583"/>
    </row>
    <row r="9584" spans="9:10" x14ac:dyDescent="0.3">
      <c r="I9584"/>
      <c r="J9584"/>
    </row>
    <row r="9585" spans="9:10" x14ac:dyDescent="0.3">
      <c r="I9585"/>
      <c r="J9585"/>
    </row>
    <row r="9586" spans="9:10" x14ac:dyDescent="0.3">
      <c r="I9586"/>
      <c r="J9586"/>
    </row>
    <row r="9587" spans="9:10" x14ac:dyDescent="0.3">
      <c r="I9587"/>
      <c r="J9587"/>
    </row>
    <row r="9588" spans="9:10" x14ac:dyDescent="0.3">
      <c r="I9588"/>
      <c r="J9588"/>
    </row>
    <row r="9589" spans="9:10" x14ac:dyDescent="0.3">
      <c r="I9589"/>
      <c r="J9589"/>
    </row>
    <row r="9590" spans="9:10" x14ac:dyDescent="0.3">
      <c r="I9590"/>
      <c r="J9590"/>
    </row>
    <row r="9591" spans="9:10" x14ac:dyDescent="0.3">
      <c r="I9591"/>
      <c r="J9591"/>
    </row>
    <row r="9592" spans="9:10" x14ac:dyDescent="0.3">
      <c r="I9592"/>
      <c r="J9592"/>
    </row>
    <row r="9593" spans="9:10" x14ac:dyDescent="0.3">
      <c r="I9593"/>
      <c r="J9593"/>
    </row>
    <row r="9594" spans="9:10" x14ac:dyDescent="0.3">
      <c r="I9594"/>
      <c r="J9594"/>
    </row>
    <row r="9595" spans="9:10" x14ac:dyDescent="0.3">
      <c r="I9595"/>
      <c r="J9595"/>
    </row>
    <row r="9596" spans="9:10" x14ac:dyDescent="0.3">
      <c r="I9596"/>
      <c r="J9596"/>
    </row>
    <row r="9597" spans="9:10" x14ac:dyDescent="0.3">
      <c r="I9597"/>
      <c r="J9597"/>
    </row>
    <row r="9598" spans="9:10" x14ac:dyDescent="0.3">
      <c r="I9598"/>
      <c r="J9598"/>
    </row>
    <row r="9599" spans="9:10" x14ac:dyDescent="0.3">
      <c r="I9599"/>
      <c r="J9599"/>
    </row>
    <row r="9600" spans="9:10" x14ac:dyDescent="0.3">
      <c r="I9600"/>
      <c r="J9600"/>
    </row>
    <row r="9601" spans="9:10" x14ac:dyDescent="0.3">
      <c r="I9601"/>
      <c r="J9601"/>
    </row>
    <row r="9602" spans="9:10" x14ac:dyDescent="0.3">
      <c r="I9602"/>
      <c r="J9602"/>
    </row>
    <row r="9603" spans="9:10" x14ac:dyDescent="0.3">
      <c r="I9603"/>
      <c r="J9603"/>
    </row>
    <row r="9604" spans="9:10" x14ac:dyDescent="0.3">
      <c r="I9604"/>
      <c r="J9604"/>
    </row>
    <row r="9605" spans="9:10" x14ac:dyDescent="0.3">
      <c r="I9605"/>
      <c r="J9605"/>
    </row>
    <row r="9606" spans="9:10" x14ac:dyDescent="0.3">
      <c r="I9606"/>
      <c r="J9606"/>
    </row>
    <row r="9607" spans="9:10" x14ac:dyDescent="0.3">
      <c r="I9607"/>
      <c r="J9607"/>
    </row>
    <row r="9608" spans="9:10" x14ac:dyDescent="0.3">
      <c r="I9608"/>
      <c r="J9608"/>
    </row>
    <row r="9609" spans="9:10" x14ac:dyDescent="0.3">
      <c r="I9609"/>
      <c r="J9609"/>
    </row>
    <row r="9610" spans="9:10" x14ac:dyDescent="0.3">
      <c r="I9610"/>
      <c r="J9610"/>
    </row>
    <row r="9611" spans="9:10" x14ac:dyDescent="0.3">
      <c r="I9611"/>
      <c r="J9611"/>
    </row>
    <row r="9612" spans="9:10" x14ac:dyDescent="0.3">
      <c r="I9612"/>
      <c r="J9612"/>
    </row>
    <row r="9613" spans="9:10" x14ac:dyDescent="0.3">
      <c r="I9613"/>
      <c r="J9613"/>
    </row>
    <row r="9614" spans="9:10" x14ac:dyDescent="0.3">
      <c r="I9614"/>
      <c r="J9614"/>
    </row>
    <row r="9615" spans="9:10" x14ac:dyDescent="0.3">
      <c r="I9615"/>
      <c r="J9615"/>
    </row>
    <row r="9616" spans="9:10" x14ac:dyDescent="0.3">
      <c r="I9616"/>
      <c r="J9616"/>
    </row>
    <row r="9617" spans="9:10" x14ac:dyDescent="0.3">
      <c r="I9617"/>
      <c r="J9617"/>
    </row>
    <row r="9618" spans="9:10" x14ac:dyDescent="0.3">
      <c r="I9618"/>
      <c r="J9618"/>
    </row>
    <row r="9619" spans="9:10" x14ac:dyDescent="0.3">
      <c r="I9619"/>
      <c r="J9619"/>
    </row>
    <row r="9620" spans="9:10" x14ac:dyDescent="0.3">
      <c r="I9620"/>
      <c r="J9620"/>
    </row>
    <row r="9621" spans="9:10" x14ac:dyDescent="0.3">
      <c r="I9621"/>
      <c r="J9621"/>
    </row>
    <row r="9622" spans="9:10" x14ac:dyDescent="0.3">
      <c r="I9622"/>
      <c r="J9622"/>
    </row>
    <row r="9623" spans="9:10" x14ac:dyDescent="0.3">
      <c r="I9623"/>
      <c r="J9623"/>
    </row>
    <row r="9624" spans="9:10" x14ac:dyDescent="0.3">
      <c r="I9624"/>
      <c r="J9624"/>
    </row>
    <row r="9625" spans="9:10" x14ac:dyDescent="0.3">
      <c r="I9625"/>
      <c r="J9625"/>
    </row>
    <row r="9626" spans="9:10" x14ac:dyDescent="0.3">
      <c r="I9626"/>
      <c r="J9626"/>
    </row>
    <row r="9627" spans="9:10" x14ac:dyDescent="0.3">
      <c r="I9627"/>
      <c r="J9627"/>
    </row>
    <row r="9628" spans="9:10" x14ac:dyDescent="0.3">
      <c r="I9628"/>
      <c r="J9628"/>
    </row>
    <row r="9629" spans="9:10" x14ac:dyDescent="0.3">
      <c r="I9629"/>
      <c r="J9629"/>
    </row>
    <row r="9630" spans="9:10" x14ac:dyDescent="0.3">
      <c r="I9630"/>
      <c r="J9630"/>
    </row>
    <row r="9631" spans="9:10" x14ac:dyDescent="0.3">
      <c r="I9631"/>
      <c r="J9631"/>
    </row>
    <row r="9632" spans="9:10" x14ac:dyDescent="0.3">
      <c r="I9632"/>
      <c r="J9632"/>
    </row>
    <row r="9633" spans="9:10" x14ac:dyDescent="0.3">
      <c r="I9633"/>
      <c r="J9633"/>
    </row>
    <row r="9634" spans="9:10" x14ac:dyDescent="0.3">
      <c r="I9634"/>
      <c r="J9634"/>
    </row>
    <row r="9635" spans="9:10" x14ac:dyDescent="0.3">
      <c r="I9635"/>
      <c r="J9635"/>
    </row>
    <row r="9636" spans="9:10" x14ac:dyDescent="0.3">
      <c r="I9636"/>
      <c r="J9636"/>
    </row>
    <row r="9637" spans="9:10" x14ac:dyDescent="0.3">
      <c r="I9637"/>
      <c r="J9637"/>
    </row>
    <row r="9638" spans="9:10" x14ac:dyDescent="0.3">
      <c r="I9638"/>
      <c r="J9638"/>
    </row>
    <row r="9639" spans="9:10" x14ac:dyDescent="0.3">
      <c r="I9639"/>
      <c r="J9639"/>
    </row>
    <row r="9640" spans="9:10" x14ac:dyDescent="0.3">
      <c r="I9640"/>
      <c r="J9640"/>
    </row>
    <row r="9641" spans="9:10" x14ac:dyDescent="0.3">
      <c r="I9641"/>
      <c r="J9641"/>
    </row>
    <row r="9642" spans="9:10" x14ac:dyDescent="0.3">
      <c r="I9642"/>
      <c r="J9642"/>
    </row>
    <row r="9643" spans="9:10" x14ac:dyDescent="0.3">
      <c r="I9643"/>
      <c r="J9643"/>
    </row>
    <row r="9644" spans="9:10" x14ac:dyDescent="0.3">
      <c r="I9644"/>
      <c r="J9644"/>
    </row>
    <row r="9645" spans="9:10" x14ac:dyDescent="0.3">
      <c r="I9645"/>
      <c r="J9645"/>
    </row>
    <row r="9646" spans="9:10" x14ac:dyDescent="0.3">
      <c r="I9646"/>
      <c r="J9646"/>
    </row>
    <row r="9647" spans="9:10" x14ac:dyDescent="0.3">
      <c r="I9647"/>
      <c r="J9647"/>
    </row>
    <row r="9648" spans="9:10" x14ac:dyDescent="0.3">
      <c r="I9648"/>
      <c r="J9648"/>
    </row>
    <row r="9649" spans="9:10" x14ac:dyDescent="0.3">
      <c r="I9649"/>
      <c r="J9649"/>
    </row>
    <row r="9650" spans="9:10" x14ac:dyDescent="0.3">
      <c r="I9650"/>
      <c r="J9650"/>
    </row>
    <row r="9651" spans="9:10" x14ac:dyDescent="0.3">
      <c r="I9651"/>
      <c r="J9651"/>
    </row>
    <row r="9652" spans="9:10" x14ac:dyDescent="0.3">
      <c r="I9652"/>
      <c r="J9652"/>
    </row>
    <row r="9653" spans="9:10" x14ac:dyDescent="0.3">
      <c r="I9653"/>
      <c r="J9653"/>
    </row>
    <row r="9654" spans="9:10" x14ac:dyDescent="0.3">
      <c r="I9654"/>
      <c r="J9654"/>
    </row>
    <row r="9655" spans="9:10" x14ac:dyDescent="0.3">
      <c r="I9655"/>
      <c r="J9655"/>
    </row>
    <row r="9656" spans="9:10" x14ac:dyDescent="0.3">
      <c r="I9656"/>
      <c r="J9656"/>
    </row>
    <row r="9657" spans="9:10" x14ac:dyDescent="0.3">
      <c r="I9657"/>
      <c r="J9657"/>
    </row>
    <row r="9658" spans="9:10" x14ac:dyDescent="0.3">
      <c r="I9658"/>
      <c r="J9658"/>
    </row>
    <row r="9659" spans="9:10" x14ac:dyDescent="0.3">
      <c r="I9659"/>
      <c r="J9659"/>
    </row>
    <row r="9660" spans="9:10" x14ac:dyDescent="0.3">
      <c r="I9660"/>
      <c r="J9660"/>
    </row>
    <row r="9661" spans="9:10" x14ac:dyDescent="0.3">
      <c r="I9661"/>
      <c r="J9661"/>
    </row>
    <row r="9662" spans="9:10" x14ac:dyDescent="0.3">
      <c r="I9662"/>
      <c r="J9662"/>
    </row>
    <row r="9663" spans="9:10" x14ac:dyDescent="0.3">
      <c r="I9663"/>
      <c r="J9663"/>
    </row>
    <row r="9664" spans="9:10" x14ac:dyDescent="0.3">
      <c r="I9664"/>
      <c r="J9664"/>
    </row>
    <row r="9665" spans="9:10" x14ac:dyDescent="0.3">
      <c r="I9665"/>
      <c r="J9665"/>
    </row>
    <row r="9666" spans="9:10" x14ac:dyDescent="0.3">
      <c r="I9666"/>
      <c r="J9666"/>
    </row>
    <row r="9667" spans="9:10" x14ac:dyDescent="0.3">
      <c r="I9667"/>
      <c r="J9667"/>
    </row>
    <row r="9668" spans="9:10" x14ac:dyDescent="0.3">
      <c r="I9668"/>
      <c r="J9668"/>
    </row>
    <row r="9669" spans="9:10" x14ac:dyDescent="0.3">
      <c r="I9669"/>
      <c r="J9669"/>
    </row>
    <row r="9670" spans="9:10" x14ac:dyDescent="0.3">
      <c r="I9670"/>
      <c r="J9670"/>
    </row>
    <row r="9671" spans="9:10" x14ac:dyDescent="0.3">
      <c r="I9671"/>
      <c r="J9671"/>
    </row>
    <row r="9672" spans="9:10" x14ac:dyDescent="0.3">
      <c r="I9672"/>
      <c r="J9672"/>
    </row>
    <row r="9673" spans="9:10" x14ac:dyDescent="0.3">
      <c r="I9673"/>
      <c r="J9673"/>
    </row>
    <row r="9674" spans="9:10" x14ac:dyDescent="0.3">
      <c r="I9674"/>
      <c r="J9674"/>
    </row>
    <row r="9675" spans="9:10" x14ac:dyDescent="0.3">
      <c r="I9675"/>
      <c r="J9675"/>
    </row>
    <row r="9676" spans="9:10" x14ac:dyDescent="0.3">
      <c r="I9676"/>
      <c r="J9676"/>
    </row>
    <row r="9677" spans="9:10" x14ac:dyDescent="0.3">
      <c r="I9677"/>
      <c r="J9677"/>
    </row>
    <row r="9678" spans="9:10" x14ac:dyDescent="0.3">
      <c r="I9678"/>
      <c r="J9678"/>
    </row>
    <row r="9679" spans="9:10" x14ac:dyDescent="0.3">
      <c r="I9679"/>
      <c r="J9679"/>
    </row>
    <row r="9680" spans="9:10" x14ac:dyDescent="0.3">
      <c r="I9680"/>
      <c r="J9680"/>
    </row>
    <row r="9681" spans="9:10" x14ac:dyDescent="0.3">
      <c r="I9681"/>
      <c r="J9681"/>
    </row>
    <row r="9682" spans="9:10" x14ac:dyDescent="0.3">
      <c r="I9682"/>
      <c r="J9682"/>
    </row>
    <row r="9683" spans="9:10" x14ac:dyDescent="0.3">
      <c r="I9683"/>
      <c r="J9683"/>
    </row>
    <row r="9684" spans="9:10" x14ac:dyDescent="0.3">
      <c r="I9684"/>
      <c r="J9684"/>
    </row>
    <row r="9685" spans="9:10" x14ac:dyDescent="0.3">
      <c r="I9685"/>
      <c r="J9685"/>
    </row>
    <row r="9686" spans="9:10" x14ac:dyDescent="0.3">
      <c r="I9686"/>
      <c r="J9686"/>
    </row>
    <row r="9687" spans="9:10" x14ac:dyDescent="0.3">
      <c r="I9687"/>
      <c r="J9687"/>
    </row>
    <row r="9688" spans="9:10" x14ac:dyDescent="0.3">
      <c r="I9688"/>
      <c r="J9688"/>
    </row>
    <row r="9689" spans="9:10" x14ac:dyDescent="0.3">
      <c r="I9689"/>
      <c r="J9689"/>
    </row>
    <row r="9690" spans="9:10" x14ac:dyDescent="0.3">
      <c r="I9690"/>
      <c r="J9690"/>
    </row>
    <row r="9691" spans="9:10" x14ac:dyDescent="0.3">
      <c r="I9691"/>
      <c r="J9691"/>
    </row>
    <row r="9692" spans="9:10" x14ac:dyDescent="0.3">
      <c r="I9692"/>
      <c r="J9692"/>
    </row>
    <row r="9693" spans="9:10" x14ac:dyDescent="0.3">
      <c r="I9693"/>
      <c r="J9693"/>
    </row>
    <row r="9694" spans="9:10" x14ac:dyDescent="0.3">
      <c r="I9694"/>
      <c r="J9694"/>
    </row>
    <row r="9695" spans="9:10" x14ac:dyDescent="0.3">
      <c r="I9695"/>
      <c r="J9695"/>
    </row>
    <row r="9696" spans="9:10" x14ac:dyDescent="0.3">
      <c r="I9696"/>
      <c r="J9696"/>
    </row>
    <row r="9697" spans="9:10" x14ac:dyDescent="0.3">
      <c r="I9697"/>
      <c r="J9697"/>
    </row>
    <row r="9698" spans="9:10" x14ac:dyDescent="0.3">
      <c r="I9698"/>
      <c r="J9698"/>
    </row>
    <row r="9699" spans="9:10" x14ac:dyDescent="0.3">
      <c r="I9699"/>
      <c r="J9699"/>
    </row>
    <row r="9700" spans="9:10" x14ac:dyDescent="0.3">
      <c r="I9700"/>
      <c r="J9700"/>
    </row>
    <row r="9701" spans="9:10" x14ac:dyDescent="0.3">
      <c r="I9701"/>
      <c r="J9701"/>
    </row>
    <row r="9702" spans="9:10" x14ac:dyDescent="0.3">
      <c r="I9702"/>
      <c r="J9702"/>
    </row>
    <row r="9703" spans="9:10" x14ac:dyDescent="0.3">
      <c r="I9703"/>
      <c r="J9703"/>
    </row>
    <row r="9704" spans="9:10" x14ac:dyDescent="0.3">
      <c r="I9704"/>
      <c r="J9704"/>
    </row>
    <row r="9705" spans="9:10" x14ac:dyDescent="0.3">
      <c r="I9705"/>
      <c r="J9705"/>
    </row>
    <row r="9706" spans="9:10" x14ac:dyDescent="0.3">
      <c r="I9706"/>
      <c r="J9706"/>
    </row>
    <row r="9707" spans="9:10" x14ac:dyDescent="0.3">
      <c r="I9707"/>
      <c r="J9707"/>
    </row>
    <row r="9708" spans="9:10" x14ac:dyDescent="0.3">
      <c r="I9708"/>
      <c r="J9708"/>
    </row>
    <row r="9709" spans="9:10" x14ac:dyDescent="0.3">
      <c r="I9709"/>
      <c r="J9709"/>
    </row>
    <row r="9710" spans="9:10" x14ac:dyDescent="0.3">
      <c r="I9710"/>
      <c r="J9710"/>
    </row>
    <row r="9711" spans="9:10" x14ac:dyDescent="0.3">
      <c r="I9711"/>
      <c r="J9711"/>
    </row>
    <row r="9712" spans="9:10" x14ac:dyDescent="0.3">
      <c r="I9712"/>
      <c r="J9712"/>
    </row>
    <row r="9713" spans="9:10" x14ac:dyDescent="0.3">
      <c r="I9713"/>
      <c r="J9713"/>
    </row>
    <row r="9714" spans="9:10" x14ac:dyDescent="0.3">
      <c r="I9714"/>
      <c r="J9714"/>
    </row>
    <row r="9715" spans="9:10" x14ac:dyDescent="0.3">
      <c r="I9715"/>
      <c r="J9715"/>
    </row>
    <row r="9716" spans="9:10" x14ac:dyDescent="0.3">
      <c r="I9716"/>
      <c r="J9716"/>
    </row>
    <row r="9717" spans="9:10" x14ac:dyDescent="0.3">
      <c r="I9717"/>
      <c r="J9717"/>
    </row>
    <row r="9718" spans="9:10" x14ac:dyDescent="0.3">
      <c r="I9718"/>
      <c r="J9718"/>
    </row>
    <row r="9719" spans="9:10" x14ac:dyDescent="0.3">
      <c r="I9719"/>
      <c r="J9719"/>
    </row>
    <row r="9720" spans="9:10" x14ac:dyDescent="0.3">
      <c r="I9720"/>
      <c r="J9720"/>
    </row>
    <row r="9721" spans="9:10" x14ac:dyDescent="0.3">
      <c r="I9721"/>
      <c r="J9721"/>
    </row>
    <row r="9722" spans="9:10" x14ac:dyDescent="0.3">
      <c r="I9722"/>
      <c r="J9722"/>
    </row>
    <row r="9723" spans="9:10" x14ac:dyDescent="0.3">
      <c r="I9723"/>
      <c r="J9723"/>
    </row>
    <row r="9724" spans="9:10" x14ac:dyDescent="0.3">
      <c r="I9724"/>
      <c r="J9724"/>
    </row>
    <row r="9725" spans="9:10" x14ac:dyDescent="0.3">
      <c r="I9725"/>
      <c r="J9725"/>
    </row>
    <row r="9726" spans="9:10" x14ac:dyDescent="0.3">
      <c r="I9726"/>
      <c r="J9726"/>
    </row>
    <row r="9727" spans="9:10" x14ac:dyDescent="0.3">
      <c r="I9727"/>
      <c r="J9727"/>
    </row>
    <row r="9728" spans="9:10" x14ac:dyDescent="0.3">
      <c r="I9728"/>
      <c r="J9728"/>
    </row>
    <row r="9729" spans="9:10" x14ac:dyDescent="0.3">
      <c r="I9729"/>
      <c r="J9729"/>
    </row>
    <row r="9730" spans="9:10" x14ac:dyDescent="0.3">
      <c r="I9730"/>
      <c r="J9730"/>
    </row>
    <row r="9731" spans="9:10" x14ac:dyDescent="0.3">
      <c r="I9731"/>
      <c r="J9731"/>
    </row>
    <row r="9732" spans="9:10" x14ac:dyDescent="0.3">
      <c r="I9732"/>
      <c r="J9732"/>
    </row>
    <row r="9733" spans="9:10" x14ac:dyDescent="0.3">
      <c r="I9733"/>
      <c r="J9733"/>
    </row>
    <row r="9734" spans="9:10" x14ac:dyDescent="0.3">
      <c r="I9734"/>
      <c r="J9734"/>
    </row>
    <row r="9735" spans="9:10" x14ac:dyDescent="0.3">
      <c r="I9735"/>
      <c r="J9735"/>
    </row>
    <row r="9736" spans="9:10" x14ac:dyDescent="0.3">
      <c r="I9736"/>
      <c r="J9736"/>
    </row>
    <row r="9737" spans="9:10" x14ac:dyDescent="0.3">
      <c r="I9737"/>
      <c r="J9737"/>
    </row>
    <row r="9738" spans="9:10" x14ac:dyDescent="0.3">
      <c r="I9738"/>
      <c r="J9738"/>
    </row>
    <row r="9739" spans="9:10" x14ac:dyDescent="0.3">
      <c r="I9739"/>
      <c r="J9739"/>
    </row>
    <row r="9740" spans="9:10" x14ac:dyDescent="0.3">
      <c r="I9740"/>
      <c r="J9740"/>
    </row>
    <row r="9741" spans="9:10" x14ac:dyDescent="0.3">
      <c r="I9741"/>
      <c r="J9741"/>
    </row>
    <row r="9742" spans="9:10" x14ac:dyDescent="0.3">
      <c r="I9742"/>
      <c r="J9742"/>
    </row>
    <row r="9743" spans="9:10" x14ac:dyDescent="0.3">
      <c r="I9743"/>
      <c r="J9743"/>
    </row>
    <row r="9744" spans="9:10" x14ac:dyDescent="0.3">
      <c r="I9744"/>
      <c r="J9744"/>
    </row>
    <row r="9745" spans="9:10" x14ac:dyDescent="0.3">
      <c r="I9745"/>
      <c r="J9745"/>
    </row>
    <row r="9746" spans="9:10" x14ac:dyDescent="0.3">
      <c r="I9746"/>
      <c r="J9746"/>
    </row>
    <row r="9747" spans="9:10" x14ac:dyDescent="0.3">
      <c r="I9747"/>
      <c r="J9747"/>
    </row>
    <row r="9748" spans="9:10" x14ac:dyDescent="0.3">
      <c r="I9748"/>
      <c r="J9748"/>
    </row>
    <row r="9749" spans="9:10" x14ac:dyDescent="0.3">
      <c r="I9749"/>
      <c r="J9749"/>
    </row>
    <row r="9750" spans="9:10" x14ac:dyDescent="0.3">
      <c r="I9750"/>
      <c r="J9750"/>
    </row>
    <row r="9751" spans="9:10" x14ac:dyDescent="0.3">
      <c r="I9751"/>
      <c r="J9751"/>
    </row>
    <row r="9752" spans="9:10" x14ac:dyDescent="0.3">
      <c r="I9752"/>
      <c r="J9752"/>
    </row>
    <row r="9753" spans="9:10" x14ac:dyDescent="0.3">
      <c r="I9753"/>
      <c r="J9753"/>
    </row>
    <row r="9754" spans="9:10" x14ac:dyDescent="0.3">
      <c r="I9754"/>
      <c r="J9754"/>
    </row>
    <row r="9755" spans="9:10" x14ac:dyDescent="0.3">
      <c r="I9755"/>
      <c r="J9755"/>
    </row>
    <row r="9756" spans="9:10" x14ac:dyDescent="0.3">
      <c r="I9756"/>
      <c r="J9756"/>
    </row>
    <row r="9757" spans="9:10" x14ac:dyDescent="0.3">
      <c r="I9757"/>
      <c r="J9757"/>
    </row>
    <row r="9758" spans="9:10" x14ac:dyDescent="0.3">
      <c r="I9758"/>
      <c r="J9758"/>
    </row>
    <row r="9759" spans="9:10" x14ac:dyDescent="0.3">
      <c r="I9759"/>
      <c r="J9759"/>
    </row>
    <row r="9760" spans="9:10" x14ac:dyDescent="0.3">
      <c r="I9760"/>
      <c r="J9760"/>
    </row>
    <row r="9761" spans="9:10" x14ac:dyDescent="0.3">
      <c r="I9761"/>
      <c r="J9761"/>
    </row>
    <row r="9762" spans="9:10" x14ac:dyDescent="0.3">
      <c r="I9762"/>
      <c r="J9762"/>
    </row>
    <row r="9763" spans="9:10" x14ac:dyDescent="0.3">
      <c r="I9763"/>
      <c r="J9763"/>
    </row>
    <row r="9764" spans="9:10" x14ac:dyDescent="0.3">
      <c r="I9764"/>
      <c r="J9764"/>
    </row>
    <row r="9765" spans="9:10" x14ac:dyDescent="0.3">
      <c r="I9765"/>
      <c r="J9765"/>
    </row>
    <row r="9766" spans="9:10" x14ac:dyDescent="0.3">
      <c r="I9766"/>
      <c r="J9766"/>
    </row>
    <row r="9767" spans="9:10" x14ac:dyDescent="0.3">
      <c r="I9767"/>
      <c r="J9767"/>
    </row>
    <row r="9768" spans="9:10" x14ac:dyDescent="0.3">
      <c r="I9768"/>
      <c r="J9768"/>
    </row>
    <row r="9769" spans="9:10" x14ac:dyDescent="0.3">
      <c r="I9769"/>
      <c r="J9769"/>
    </row>
    <row r="9770" spans="9:10" x14ac:dyDescent="0.3">
      <c r="I9770"/>
      <c r="J9770"/>
    </row>
    <row r="9771" spans="9:10" x14ac:dyDescent="0.3">
      <c r="I9771"/>
      <c r="J9771"/>
    </row>
    <row r="9772" spans="9:10" x14ac:dyDescent="0.3">
      <c r="I9772"/>
      <c r="J9772"/>
    </row>
    <row r="9773" spans="9:10" x14ac:dyDescent="0.3">
      <c r="I9773"/>
      <c r="J9773"/>
    </row>
    <row r="9774" spans="9:10" x14ac:dyDescent="0.3">
      <c r="I9774"/>
      <c r="J9774"/>
    </row>
    <row r="9775" spans="9:10" x14ac:dyDescent="0.3">
      <c r="I9775"/>
      <c r="J9775"/>
    </row>
    <row r="9776" spans="9:10" x14ac:dyDescent="0.3">
      <c r="I9776"/>
      <c r="J9776"/>
    </row>
    <row r="9777" spans="9:10" x14ac:dyDescent="0.3">
      <c r="I9777"/>
      <c r="J9777"/>
    </row>
    <row r="9778" spans="9:10" x14ac:dyDescent="0.3">
      <c r="I9778"/>
      <c r="J9778"/>
    </row>
    <row r="9779" spans="9:10" x14ac:dyDescent="0.3">
      <c r="I9779"/>
      <c r="J9779"/>
    </row>
    <row r="9780" spans="9:10" x14ac:dyDescent="0.3">
      <c r="I9780"/>
      <c r="J9780"/>
    </row>
    <row r="9781" spans="9:10" x14ac:dyDescent="0.3">
      <c r="I9781"/>
      <c r="J9781"/>
    </row>
    <row r="9782" spans="9:10" x14ac:dyDescent="0.3">
      <c r="I9782"/>
      <c r="J9782"/>
    </row>
    <row r="9783" spans="9:10" x14ac:dyDescent="0.3">
      <c r="I9783"/>
      <c r="J9783"/>
    </row>
    <row r="9784" spans="9:10" x14ac:dyDescent="0.3">
      <c r="I9784"/>
      <c r="J9784"/>
    </row>
    <row r="9785" spans="9:10" x14ac:dyDescent="0.3">
      <c r="I9785"/>
      <c r="J9785"/>
    </row>
    <row r="9786" spans="9:10" x14ac:dyDescent="0.3">
      <c r="I9786"/>
      <c r="J9786"/>
    </row>
    <row r="9787" spans="9:10" x14ac:dyDescent="0.3">
      <c r="I9787"/>
      <c r="J9787"/>
    </row>
    <row r="9788" spans="9:10" x14ac:dyDescent="0.3">
      <c r="I9788"/>
      <c r="J9788"/>
    </row>
    <row r="9789" spans="9:10" x14ac:dyDescent="0.3">
      <c r="I9789"/>
      <c r="J9789"/>
    </row>
    <row r="9790" spans="9:10" x14ac:dyDescent="0.3">
      <c r="I9790"/>
      <c r="J9790"/>
    </row>
    <row r="9791" spans="9:10" x14ac:dyDescent="0.3">
      <c r="I9791"/>
      <c r="J9791"/>
    </row>
    <row r="9792" spans="9:10" x14ac:dyDescent="0.3">
      <c r="I9792"/>
      <c r="J9792"/>
    </row>
    <row r="9793" spans="9:10" x14ac:dyDescent="0.3">
      <c r="I9793"/>
      <c r="J9793"/>
    </row>
    <row r="9794" spans="9:10" x14ac:dyDescent="0.3">
      <c r="I9794"/>
      <c r="J9794"/>
    </row>
    <row r="9795" spans="9:10" x14ac:dyDescent="0.3">
      <c r="I9795"/>
      <c r="J9795"/>
    </row>
    <row r="9796" spans="9:10" x14ac:dyDescent="0.3">
      <c r="I9796"/>
      <c r="J9796"/>
    </row>
    <row r="9797" spans="9:10" x14ac:dyDescent="0.3">
      <c r="I9797"/>
      <c r="J9797"/>
    </row>
    <row r="9798" spans="9:10" x14ac:dyDescent="0.3">
      <c r="I9798"/>
      <c r="J9798"/>
    </row>
    <row r="9799" spans="9:10" x14ac:dyDescent="0.3">
      <c r="I9799"/>
      <c r="J9799"/>
    </row>
    <row r="9800" spans="9:10" x14ac:dyDescent="0.3">
      <c r="I9800"/>
      <c r="J9800"/>
    </row>
    <row r="9801" spans="9:10" x14ac:dyDescent="0.3">
      <c r="I9801"/>
      <c r="J9801"/>
    </row>
    <row r="9802" spans="9:10" x14ac:dyDescent="0.3">
      <c r="I9802"/>
      <c r="J9802"/>
    </row>
    <row r="9803" spans="9:10" x14ac:dyDescent="0.3">
      <c r="I9803"/>
      <c r="J9803"/>
    </row>
    <row r="9804" spans="9:10" x14ac:dyDescent="0.3">
      <c r="I9804"/>
      <c r="J9804"/>
    </row>
    <row r="9805" spans="9:10" x14ac:dyDescent="0.3">
      <c r="I9805"/>
      <c r="J9805"/>
    </row>
    <row r="9806" spans="9:10" x14ac:dyDescent="0.3">
      <c r="I9806"/>
      <c r="J9806"/>
    </row>
    <row r="9807" spans="9:10" x14ac:dyDescent="0.3">
      <c r="I9807"/>
      <c r="J9807"/>
    </row>
    <row r="9808" spans="9:10" x14ac:dyDescent="0.3">
      <c r="I9808"/>
      <c r="J9808"/>
    </row>
    <row r="9809" spans="9:10" x14ac:dyDescent="0.3">
      <c r="I9809"/>
      <c r="J9809"/>
    </row>
    <row r="9810" spans="9:10" x14ac:dyDescent="0.3">
      <c r="I9810"/>
      <c r="J9810"/>
    </row>
    <row r="9811" spans="9:10" x14ac:dyDescent="0.3">
      <c r="I9811"/>
      <c r="J9811"/>
    </row>
    <row r="9812" spans="9:10" x14ac:dyDescent="0.3">
      <c r="I9812"/>
      <c r="J9812"/>
    </row>
    <row r="9813" spans="9:10" x14ac:dyDescent="0.3">
      <c r="I9813"/>
      <c r="J9813"/>
    </row>
    <row r="9814" spans="9:10" x14ac:dyDescent="0.3">
      <c r="I9814"/>
      <c r="J9814"/>
    </row>
    <row r="9815" spans="9:10" x14ac:dyDescent="0.3">
      <c r="I9815"/>
      <c r="J9815"/>
    </row>
    <row r="9816" spans="9:10" x14ac:dyDescent="0.3">
      <c r="I9816"/>
      <c r="J9816"/>
    </row>
    <row r="9817" spans="9:10" x14ac:dyDescent="0.3">
      <c r="I9817"/>
      <c r="J9817"/>
    </row>
    <row r="9818" spans="9:10" x14ac:dyDescent="0.3">
      <c r="I9818"/>
      <c r="J9818"/>
    </row>
    <row r="9819" spans="9:10" x14ac:dyDescent="0.3">
      <c r="I9819"/>
      <c r="J9819"/>
    </row>
    <row r="9820" spans="9:10" x14ac:dyDescent="0.3">
      <c r="I9820"/>
      <c r="J9820"/>
    </row>
    <row r="9821" spans="9:10" x14ac:dyDescent="0.3">
      <c r="I9821"/>
      <c r="J9821"/>
    </row>
    <row r="9822" spans="9:10" x14ac:dyDescent="0.3">
      <c r="I9822"/>
      <c r="J9822"/>
    </row>
    <row r="9823" spans="9:10" x14ac:dyDescent="0.3">
      <c r="I9823"/>
      <c r="J9823"/>
    </row>
    <row r="9824" spans="9:10" x14ac:dyDescent="0.3">
      <c r="I9824"/>
      <c r="J9824"/>
    </row>
    <row r="9825" spans="9:10" x14ac:dyDescent="0.3">
      <c r="I9825"/>
      <c r="J9825"/>
    </row>
    <row r="9826" spans="9:10" x14ac:dyDescent="0.3">
      <c r="I9826"/>
      <c r="J9826"/>
    </row>
    <row r="9827" spans="9:10" x14ac:dyDescent="0.3">
      <c r="I9827"/>
      <c r="J9827"/>
    </row>
    <row r="9828" spans="9:10" x14ac:dyDescent="0.3">
      <c r="I9828"/>
      <c r="J9828"/>
    </row>
    <row r="9829" spans="9:10" x14ac:dyDescent="0.3">
      <c r="I9829"/>
      <c r="J9829"/>
    </row>
    <row r="9830" spans="9:10" x14ac:dyDescent="0.3">
      <c r="I9830"/>
      <c r="J9830"/>
    </row>
    <row r="9831" spans="9:10" x14ac:dyDescent="0.3">
      <c r="I9831"/>
      <c r="J9831"/>
    </row>
    <row r="9832" spans="9:10" x14ac:dyDescent="0.3">
      <c r="I9832"/>
      <c r="J9832"/>
    </row>
    <row r="9833" spans="9:10" x14ac:dyDescent="0.3">
      <c r="I9833"/>
      <c r="J9833"/>
    </row>
    <row r="9834" spans="9:10" x14ac:dyDescent="0.3">
      <c r="I9834"/>
      <c r="J9834"/>
    </row>
    <row r="9835" spans="9:10" x14ac:dyDescent="0.3">
      <c r="I9835"/>
      <c r="J9835"/>
    </row>
    <row r="9836" spans="9:10" x14ac:dyDescent="0.3">
      <c r="I9836"/>
      <c r="J9836"/>
    </row>
    <row r="9837" spans="9:10" x14ac:dyDescent="0.3">
      <c r="I9837"/>
      <c r="J9837"/>
    </row>
    <row r="9838" spans="9:10" x14ac:dyDescent="0.3">
      <c r="I9838"/>
      <c r="J9838"/>
    </row>
    <row r="9839" spans="9:10" x14ac:dyDescent="0.3">
      <c r="I9839"/>
      <c r="J9839"/>
    </row>
    <row r="9840" spans="9:10" x14ac:dyDescent="0.3">
      <c r="I9840"/>
      <c r="J9840"/>
    </row>
    <row r="9841" spans="9:10" x14ac:dyDescent="0.3">
      <c r="I9841"/>
      <c r="J9841"/>
    </row>
    <row r="9842" spans="9:10" x14ac:dyDescent="0.3">
      <c r="I9842"/>
      <c r="J9842"/>
    </row>
    <row r="9843" spans="9:10" x14ac:dyDescent="0.3">
      <c r="I9843"/>
      <c r="J9843"/>
    </row>
    <row r="9844" spans="9:10" x14ac:dyDescent="0.3">
      <c r="I9844"/>
      <c r="J9844"/>
    </row>
    <row r="9845" spans="9:10" x14ac:dyDescent="0.3">
      <c r="I9845"/>
      <c r="J9845"/>
    </row>
    <row r="9846" spans="9:10" x14ac:dyDescent="0.3">
      <c r="I9846"/>
      <c r="J9846"/>
    </row>
    <row r="9847" spans="9:10" x14ac:dyDescent="0.3">
      <c r="I9847"/>
      <c r="J9847"/>
    </row>
    <row r="9848" spans="9:10" x14ac:dyDescent="0.3">
      <c r="I9848"/>
      <c r="J9848"/>
    </row>
    <row r="9849" spans="9:10" x14ac:dyDescent="0.3">
      <c r="I9849"/>
      <c r="J9849"/>
    </row>
    <row r="9850" spans="9:10" x14ac:dyDescent="0.3">
      <c r="I9850"/>
      <c r="J9850"/>
    </row>
    <row r="9851" spans="9:10" x14ac:dyDescent="0.3">
      <c r="I9851"/>
      <c r="J9851"/>
    </row>
    <row r="9852" spans="9:10" x14ac:dyDescent="0.3">
      <c r="I9852"/>
      <c r="J9852"/>
    </row>
    <row r="9853" spans="9:10" x14ac:dyDescent="0.3">
      <c r="I9853"/>
      <c r="J9853"/>
    </row>
    <row r="9854" spans="9:10" x14ac:dyDescent="0.3">
      <c r="I9854"/>
      <c r="J9854"/>
    </row>
    <row r="9855" spans="9:10" x14ac:dyDescent="0.3">
      <c r="I9855"/>
      <c r="J9855"/>
    </row>
    <row r="9856" spans="9:10" x14ac:dyDescent="0.3">
      <c r="I9856"/>
      <c r="J9856"/>
    </row>
    <row r="9857" spans="9:10" x14ac:dyDescent="0.3">
      <c r="I9857"/>
      <c r="J9857"/>
    </row>
    <row r="9858" spans="9:10" x14ac:dyDescent="0.3">
      <c r="I9858"/>
      <c r="J9858"/>
    </row>
    <row r="9859" spans="9:10" x14ac:dyDescent="0.3">
      <c r="I9859"/>
      <c r="J9859"/>
    </row>
    <row r="9860" spans="9:10" x14ac:dyDescent="0.3">
      <c r="I9860"/>
      <c r="J9860"/>
    </row>
    <row r="9861" spans="9:10" x14ac:dyDescent="0.3">
      <c r="I9861"/>
      <c r="J9861"/>
    </row>
    <row r="9862" spans="9:10" x14ac:dyDescent="0.3">
      <c r="I9862"/>
      <c r="J9862"/>
    </row>
    <row r="9863" spans="9:10" x14ac:dyDescent="0.3">
      <c r="I9863"/>
      <c r="J9863"/>
    </row>
    <row r="9864" spans="9:10" x14ac:dyDescent="0.3">
      <c r="I9864"/>
      <c r="J9864"/>
    </row>
    <row r="9865" spans="9:10" x14ac:dyDescent="0.3">
      <c r="I9865"/>
      <c r="J9865"/>
    </row>
    <row r="9866" spans="9:10" x14ac:dyDescent="0.3">
      <c r="I9866"/>
      <c r="J9866"/>
    </row>
    <row r="9867" spans="9:10" x14ac:dyDescent="0.3">
      <c r="I9867"/>
      <c r="J9867"/>
    </row>
    <row r="9868" spans="9:10" x14ac:dyDescent="0.3">
      <c r="I9868"/>
      <c r="J9868"/>
    </row>
    <row r="9869" spans="9:10" x14ac:dyDescent="0.3">
      <c r="I9869"/>
      <c r="J9869"/>
    </row>
    <row r="9870" spans="9:10" x14ac:dyDescent="0.3">
      <c r="I9870"/>
      <c r="J9870"/>
    </row>
    <row r="9871" spans="9:10" x14ac:dyDescent="0.3">
      <c r="I9871"/>
      <c r="J9871"/>
    </row>
    <row r="9872" spans="9:10" x14ac:dyDescent="0.3">
      <c r="I9872"/>
      <c r="J9872"/>
    </row>
    <row r="9873" spans="9:10" x14ac:dyDescent="0.3">
      <c r="I9873"/>
      <c r="J9873"/>
    </row>
    <row r="9874" spans="9:10" x14ac:dyDescent="0.3">
      <c r="I9874"/>
      <c r="J9874"/>
    </row>
    <row r="9875" spans="9:10" x14ac:dyDescent="0.3">
      <c r="I9875"/>
      <c r="J9875"/>
    </row>
    <row r="9876" spans="9:10" x14ac:dyDescent="0.3">
      <c r="I9876"/>
      <c r="J9876"/>
    </row>
    <row r="9877" spans="9:10" x14ac:dyDescent="0.3">
      <c r="I9877"/>
      <c r="J9877"/>
    </row>
    <row r="9878" spans="9:10" x14ac:dyDescent="0.3">
      <c r="I9878"/>
      <c r="J9878"/>
    </row>
    <row r="9879" spans="9:10" x14ac:dyDescent="0.3">
      <c r="I9879"/>
      <c r="J9879"/>
    </row>
    <row r="9880" spans="9:10" x14ac:dyDescent="0.3">
      <c r="I9880"/>
      <c r="J9880"/>
    </row>
    <row r="9881" spans="9:10" x14ac:dyDescent="0.3">
      <c r="I9881"/>
      <c r="J9881"/>
    </row>
    <row r="9882" spans="9:10" x14ac:dyDescent="0.3">
      <c r="I9882"/>
      <c r="J9882"/>
    </row>
    <row r="9883" spans="9:10" x14ac:dyDescent="0.3">
      <c r="I9883"/>
      <c r="J9883"/>
    </row>
    <row r="9884" spans="9:10" x14ac:dyDescent="0.3">
      <c r="I9884"/>
      <c r="J9884"/>
    </row>
    <row r="9885" spans="9:10" x14ac:dyDescent="0.3">
      <c r="I9885"/>
      <c r="J9885"/>
    </row>
    <row r="9886" spans="9:10" x14ac:dyDescent="0.3">
      <c r="I9886"/>
      <c r="J9886"/>
    </row>
    <row r="9887" spans="9:10" x14ac:dyDescent="0.3">
      <c r="I9887"/>
      <c r="J9887"/>
    </row>
    <row r="9888" spans="9:10" x14ac:dyDescent="0.3">
      <c r="I9888"/>
      <c r="J9888"/>
    </row>
    <row r="9889" spans="9:10" x14ac:dyDescent="0.3">
      <c r="I9889"/>
      <c r="J9889"/>
    </row>
    <row r="9890" spans="9:10" x14ac:dyDescent="0.3">
      <c r="I9890"/>
      <c r="J9890"/>
    </row>
    <row r="9891" spans="9:10" x14ac:dyDescent="0.3">
      <c r="I9891"/>
      <c r="J9891"/>
    </row>
    <row r="9892" spans="9:10" x14ac:dyDescent="0.3">
      <c r="I9892"/>
      <c r="J9892"/>
    </row>
    <row r="9893" spans="9:10" x14ac:dyDescent="0.3">
      <c r="I9893"/>
      <c r="J9893"/>
    </row>
    <row r="9894" spans="9:10" x14ac:dyDescent="0.3">
      <c r="I9894"/>
      <c r="J9894"/>
    </row>
    <row r="9895" spans="9:10" x14ac:dyDescent="0.3">
      <c r="I9895"/>
      <c r="J9895"/>
    </row>
    <row r="9896" spans="9:10" x14ac:dyDescent="0.3">
      <c r="I9896"/>
      <c r="J9896"/>
    </row>
    <row r="9897" spans="9:10" x14ac:dyDescent="0.3">
      <c r="I9897"/>
      <c r="J9897"/>
    </row>
    <row r="9898" spans="9:10" x14ac:dyDescent="0.3">
      <c r="I9898"/>
      <c r="J9898"/>
    </row>
    <row r="9899" spans="9:10" x14ac:dyDescent="0.3">
      <c r="I9899"/>
      <c r="J9899"/>
    </row>
    <row r="9900" spans="9:10" x14ac:dyDescent="0.3">
      <c r="I9900"/>
      <c r="J9900"/>
    </row>
    <row r="9901" spans="9:10" x14ac:dyDescent="0.3">
      <c r="I9901"/>
      <c r="J9901"/>
    </row>
    <row r="9902" spans="9:10" x14ac:dyDescent="0.3">
      <c r="I9902"/>
      <c r="J9902"/>
    </row>
    <row r="9903" spans="9:10" x14ac:dyDescent="0.3">
      <c r="I9903"/>
      <c r="J9903"/>
    </row>
    <row r="9904" spans="9:10" x14ac:dyDescent="0.3">
      <c r="I9904"/>
      <c r="J9904"/>
    </row>
    <row r="9905" spans="9:10" x14ac:dyDescent="0.3">
      <c r="I9905"/>
      <c r="J9905"/>
    </row>
    <row r="9906" spans="9:10" x14ac:dyDescent="0.3">
      <c r="I9906"/>
      <c r="J9906"/>
    </row>
    <row r="9907" spans="9:10" x14ac:dyDescent="0.3">
      <c r="I9907"/>
      <c r="J9907"/>
    </row>
    <row r="9908" spans="9:10" x14ac:dyDescent="0.3">
      <c r="I9908"/>
      <c r="J9908"/>
    </row>
    <row r="9909" spans="9:10" x14ac:dyDescent="0.3">
      <c r="I9909"/>
      <c r="J9909"/>
    </row>
    <row r="9910" spans="9:10" x14ac:dyDescent="0.3">
      <c r="I9910"/>
      <c r="J9910"/>
    </row>
    <row r="9911" spans="9:10" x14ac:dyDescent="0.3">
      <c r="I9911"/>
      <c r="J9911"/>
    </row>
    <row r="9912" spans="9:10" x14ac:dyDescent="0.3">
      <c r="I9912"/>
      <c r="J9912"/>
    </row>
    <row r="9913" spans="9:10" x14ac:dyDescent="0.3">
      <c r="I9913"/>
      <c r="J9913"/>
    </row>
    <row r="9914" spans="9:10" x14ac:dyDescent="0.3">
      <c r="I9914"/>
      <c r="J9914"/>
    </row>
    <row r="9915" spans="9:10" x14ac:dyDescent="0.3">
      <c r="I9915"/>
      <c r="J9915"/>
    </row>
    <row r="9916" spans="9:10" x14ac:dyDescent="0.3">
      <c r="I9916"/>
      <c r="J9916"/>
    </row>
    <row r="9917" spans="9:10" x14ac:dyDescent="0.3">
      <c r="I9917"/>
      <c r="J9917"/>
    </row>
    <row r="9918" spans="9:10" x14ac:dyDescent="0.3">
      <c r="I9918"/>
      <c r="J9918"/>
    </row>
    <row r="9919" spans="9:10" x14ac:dyDescent="0.3">
      <c r="I9919"/>
      <c r="J9919"/>
    </row>
    <row r="9920" spans="9:10" x14ac:dyDescent="0.3">
      <c r="I9920"/>
      <c r="J9920"/>
    </row>
    <row r="9921" spans="9:10" x14ac:dyDescent="0.3">
      <c r="I9921"/>
      <c r="J9921"/>
    </row>
    <row r="9922" spans="9:10" x14ac:dyDescent="0.3">
      <c r="I9922"/>
      <c r="J9922"/>
    </row>
    <row r="9923" spans="9:10" x14ac:dyDescent="0.3">
      <c r="I9923"/>
      <c r="J9923"/>
    </row>
    <row r="9924" spans="9:10" x14ac:dyDescent="0.3">
      <c r="I9924"/>
      <c r="J9924"/>
    </row>
    <row r="9925" spans="9:10" x14ac:dyDescent="0.3">
      <c r="I9925"/>
      <c r="J9925"/>
    </row>
    <row r="9926" spans="9:10" x14ac:dyDescent="0.3">
      <c r="I9926"/>
      <c r="J9926"/>
    </row>
    <row r="9927" spans="9:10" x14ac:dyDescent="0.3">
      <c r="I9927"/>
      <c r="J9927"/>
    </row>
    <row r="9928" spans="9:10" x14ac:dyDescent="0.3">
      <c r="I9928"/>
      <c r="J9928"/>
    </row>
    <row r="9929" spans="9:10" x14ac:dyDescent="0.3">
      <c r="I9929"/>
      <c r="J9929"/>
    </row>
    <row r="9930" spans="9:10" x14ac:dyDescent="0.3">
      <c r="I9930"/>
      <c r="J9930"/>
    </row>
    <row r="9931" spans="9:10" x14ac:dyDescent="0.3">
      <c r="I9931"/>
      <c r="J9931"/>
    </row>
    <row r="9932" spans="9:10" x14ac:dyDescent="0.3">
      <c r="I9932"/>
      <c r="J9932"/>
    </row>
    <row r="9933" spans="9:10" x14ac:dyDescent="0.3">
      <c r="I9933"/>
      <c r="J9933"/>
    </row>
    <row r="9934" spans="9:10" x14ac:dyDescent="0.3">
      <c r="I9934"/>
      <c r="J9934"/>
    </row>
    <row r="9935" spans="9:10" x14ac:dyDescent="0.3">
      <c r="I9935"/>
      <c r="J9935"/>
    </row>
    <row r="9936" spans="9:10" x14ac:dyDescent="0.3">
      <c r="I9936"/>
      <c r="J9936"/>
    </row>
    <row r="9937" spans="9:10" x14ac:dyDescent="0.3">
      <c r="I9937"/>
      <c r="J9937"/>
    </row>
    <row r="9938" spans="9:10" x14ac:dyDescent="0.3">
      <c r="I9938"/>
      <c r="J9938"/>
    </row>
    <row r="9939" spans="9:10" x14ac:dyDescent="0.3">
      <c r="I9939"/>
      <c r="J9939"/>
    </row>
    <row r="9940" spans="9:10" x14ac:dyDescent="0.3">
      <c r="I9940"/>
      <c r="J9940"/>
    </row>
    <row r="9941" spans="9:10" x14ac:dyDescent="0.3">
      <c r="I9941"/>
      <c r="J9941"/>
    </row>
    <row r="9942" spans="9:10" x14ac:dyDescent="0.3">
      <c r="I9942"/>
      <c r="J9942"/>
    </row>
    <row r="9943" spans="9:10" x14ac:dyDescent="0.3">
      <c r="I9943"/>
      <c r="J9943"/>
    </row>
    <row r="9944" spans="9:10" x14ac:dyDescent="0.3">
      <c r="I9944"/>
      <c r="J9944"/>
    </row>
    <row r="9945" spans="9:10" x14ac:dyDescent="0.3">
      <c r="I9945"/>
      <c r="J9945"/>
    </row>
    <row r="9946" spans="9:10" x14ac:dyDescent="0.3">
      <c r="I9946"/>
      <c r="J9946"/>
    </row>
    <row r="9947" spans="9:10" x14ac:dyDescent="0.3">
      <c r="I9947"/>
      <c r="J9947"/>
    </row>
    <row r="9948" spans="9:10" x14ac:dyDescent="0.3">
      <c r="I9948"/>
      <c r="J9948"/>
    </row>
    <row r="9949" spans="9:10" x14ac:dyDescent="0.3">
      <c r="I9949"/>
      <c r="J9949"/>
    </row>
    <row r="9950" spans="9:10" x14ac:dyDescent="0.3">
      <c r="I9950"/>
      <c r="J9950"/>
    </row>
    <row r="9951" spans="9:10" x14ac:dyDescent="0.3">
      <c r="I9951"/>
      <c r="J9951"/>
    </row>
    <row r="9952" spans="9:10" x14ac:dyDescent="0.3">
      <c r="I9952"/>
      <c r="J9952"/>
    </row>
    <row r="9953" spans="9:10" x14ac:dyDescent="0.3">
      <c r="I9953"/>
      <c r="J9953"/>
    </row>
    <row r="9954" spans="9:10" x14ac:dyDescent="0.3">
      <c r="I9954"/>
      <c r="J9954"/>
    </row>
    <row r="9955" spans="9:10" x14ac:dyDescent="0.3">
      <c r="I9955"/>
      <c r="J9955"/>
    </row>
    <row r="9956" spans="9:10" x14ac:dyDescent="0.3">
      <c r="I9956"/>
      <c r="J9956"/>
    </row>
    <row r="9957" spans="9:10" x14ac:dyDescent="0.3">
      <c r="I9957"/>
      <c r="J9957"/>
    </row>
    <row r="9958" spans="9:10" x14ac:dyDescent="0.3">
      <c r="I9958"/>
      <c r="J9958"/>
    </row>
    <row r="9959" spans="9:10" x14ac:dyDescent="0.3">
      <c r="I9959"/>
      <c r="J9959"/>
    </row>
    <row r="9960" spans="9:10" x14ac:dyDescent="0.3">
      <c r="I9960"/>
      <c r="J9960"/>
    </row>
    <row r="9961" spans="9:10" x14ac:dyDescent="0.3">
      <c r="I9961"/>
      <c r="J9961"/>
    </row>
    <row r="9962" spans="9:10" x14ac:dyDescent="0.3">
      <c r="I9962"/>
      <c r="J9962"/>
    </row>
    <row r="9963" spans="9:10" x14ac:dyDescent="0.3">
      <c r="I9963"/>
      <c r="J9963"/>
    </row>
    <row r="9964" spans="9:10" x14ac:dyDescent="0.3">
      <c r="I9964"/>
      <c r="J9964"/>
    </row>
    <row r="9965" spans="9:10" x14ac:dyDescent="0.3">
      <c r="I9965"/>
      <c r="J9965"/>
    </row>
    <row r="9966" spans="9:10" x14ac:dyDescent="0.3">
      <c r="I9966"/>
      <c r="J9966"/>
    </row>
    <row r="9967" spans="9:10" x14ac:dyDescent="0.3">
      <c r="I9967"/>
      <c r="J9967"/>
    </row>
    <row r="9968" spans="9:10" x14ac:dyDescent="0.3">
      <c r="I9968"/>
      <c r="J9968"/>
    </row>
    <row r="9969" spans="9:10" x14ac:dyDescent="0.3">
      <c r="I9969"/>
      <c r="J9969"/>
    </row>
    <row r="9970" spans="9:10" x14ac:dyDescent="0.3">
      <c r="I9970"/>
      <c r="J9970"/>
    </row>
    <row r="9971" spans="9:10" x14ac:dyDescent="0.3">
      <c r="I9971"/>
      <c r="J9971"/>
    </row>
    <row r="9972" spans="9:10" x14ac:dyDescent="0.3">
      <c r="I9972"/>
      <c r="J9972"/>
    </row>
    <row r="9973" spans="9:10" x14ac:dyDescent="0.3">
      <c r="I9973"/>
      <c r="J9973"/>
    </row>
    <row r="9974" spans="9:10" x14ac:dyDescent="0.3">
      <c r="I9974"/>
      <c r="J9974"/>
    </row>
    <row r="9975" spans="9:10" x14ac:dyDescent="0.3">
      <c r="I9975"/>
      <c r="J9975"/>
    </row>
    <row r="9976" spans="9:10" x14ac:dyDescent="0.3">
      <c r="I9976"/>
      <c r="J9976"/>
    </row>
    <row r="9977" spans="9:10" x14ac:dyDescent="0.3">
      <c r="I9977"/>
      <c r="J9977"/>
    </row>
    <row r="9978" spans="9:10" x14ac:dyDescent="0.3">
      <c r="I9978"/>
      <c r="J9978"/>
    </row>
    <row r="9979" spans="9:10" x14ac:dyDescent="0.3">
      <c r="I9979"/>
      <c r="J9979"/>
    </row>
    <row r="9980" spans="9:10" x14ac:dyDescent="0.3">
      <c r="I9980"/>
      <c r="J9980"/>
    </row>
    <row r="9981" spans="9:10" x14ac:dyDescent="0.3">
      <c r="I9981"/>
      <c r="J9981"/>
    </row>
    <row r="9982" spans="9:10" x14ac:dyDescent="0.3">
      <c r="I9982"/>
      <c r="J9982"/>
    </row>
    <row r="9983" spans="9:10" x14ac:dyDescent="0.3">
      <c r="I9983"/>
      <c r="J9983"/>
    </row>
    <row r="9984" spans="9:10" x14ac:dyDescent="0.3">
      <c r="I9984"/>
      <c r="J9984"/>
    </row>
    <row r="9985" spans="9:10" x14ac:dyDescent="0.3">
      <c r="I9985"/>
      <c r="J9985"/>
    </row>
    <row r="9986" spans="9:10" x14ac:dyDescent="0.3">
      <c r="I9986"/>
      <c r="J9986"/>
    </row>
    <row r="9987" spans="9:10" x14ac:dyDescent="0.3">
      <c r="I9987"/>
      <c r="J9987"/>
    </row>
    <row r="9988" spans="9:10" x14ac:dyDescent="0.3">
      <c r="I9988"/>
      <c r="J9988"/>
    </row>
    <row r="9989" spans="9:10" x14ac:dyDescent="0.3">
      <c r="I9989"/>
      <c r="J9989"/>
    </row>
    <row r="9990" spans="9:10" x14ac:dyDescent="0.3">
      <c r="I9990"/>
      <c r="J9990"/>
    </row>
    <row r="9991" spans="9:10" x14ac:dyDescent="0.3">
      <c r="I9991"/>
      <c r="J9991"/>
    </row>
    <row r="9992" spans="9:10" x14ac:dyDescent="0.3">
      <c r="I9992"/>
      <c r="J9992"/>
    </row>
    <row r="9993" spans="9:10" x14ac:dyDescent="0.3">
      <c r="I9993"/>
      <c r="J9993"/>
    </row>
    <row r="9994" spans="9:10" x14ac:dyDescent="0.3">
      <c r="I9994"/>
      <c r="J9994"/>
    </row>
    <row r="9995" spans="9:10" x14ac:dyDescent="0.3">
      <c r="I9995"/>
      <c r="J9995"/>
    </row>
    <row r="9996" spans="9:10" x14ac:dyDescent="0.3">
      <c r="I9996"/>
      <c r="J9996"/>
    </row>
    <row r="9997" spans="9:10" x14ac:dyDescent="0.3">
      <c r="I9997"/>
      <c r="J9997"/>
    </row>
    <row r="9998" spans="9:10" x14ac:dyDescent="0.3">
      <c r="I9998"/>
      <c r="J9998"/>
    </row>
    <row r="9999" spans="9:10" x14ac:dyDescent="0.3">
      <c r="I9999"/>
      <c r="J9999"/>
    </row>
    <row r="10000" spans="9:10" x14ac:dyDescent="0.3">
      <c r="I10000"/>
      <c r="J10000"/>
    </row>
    <row r="10001" spans="9:10" x14ac:dyDescent="0.3">
      <c r="I10001"/>
      <c r="J10001"/>
    </row>
    <row r="10002" spans="9:10" x14ac:dyDescent="0.3">
      <c r="I10002"/>
      <c r="J10002"/>
    </row>
    <row r="10003" spans="9:10" x14ac:dyDescent="0.3">
      <c r="I10003"/>
      <c r="J10003"/>
    </row>
    <row r="10004" spans="9:10" x14ac:dyDescent="0.3">
      <c r="I10004"/>
      <c r="J10004"/>
    </row>
    <row r="10005" spans="9:10" x14ac:dyDescent="0.3">
      <c r="I10005"/>
      <c r="J10005"/>
    </row>
    <row r="10006" spans="9:10" x14ac:dyDescent="0.3">
      <c r="I10006"/>
      <c r="J10006"/>
    </row>
    <row r="10007" spans="9:10" x14ac:dyDescent="0.3">
      <c r="I10007"/>
      <c r="J10007"/>
    </row>
    <row r="10008" spans="9:10" x14ac:dyDescent="0.3">
      <c r="I10008"/>
      <c r="J10008"/>
    </row>
    <row r="10009" spans="9:10" x14ac:dyDescent="0.3">
      <c r="I10009"/>
      <c r="J10009"/>
    </row>
    <row r="10010" spans="9:10" x14ac:dyDescent="0.3">
      <c r="I10010"/>
      <c r="J10010"/>
    </row>
    <row r="10011" spans="9:10" x14ac:dyDescent="0.3">
      <c r="I10011"/>
      <c r="J10011"/>
    </row>
    <row r="10012" spans="9:10" x14ac:dyDescent="0.3">
      <c r="I10012"/>
      <c r="J10012"/>
    </row>
    <row r="10013" spans="9:10" x14ac:dyDescent="0.3">
      <c r="I10013"/>
      <c r="J10013"/>
    </row>
    <row r="10014" spans="9:10" x14ac:dyDescent="0.3">
      <c r="I10014"/>
      <c r="J10014"/>
    </row>
    <row r="10015" spans="9:10" x14ac:dyDescent="0.3">
      <c r="I10015"/>
      <c r="J10015"/>
    </row>
    <row r="10016" spans="9:10" x14ac:dyDescent="0.3">
      <c r="I10016"/>
      <c r="J10016"/>
    </row>
    <row r="10017" spans="9:10" x14ac:dyDescent="0.3">
      <c r="I10017"/>
      <c r="J10017"/>
    </row>
    <row r="10018" spans="9:10" x14ac:dyDescent="0.3">
      <c r="I10018"/>
      <c r="J10018"/>
    </row>
    <row r="10019" spans="9:10" x14ac:dyDescent="0.3">
      <c r="I10019"/>
      <c r="J10019"/>
    </row>
    <row r="10020" spans="9:10" x14ac:dyDescent="0.3">
      <c r="I10020"/>
      <c r="J10020"/>
    </row>
    <row r="10021" spans="9:10" x14ac:dyDescent="0.3">
      <c r="I10021"/>
      <c r="J10021"/>
    </row>
    <row r="10022" spans="9:10" x14ac:dyDescent="0.3">
      <c r="I10022"/>
      <c r="J10022"/>
    </row>
    <row r="10023" spans="9:10" x14ac:dyDescent="0.3">
      <c r="I10023"/>
      <c r="J10023"/>
    </row>
    <row r="10024" spans="9:10" x14ac:dyDescent="0.3">
      <c r="I10024"/>
      <c r="J10024"/>
    </row>
    <row r="10025" spans="9:10" x14ac:dyDescent="0.3">
      <c r="I10025"/>
      <c r="J10025"/>
    </row>
    <row r="10026" spans="9:10" x14ac:dyDescent="0.3">
      <c r="I10026"/>
      <c r="J10026"/>
    </row>
    <row r="10027" spans="9:10" x14ac:dyDescent="0.3">
      <c r="I10027"/>
      <c r="J10027"/>
    </row>
    <row r="10028" spans="9:10" x14ac:dyDescent="0.3">
      <c r="I10028"/>
      <c r="J10028"/>
    </row>
    <row r="10029" spans="9:10" x14ac:dyDescent="0.3">
      <c r="I10029"/>
      <c r="J10029"/>
    </row>
    <row r="10030" spans="9:10" x14ac:dyDescent="0.3">
      <c r="I10030"/>
      <c r="J10030"/>
    </row>
    <row r="10031" spans="9:10" x14ac:dyDescent="0.3">
      <c r="I10031"/>
      <c r="J10031"/>
    </row>
    <row r="10032" spans="9:10" x14ac:dyDescent="0.3">
      <c r="I10032"/>
      <c r="J10032"/>
    </row>
    <row r="10033" spans="9:10" x14ac:dyDescent="0.3">
      <c r="I10033"/>
      <c r="J10033"/>
    </row>
    <row r="10034" spans="9:10" x14ac:dyDescent="0.3">
      <c r="I10034"/>
      <c r="J10034"/>
    </row>
    <row r="10035" spans="9:10" x14ac:dyDescent="0.3">
      <c r="I10035"/>
      <c r="J10035"/>
    </row>
    <row r="10036" spans="9:10" x14ac:dyDescent="0.3">
      <c r="I10036"/>
      <c r="J10036"/>
    </row>
    <row r="10037" spans="9:10" x14ac:dyDescent="0.3">
      <c r="I10037"/>
      <c r="J10037"/>
    </row>
    <row r="10038" spans="9:10" x14ac:dyDescent="0.3">
      <c r="I10038"/>
      <c r="J10038"/>
    </row>
    <row r="10039" spans="9:10" x14ac:dyDescent="0.3">
      <c r="I10039"/>
      <c r="J10039"/>
    </row>
    <row r="10040" spans="9:10" x14ac:dyDescent="0.3">
      <c r="I10040"/>
      <c r="J10040"/>
    </row>
    <row r="10041" spans="9:10" x14ac:dyDescent="0.3">
      <c r="I10041"/>
      <c r="J10041"/>
    </row>
    <row r="10042" spans="9:10" x14ac:dyDescent="0.3">
      <c r="I10042"/>
      <c r="J10042"/>
    </row>
    <row r="10043" spans="9:10" x14ac:dyDescent="0.3">
      <c r="I10043"/>
      <c r="J10043"/>
    </row>
    <row r="10044" spans="9:10" x14ac:dyDescent="0.3">
      <c r="I10044"/>
      <c r="J10044"/>
    </row>
    <row r="10045" spans="9:10" x14ac:dyDescent="0.3">
      <c r="I10045"/>
      <c r="J10045"/>
    </row>
    <row r="10046" spans="9:10" x14ac:dyDescent="0.3">
      <c r="I10046"/>
      <c r="J10046"/>
    </row>
    <row r="10047" spans="9:10" x14ac:dyDescent="0.3">
      <c r="I10047"/>
      <c r="J10047"/>
    </row>
    <row r="10048" spans="9:10" x14ac:dyDescent="0.3">
      <c r="I10048"/>
      <c r="J10048"/>
    </row>
    <row r="10049" spans="9:10" x14ac:dyDescent="0.3">
      <c r="I10049"/>
      <c r="J10049"/>
    </row>
    <row r="10050" spans="9:10" x14ac:dyDescent="0.3">
      <c r="I10050"/>
      <c r="J10050"/>
    </row>
    <row r="10051" spans="9:10" x14ac:dyDescent="0.3">
      <c r="I10051"/>
      <c r="J10051"/>
    </row>
    <row r="10052" spans="9:10" x14ac:dyDescent="0.3">
      <c r="I10052"/>
      <c r="J10052"/>
    </row>
    <row r="10053" spans="9:10" x14ac:dyDescent="0.3">
      <c r="I10053"/>
      <c r="J10053"/>
    </row>
    <row r="10054" spans="9:10" x14ac:dyDescent="0.3">
      <c r="I10054"/>
      <c r="J10054"/>
    </row>
    <row r="10055" spans="9:10" x14ac:dyDescent="0.3">
      <c r="I10055"/>
      <c r="J10055"/>
    </row>
    <row r="10056" spans="9:10" x14ac:dyDescent="0.3">
      <c r="I10056"/>
      <c r="J10056"/>
    </row>
    <row r="10057" spans="9:10" x14ac:dyDescent="0.3">
      <c r="I10057"/>
      <c r="J10057"/>
    </row>
    <row r="10058" spans="9:10" x14ac:dyDescent="0.3">
      <c r="I10058"/>
      <c r="J10058"/>
    </row>
    <row r="10059" spans="9:10" x14ac:dyDescent="0.3">
      <c r="I10059"/>
      <c r="J10059"/>
    </row>
    <row r="10060" spans="9:10" x14ac:dyDescent="0.3">
      <c r="I10060"/>
      <c r="J10060"/>
    </row>
    <row r="10061" spans="9:10" x14ac:dyDescent="0.3">
      <c r="I10061"/>
      <c r="J10061"/>
    </row>
    <row r="10062" spans="9:10" x14ac:dyDescent="0.3">
      <c r="I10062"/>
      <c r="J10062"/>
    </row>
    <row r="10063" spans="9:10" x14ac:dyDescent="0.3">
      <c r="I10063"/>
      <c r="J10063"/>
    </row>
    <row r="10064" spans="9:10" x14ac:dyDescent="0.3">
      <c r="I10064"/>
      <c r="J10064"/>
    </row>
    <row r="10065" spans="9:10" x14ac:dyDescent="0.3">
      <c r="I10065"/>
      <c r="J10065"/>
    </row>
    <row r="10066" spans="9:10" x14ac:dyDescent="0.3">
      <c r="I10066"/>
      <c r="J10066"/>
    </row>
    <row r="10067" spans="9:10" x14ac:dyDescent="0.3">
      <c r="I10067"/>
      <c r="J10067"/>
    </row>
    <row r="10068" spans="9:10" x14ac:dyDescent="0.3">
      <c r="I10068"/>
      <c r="J10068"/>
    </row>
    <row r="10069" spans="9:10" x14ac:dyDescent="0.3">
      <c r="I10069"/>
      <c r="J10069"/>
    </row>
    <row r="10070" spans="9:10" x14ac:dyDescent="0.3">
      <c r="I10070"/>
      <c r="J10070"/>
    </row>
    <row r="10071" spans="9:10" x14ac:dyDescent="0.3">
      <c r="I10071"/>
      <c r="J10071"/>
    </row>
    <row r="10072" spans="9:10" x14ac:dyDescent="0.3">
      <c r="I10072"/>
      <c r="J10072"/>
    </row>
    <row r="10073" spans="9:10" x14ac:dyDescent="0.3">
      <c r="I10073"/>
      <c r="J10073"/>
    </row>
    <row r="10074" spans="9:10" x14ac:dyDescent="0.3">
      <c r="I10074"/>
      <c r="J10074"/>
    </row>
    <row r="10075" spans="9:10" x14ac:dyDescent="0.3">
      <c r="I10075"/>
      <c r="J10075"/>
    </row>
    <row r="10076" spans="9:10" x14ac:dyDescent="0.3">
      <c r="I10076"/>
      <c r="J10076"/>
    </row>
    <row r="10077" spans="9:10" x14ac:dyDescent="0.3">
      <c r="I10077"/>
      <c r="J10077"/>
    </row>
    <row r="10078" spans="9:10" x14ac:dyDescent="0.3">
      <c r="I10078"/>
      <c r="J10078"/>
    </row>
    <row r="10079" spans="9:10" x14ac:dyDescent="0.3">
      <c r="I10079"/>
      <c r="J10079"/>
    </row>
    <row r="10080" spans="9:10" x14ac:dyDescent="0.3">
      <c r="I10080"/>
      <c r="J10080"/>
    </row>
    <row r="10081" spans="9:10" x14ac:dyDescent="0.3">
      <c r="I10081"/>
      <c r="J10081"/>
    </row>
    <row r="10082" spans="9:10" x14ac:dyDescent="0.3">
      <c r="I10082"/>
      <c r="J10082"/>
    </row>
    <row r="10083" spans="9:10" x14ac:dyDescent="0.3">
      <c r="I10083"/>
      <c r="J10083"/>
    </row>
    <row r="10084" spans="9:10" x14ac:dyDescent="0.3">
      <c r="I10084"/>
      <c r="J10084"/>
    </row>
    <row r="10085" spans="9:10" x14ac:dyDescent="0.3">
      <c r="I10085"/>
      <c r="J10085"/>
    </row>
    <row r="10086" spans="9:10" x14ac:dyDescent="0.3">
      <c r="I10086"/>
      <c r="J10086"/>
    </row>
    <row r="10087" spans="9:10" x14ac:dyDescent="0.3">
      <c r="I10087"/>
      <c r="J10087"/>
    </row>
    <row r="10088" spans="9:10" x14ac:dyDescent="0.3">
      <c r="I10088"/>
      <c r="J10088"/>
    </row>
    <row r="10089" spans="9:10" x14ac:dyDescent="0.3">
      <c r="I10089"/>
      <c r="J10089"/>
    </row>
    <row r="10090" spans="9:10" x14ac:dyDescent="0.3">
      <c r="I10090"/>
      <c r="J10090"/>
    </row>
    <row r="10091" spans="9:10" x14ac:dyDescent="0.3">
      <c r="I10091"/>
      <c r="J10091"/>
    </row>
    <row r="10092" spans="9:10" x14ac:dyDescent="0.3">
      <c r="I10092"/>
      <c r="J10092"/>
    </row>
    <row r="10093" spans="9:10" x14ac:dyDescent="0.3">
      <c r="I10093"/>
      <c r="J10093"/>
    </row>
    <row r="10094" spans="9:10" x14ac:dyDescent="0.3">
      <c r="I10094"/>
      <c r="J10094"/>
    </row>
    <row r="10095" spans="9:10" x14ac:dyDescent="0.3">
      <c r="I10095"/>
      <c r="J10095"/>
    </row>
    <row r="10096" spans="9:10" x14ac:dyDescent="0.3">
      <c r="I10096"/>
      <c r="J10096"/>
    </row>
    <row r="10097" spans="9:10" x14ac:dyDescent="0.3">
      <c r="I10097"/>
      <c r="J10097"/>
    </row>
    <row r="10098" spans="9:10" x14ac:dyDescent="0.3">
      <c r="I10098"/>
      <c r="J10098"/>
    </row>
    <row r="10099" spans="9:10" x14ac:dyDescent="0.3">
      <c r="I10099"/>
      <c r="J10099"/>
    </row>
    <row r="10100" spans="9:10" x14ac:dyDescent="0.3">
      <c r="I10100"/>
      <c r="J10100"/>
    </row>
    <row r="10101" spans="9:10" x14ac:dyDescent="0.3">
      <c r="I10101"/>
      <c r="J10101"/>
    </row>
    <row r="10102" spans="9:10" x14ac:dyDescent="0.3">
      <c r="I10102"/>
      <c r="J10102"/>
    </row>
    <row r="10103" spans="9:10" x14ac:dyDescent="0.3">
      <c r="I10103"/>
      <c r="J10103"/>
    </row>
    <row r="10104" spans="9:10" x14ac:dyDescent="0.3">
      <c r="I10104"/>
      <c r="J10104"/>
    </row>
    <row r="10105" spans="9:10" x14ac:dyDescent="0.3">
      <c r="I10105"/>
      <c r="J10105"/>
    </row>
    <row r="10106" spans="9:10" x14ac:dyDescent="0.3">
      <c r="I10106"/>
      <c r="J10106"/>
    </row>
    <row r="10107" spans="9:10" x14ac:dyDescent="0.3">
      <c r="I10107"/>
      <c r="J10107"/>
    </row>
    <row r="10108" spans="9:10" x14ac:dyDescent="0.3">
      <c r="I10108"/>
      <c r="J10108"/>
    </row>
    <row r="10109" spans="9:10" x14ac:dyDescent="0.3">
      <c r="I10109"/>
      <c r="J10109"/>
    </row>
    <row r="10110" spans="9:10" x14ac:dyDescent="0.3">
      <c r="I10110"/>
      <c r="J10110"/>
    </row>
    <row r="10111" spans="9:10" x14ac:dyDescent="0.3">
      <c r="I10111"/>
      <c r="J10111"/>
    </row>
    <row r="10112" spans="9:10" x14ac:dyDescent="0.3">
      <c r="I10112"/>
      <c r="J10112"/>
    </row>
    <row r="10113" spans="9:10" x14ac:dyDescent="0.3">
      <c r="I10113"/>
      <c r="J10113"/>
    </row>
    <row r="10114" spans="9:10" x14ac:dyDescent="0.3">
      <c r="I10114"/>
      <c r="J10114"/>
    </row>
    <row r="10115" spans="9:10" x14ac:dyDescent="0.3">
      <c r="I10115"/>
      <c r="J10115"/>
    </row>
    <row r="10116" spans="9:10" x14ac:dyDescent="0.3">
      <c r="I10116"/>
      <c r="J10116"/>
    </row>
    <row r="10117" spans="9:10" x14ac:dyDescent="0.3">
      <c r="I10117"/>
      <c r="J10117"/>
    </row>
    <row r="10118" spans="9:10" x14ac:dyDescent="0.3">
      <c r="I10118"/>
      <c r="J10118"/>
    </row>
    <row r="10119" spans="9:10" x14ac:dyDescent="0.3">
      <c r="I10119"/>
      <c r="J10119"/>
    </row>
    <row r="10120" spans="9:10" x14ac:dyDescent="0.3">
      <c r="I10120"/>
      <c r="J10120"/>
    </row>
    <row r="10121" spans="9:10" x14ac:dyDescent="0.3">
      <c r="I10121"/>
      <c r="J10121"/>
    </row>
    <row r="10122" spans="9:10" x14ac:dyDescent="0.3">
      <c r="I10122"/>
      <c r="J10122"/>
    </row>
    <row r="10123" spans="9:10" x14ac:dyDescent="0.3">
      <c r="I10123"/>
      <c r="J10123"/>
    </row>
    <row r="10124" spans="9:10" x14ac:dyDescent="0.3">
      <c r="I10124"/>
      <c r="J10124"/>
    </row>
    <row r="10125" spans="9:10" x14ac:dyDescent="0.3">
      <c r="I10125"/>
      <c r="J10125"/>
    </row>
    <row r="10126" spans="9:10" x14ac:dyDescent="0.3">
      <c r="I10126"/>
      <c r="J10126"/>
    </row>
    <row r="10127" spans="9:10" x14ac:dyDescent="0.3">
      <c r="I10127"/>
      <c r="J10127"/>
    </row>
    <row r="10128" spans="9:10" x14ac:dyDescent="0.3">
      <c r="I10128"/>
      <c r="J10128"/>
    </row>
    <row r="10129" spans="9:10" x14ac:dyDescent="0.3">
      <c r="I10129"/>
      <c r="J10129"/>
    </row>
    <row r="10130" spans="9:10" x14ac:dyDescent="0.3">
      <c r="I10130"/>
      <c r="J10130"/>
    </row>
    <row r="10131" spans="9:10" x14ac:dyDescent="0.3">
      <c r="I10131"/>
      <c r="J10131"/>
    </row>
    <row r="10132" spans="9:10" x14ac:dyDescent="0.3">
      <c r="I10132"/>
      <c r="J10132"/>
    </row>
    <row r="10133" spans="9:10" x14ac:dyDescent="0.3">
      <c r="I10133"/>
      <c r="J10133"/>
    </row>
    <row r="10134" spans="9:10" x14ac:dyDescent="0.3">
      <c r="I10134"/>
      <c r="J10134"/>
    </row>
    <row r="10135" spans="9:10" x14ac:dyDescent="0.3">
      <c r="I10135"/>
      <c r="J10135"/>
    </row>
    <row r="10136" spans="9:10" x14ac:dyDescent="0.3">
      <c r="I10136"/>
      <c r="J10136"/>
    </row>
    <row r="10137" spans="9:10" x14ac:dyDescent="0.3">
      <c r="I10137"/>
      <c r="J10137"/>
    </row>
    <row r="10138" spans="9:10" x14ac:dyDescent="0.3">
      <c r="I10138"/>
      <c r="J10138"/>
    </row>
    <row r="10139" spans="9:10" x14ac:dyDescent="0.3">
      <c r="I10139"/>
      <c r="J10139"/>
    </row>
    <row r="10140" spans="9:10" x14ac:dyDescent="0.3">
      <c r="I10140"/>
      <c r="J10140"/>
    </row>
    <row r="10141" spans="9:10" x14ac:dyDescent="0.3">
      <c r="I10141"/>
      <c r="J10141"/>
    </row>
    <row r="10142" spans="9:10" x14ac:dyDescent="0.3">
      <c r="I10142"/>
      <c r="J10142"/>
    </row>
    <row r="10143" spans="9:10" x14ac:dyDescent="0.3">
      <c r="I10143"/>
      <c r="J10143"/>
    </row>
    <row r="10144" spans="9:10" x14ac:dyDescent="0.3">
      <c r="I10144"/>
      <c r="J10144"/>
    </row>
    <row r="10145" spans="9:10" x14ac:dyDescent="0.3">
      <c r="I10145"/>
      <c r="J10145"/>
    </row>
    <row r="10146" spans="9:10" x14ac:dyDescent="0.3">
      <c r="I10146"/>
      <c r="J10146"/>
    </row>
    <row r="10147" spans="9:10" x14ac:dyDescent="0.3">
      <c r="I10147"/>
      <c r="J10147"/>
    </row>
    <row r="10148" spans="9:10" x14ac:dyDescent="0.3">
      <c r="I10148"/>
      <c r="J10148"/>
    </row>
    <row r="10149" spans="9:10" x14ac:dyDescent="0.3">
      <c r="I10149"/>
      <c r="J10149"/>
    </row>
    <row r="10150" spans="9:10" x14ac:dyDescent="0.3">
      <c r="I10150"/>
      <c r="J10150"/>
    </row>
    <row r="10151" spans="9:10" x14ac:dyDescent="0.3">
      <c r="I10151"/>
      <c r="J10151"/>
    </row>
    <row r="10152" spans="9:10" x14ac:dyDescent="0.3">
      <c r="I10152"/>
      <c r="J10152"/>
    </row>
    <row r="10153" spans="9:10" x14ac:dyDescent="0.3">
      <c r="I10153"/>
      <c r="J10153"/>
    </row>
    <row r="10154" spans="9:10" x14ac:dyDescent="0.3">
      <c r="I10154"/>
      <c r="J10154"/>
    </row>
    <row r="10155" spans="9:10" x14ac:dyDescent="0.3">
      <c r="I10155"/>
      <c r="J10155"/>
    </row>
    <row r="10156" spans="9:10" x14ac:dyDescent="0.3">
      <c r="I10156"/>
      <c r="J10156"/>
    </row>
    <row r="10157" spans="9:10" x14ac:dyDescent="0.3">
      <c r="I10157"/>
      <c r="J10157"/>
    </row>
    <row r="10158" spans="9:10" x14ac:dyDescent="0.3">
      <c r="I10158"/>
      <c r="J10158"/>
    </row>
    <row r="10159" spans="9:10" x14ac:dyDescent="0.3">
      <c r="I10159"/>
      <c r="J10159"/>
    </row>
    <row r="10160" spans="9:10" x14ac:dyDescent="0.3">
      <c r="I10160"/>
      <c r="J10160"/>
    </row>
    <row r="10161" spans="9:10" x14ac:dyDescent="0.3">
      <c r="I10161"/>
      <c r="J10161"/>
    </row>
    <row r="10162" spans="9:10" x14ac:dyDescent="0.3">
      <c r="I10162"/>
      <c r="J10162"/>
    </row>
    <row r="10163" spans="9:10" x14ac:dyDescent="0.3">
      <c r="I10163"/>
      <c r="J10163"/>
    </row>
    <row r="10164" spans="9:10" x14ac:dyDescent="0.3">
      <c r="I10164"/>
      <c r="J10164"/>
    </row>
    <row r="10165" spans="9:10" x14ac:dyDescent="0.3">
      <c r="I10165"/>
      <c r="J10165"/>
    </row>
    <row r="10166" spans="9:10" x14ac:dyDescent="0.3">
      <c r="I10166"/>
      <c r="J10166"/>
    </row>
    <row r="10167" spans="9:10" x14ac:dyDescent="0.3">
      <c r="I10167"/>
      <c r="J10167"/>
    </row>
    <row r="10168" spans="9:10" x14ac:dyDescent="0.3">
      <c r="I10168"/>
      <c r="J10168"/>
    </row>
    <row r="10169" spans="9:10" x14ac:dyDescent="0.3">
      <c r="I10169"/>
      <c r="J10169"/>
    </row>
    <row r="10170" spans="9:10" x14ac:dyDescent="0.3">
      <c r="I10170"/>
      <c r="J10170"/>
    </row>
    <row r="10171" spans="9:10" x14ac:dyDescent="0.3">
      <c r="I10171"/>
      <c r="J10171"/>
    </row>
    <row r="10172" spans="9:10" x14ac:dyDescent="0.3">
      <c r="I10172"/>
      <c r="J10172"/>
    </row>
    <row r="10173" spans="9:10" x14ac:dyDescent="0.3">
      <c r="I10173"/>
      <c r="J10173"/>
    </row>
    <row r="10174" spans="9:10" x14ac:dyDescent="0.3">
      <c r="I10174"/>
      <c r="J10174"/>
    </row>
    <row r="10175" spans="9:10" x14ac:dyDescent="0.3">
      <c r="I10175"/>
      <c r="J10175"/>
    </row>
    <row r="10176" spans="9:10" x14ac:dyDescent="0.3">
      <c r="I10176"/>
      <c r="J10176"/>
    </row>
    <row r="10177" spans="9:10" x14ac:dyDescent="0.3">
      <c r="I10177"/>
      <c r="J10177"/>
    </row>
    <row r="10178" spans="9:10" x14ac:dyDescent="0.3">
      <c r="I10178"/>
      <c r="J10178"/>
    </row>
    <row r="10179" spans="9:10" x14ac:dyDescent="0.3">
      <c r="I10179"/>
      <c r="J10179"/>
    </row>
    <row r="10180" spans="9:10" x14ac:dyDescent="0.3">
      <c r="I10180"/>
      <c r="J10180"/>
    </row>
    <row r="10181" spans="9:10" x14ac:dyDescent="0.3">
      <c r="I10181"/>
      <c r="J10181"/>
    </row>
    <row r="10182" spans="9:10" x14ac:dyDescent="0.3">
      <c r="I10182"/>
      <c r="J10182"/>
    </row>
    <row r="10183" spans="9:10" x14ac:dyDescent="0.3">
      <c r="I10183"/>
      <c r="J10183"/>
    </row>
    <row r="10184" spans="9:10" x14ac:dyDescent="0.3">
      <c r="I10184"/>
      <c r="J10184"/>
    </row>
    <row r="10185" spans="9:10" x14ac:dyDescent="0.3">
      <c r="I10185"/>
      <c r="J10185"/>
    </row>
    <row r="10186" spans="9:10" x14ac:dyDescent="0.3">
      <c r="I10186"/>
      <c r="J10186"/>
    </row>
    <row r="10187" spans="9:10" x14ac:dyDescent="0.3">
      <c r="I10187"/>
      <c r="J10187"/>
    </row>
    <row r="10188" spans="9:10" x14ac:dyDescent="0.3">
      <c r="I10188"/>
      <c r="J10188"/>
    </row>
    <row r="10189" spans="9:10" x14ac:dyDescent="0.3">
      <c r="I10189"/>
      <c r="J10189"/>
    </row>
    <row r="10190" spans="9:10" x14ac:dyDescent="0.3">
      <c r="I10190"/>
      <c r="J10190"/>
    </row>
    <row r="10191" spans="9:10" x14ac:dyDescent="0.3">
      <c r="I10191"/>
      <c r="J10191"/>
    </row>
    <row r="10192" spans="9:10" x14ac:dyDescent="0.3">
      <c r="I10192"/>
      <c r="J10192"/>
    </row>
    <row r="10193" spans="9:10" x14ac:dyDescent="0.3">
      <c r="I10193"/>
      <c r="J10193"/>
    </row>
    <row r="10194" spans="9:10" x14ac:dyDescent="0.3">
      <c r="I10194"/>
      <c r="J10194"/>
    </row>
    <row r="10195" spans="9:10" x14ac:dyDescent="0.3">
      <c r="I10195"/>
      <c r="J10195"/>
    </row>
    <row r="10196" spans="9:10" x14ac:dyDescent="0.3">
      <c r="I10196"/>
      <c r="J10196"/>
    </row>
    <row r="10197" spans="9:10" x14ac:dyDescent="0.3">
      <c r="I10197"/>
      <c r="J10197"/>
    </row>
    <row r="10198" spans="9:10" x14ac:dyDescent="0.3">
      <c r="I10198"/>
      <c r="J10198"/>
    </row>
    <row r="10199" spans="9:10" x14ac:dyDescent="0.3">
      <c r="I10199"/>
      <c r="J10199"/>
    </row>
    <row r="10200" spans="9:10" x14ac:dyDescent="0.3">
      <c r="I10200"/>
      <c r="J10200"/>
    </row>
    <row r="10201" spans="9:10" x14ac:dyDescent="0.3">
      <c r="I10201"/>
      <c r="J10201"/>
    </row>
    <row r="10202" spans="9:10" x14ac:dyDescent="0.3">
      <c r="I10202"/>
      <c r="J10202"/>
    </row>
    <row r="10203" spans="9:10" x14ac:dyDescent="0.3">
      <c r="I10203"/>
      <c r="J10203"/>
    </row>
    <row r="10204" spans="9:10" x14ac:dyDescent="0.3">
      <c r="I10204"/>
      <c r="J10204"/>
    </row>
    <row r="10205" spans="9:10" x14ac:dyDescent="0.3">
      <c r="I10205"/>
      <c r="J10205"/>
    </row>
    <row r="10206" spans="9:10" x14ac:dyDescent="0.3">
      <c r="I10206"/>
      <c r="J10206"/>
    </row>
    <row r="10207" spans="9:10" x14ac:dyDescent="0.3">
      <c r="I10207"/>
      <c r="J10207"/>
    </row>
    <row r="10208" spans="9:10" x14ac:dyDescent="0.3">
      <c r="I10208"/>
      <c r="J10208"/>
    </row>
    <row r="10209" spans="9:10" x14ac:dyDescent="0.3">
      <c r="I10209"/>
      <c r="J10209"/>
    </row>
    <row r="10210" spans="9:10" x14ac:dyDescent="0.3">
      <c r="I10210"/>
      <c r="J10210"/>
    </row>
    <row r="10211" spans="9:10" x14ac:dyDescent="0.3">
      <c r="I10211"/>
      <c r="J10211"/>
    </row>
    <row r="10212" spans="9:10" x14ac:dyDescent="0.3">
      <c r="I10212"/>
      <c r="J10212"/>
    </row>
    <row r="10213" spans="9:10" x14ac:dyDescent="0.3">
      <c r="I10213"/>
      <c r="J10213"/>
    </row>
    <row r="10214" spans="9:10" x14ac:dyDescent="0.3">
      <c r="I10214"/>
      <c r="J10214"/>
    </row>
    <row r="10215" spans="9:10" x14ac:dyDescent="0.3">
      <c r="I10215"/>
      <c r="J10215"/>
    </row>
    <row r="10216" spans="9:10" x14ac:dyDescent="0.3">
      <c r="I10216"/>
      <c r="J10216"/>
    </row>
    <row r="10217" spans="9:10" x14ac:dyDescent="0.3">
      <c r="I10217"/>
      <c r="J10217"/>
    </row>
    <row r="10218" spans="9:10" x14ac:dyDescent="0.3">
      <c r="I10218"/>
      <c r="J10218"/>
    </row>
    <row r="10219" spans="9:10" x14ac:dyDescent="0.3">
      <c r="I10219"/>
      <c r="J10219"/>
    </row>
    <row r="10220" spans="9:10" x14ac:dyDescent="0.3">
      <c r="I10220"/>
      <c r="J10220"/>
    </row>
    <row r="10221" spans="9:10" x14ac:dyDescent="0.3">
      <c r="I10221"/>
      <c r="J10221"/>
    </row>
    <row r="10222" spans="9:10" x14ac:dyDescent="0.3">
      <c r="I10222"/>
      <c r="J10222"/>
    </row>
    <row r="10223" spans="9:10" x14ac:dyDescent="0.3">
      <c r="I10223"/>
      <c r="J10223"/>
    </row>
    <row r="10224" spans="9:10" x14ac:dyDescent="0.3">
      <c r="I10224"/>
      <c r="J10224"/>
    </row>
    <row r="10225" spans="9:10" x14ac:dyDescent="0.3">
      <c r="I10225"/>
      <c r="J10225"/>
    </row>
    <row r="10226" spans="9:10" x14ac:dyDescent="0.3">
      <c r="I10226"/>
      <c r="J10226"/>
    </row>
    <row r="10227" spans="9:10" x14ac:dyDescent="0.3">
      <c r="I10227"/>
      <c r="J10227"/>
    </row>
    <row r="10228" spans="9:10" x14ac:dyDescent="0.3">
      <c r="I10228"/>
      <c r="J10228"/>
    </row>
    <row r="10229" spans="9:10" x14ac:dyDescent="0.3">
      <c r="I10229"/>
      <c r="J10229"/>
    </row>
    <row r="10230" spans="9:10" x14ac:dyDescent="0.3">
      <c r="I10230"/>
      <c r="J10230"/>
    </row>
    <row r="10231" spans="9:10" x14ac:dyDescent="0.3">
      <c r="I10231"/>
      <c r="J10231"/>
    </row>
    <row r="10232" spans="9:10" x14ac:dyDescent="0.3">
      <c r="I10232"/>
      <c r="J10232"/>
    </row>
    <row r="10233" spans="9:10" x14ac:dyDescent="0.3">
      <c r="I10233"/>
      <c r="J10233"/>
    </row>
    <row r="10234" spans="9:10" x14ac:dyDescent="0.3">
      <c r="I10234"/>
      <c r="J10234"/>
    </row>
    <row r="10235" spans="9:10" x14ac:dyDescent="0.3">
      <c r="I10235"/>
      <c r="J10235"/>
    </row>
    <row r="10236" spans="9:10" x14ac:dyDescent="0.3">
      <c r="I10236"/>
      <c r="J10236"/>
    </row>
    <row r="10237" spans="9:10" x14ac:dyDescent="0.3">
      <c r="I10237"/>
      <c r="J10237"/>
    </row>
    <row r="10238" spans="9:10" x14ac:dyDescent="0.3">
      <c r="I10238"/>
      <c r="J10238"/>
    </row>
    <row r="10239" spans="9:10" x14ac:dyDescent="0.3">
      <c r="I10239"/>
      <c r="J10239"/>
    </row>
    <row r="10240" spans="9:10" x14ac:dyDescent="0.3">
      <c r="I10240"/>
      <c r="J10240"/>
    </row>
    <row r="10241" spans="9:10" x14ac:dyDescent="0.3">
      <c r="I10241"/>
      <c r="J10241"/>
    </row>
    <row r="10242" spans="9:10" x14ac:dyDescent="0.3">
      <c r="I10242"/>
      <c r="J10242"/>
    </row>
    <row r="10243" spans="9:10" x14ac:dyDescent="0.3">
      <c r="I10243"/>
      <c r="J10243"/>
    </row>
    <row r="10244" spans="9:10" x14ac:dyDescent="0.3">
      <c r="I10244"/>
      <c r="J10244"/>
    </row>
    <row r="10245" spans="9:10" x14ac:dyDescent="0.3">
      <c r="I10245"/>
      <c r="J10245"/>
    </row>
    <row r="10246" spans="9:10" x14ac:dyDescent="0.3">
      <c r="I10246"/>
      <c r="J10246"/>
    </row>
    <row r="10247" spans="9:10" x14ac:dyDescent="0.3">
      <c r="I10247"/>
      <c r="J10247"/>
    </row>
    <row r="10248" spans="9:10" x14ac:dyDescent="0.3">
      <c r="I10248"/>
      <c r="J10248"/>
    </row>
    <row r="10249" spans="9:10" x14ac:dyDescent="0.3">
      <c r="I10249"/>
      <c r="J10249"/>
    </row>
    <row r="10250" spans="9:10" x14ac:dyDescent="0.3">
      <c r="I10250"/>
      <c r="J10250"/>
    </row>
    <row r="10251" spans="9:10" x14ac:dyDescent="0.3">
      <c r="I10251"/>
      <c r="J10251"/>
    </row>
    <row r="10252" spans="9:10" x14ac:dyDescent="0.3">
      <c r="I10252"/>
      <c r="J10252"/>
    </row>
    <row r="10253" spans="9:10" x14ac:dyDescent="0.3">
      <c r="I10253"/>
      <c r="J10253"/>
    </row>
    <row r="10254" spans="9:10" x14ac:dyDescent="0.3">
      <c r="I10254"/>
      <c r="J10254"/>
    </row>
    <row r="10255" spans="9:10" x14ac:dyDescent="0.3">
      <c r="I10255"/>
      <c r="J10255"/>
    </row>
    <row r="10256" spans="9:10" x14ac:dyDescent="0.3">
      <c r="I10256"/>
      <c r="J10256"/>
    </row>
    <row r="10257" spans="9:10" x14ac:dyDescent="0.3">
      <c r="I10257"/>
      <c r="J10257"/>
    </row>
    <row r="10258" spans="9:10" x14ac:dyDescent="0.3">
      <c r="I10258"/>
      <c r="J10258"/>
    </row>
    <row r="10259" spans="9:10" x14ac:dyDescent="0.3">
      <c r="I10259"/>
      <c r="J10259"/>
    </row>
    <row r="10260" spans="9:10" x14ac:dyDescent="0.3">
      <c r="I10260"/>
      <c r="J10260"/>
    </row>
    <row r="10261" spans="9:10" x14ac:dyDescent="0.3">
      <c r="I10261"/>
      <c r="J10261"/>
    </row>
    <row r="10262" spans="9:10" x14ac:dyDescent="0.3">
      <c r="I10262"/>
      <c r="J10262"/>
    </row>
    <row r="10263" spans="9:10" x14ac:dyDescent="0.3">
      <c r="I10263"/>
      <c r="J10263"/>
    </row>
    <row r="10264" spans="9:10" x14ac:dyDescent="0.3">
      <c r="I10264"/>
      <c r="J10264"/>
    </row>
    <row r="10265" spans="9:10" x14ac:dyDescent="0.3">
      <c r="I10265"/>
      <c r="J10265"/>
    </row>
    <row r="10266" spans="9:10" x14ac:dyDescent="0.3">
      <c r="I10266"/>
      <c r="J10266"/>
    </row>
    <row r="10267" spans="9:10" x14ac:dyDescent="0.3">
      <c r="I10267"/>
      <c r="J10267"/>
    </row>
    <row r="10268" spans="9:10" x14ac:dyDescent="0.3">
      <c r="I10268"/>
      <c r="J10268"/>
    </row>
    <row r="10269" spans="9:10" x14ac:dyDescent="0.3">
      <c r="I10269"/>
      <c r="J10269"/>
    </row>
    <row r="10270" spans="9:10" x14ac:dyDescent="0.3">
      <c r="I10270"/>
      <c r="J10270"/>
    </row>
    <row r="10271" spans="9:10" x14ac:dyDescent="0.3">
      <c r="I10271"/>
      <c r="J10271"/>
    </row>
    <row r="10272" spans="9:10" x14ac:dyDescent="0.3">
      <c r="I10272"/>
      <c r="J10272"/>
    </row>
    <row r="10273" spans="9:10" x14ac:dyDescent="0.3">
      <c r="I10273"/>
      <c r="J10273"/>
    </row>
    <row r="10274" spans="9:10" x14ac:dyDescent="0.3">
      <c r="I10274"/>
      <c r="J10274"/>
    </row>
    <row r="10275" spans="9:10" x14ac:dyDescent="0.3">
      <c r="I10275"/>
      <c r="J10275"/>
    </row>
    <row r="10276" spans="9:10" x14ac:dyDescent="0.3">
      <c r="I10276"/>
      <c r="J10276"/>
    </row>
    <row r="10277" spans="9:10" x14ac:dyDescent="0.3">
      <c r="I10277"/>
      <c r="J10277"/>
    </row>
    <row r="10278" spans="9:10" x14ac:dyDescent="0.3">
      <c r="I10278"/>
      <c r="J10278"/>
    </row>
    <row r="10279" spans="9:10" x14ac:dyDescent="0.3">
      <c r="I10279"/>
      <c r="J10279"/>
    </row>
    <row r="10280" spans="9:10" x14ac:dyDescent="0.3">
      <c r="I10280"/>
      <c r="J10280"/>
    </row>
    <row r="10281" spans="9:10" x14ac:dyDescent="0.3">
      <c r="I10281"/>
      <c r="J10281"/>
    </row>
    <row r="10282" spans="9:10" x14ac:dyDescent="0.3">
      <c r="I10282"/>
      <c r="J10282"/>
    </row>
    <row r="10283" spans="9:10" x14ac:dyDescent="0.3">
      <c r="I10283"/>
      <c r="J10283"/>
    </row>
    <row r="10284" spans="9:10" x14ac:dyDescent="0.3">
      <c r="I10284"/>
      <c r="J10284"/>
    </row>
    <row r="10285" spans="9:10" x14ac:dyDescent="0.3">
      <c r="I10285"/>
      <c r="J10285"/>
    </row>
    <row r="10286" spans="9:10" x14ac:dyDescent="0.3">
      <c r="I10286"/>
      <c r="J10286"/>
    </row>
    <row r="10287" spans="9:10" x14ac:dyDescent="0.3">
      <c r="I10287"/>
      <c r="J10287"/>
    </row>
    <row r="10288" spans="9:10" x14ac:dyDescent="0.3">
      <c r="I10288"/>
      <c r="J10288"/>
    </row>
    <row r="10289" spans="9:10" x14ac:dyDescent="0.3">
      <c r="I10289"/>
      <c r="J10289"/>
    </row>
    <row r="10290" spans="9:10" x14ac:dyDescent="0.3">
      <c r="I10290"/>
      <c r="J10290"/>
    </row>
    <row r="10291" spans="9:10" x14ac:dyDescent="0.3">
      <c r="I10291"/>
      <c r="J10291"/>
    </row>
    <row r="10292" spans="9:10" x14ac:dyDescent="0.3">
      <c r="I10292"/>
      <c r="J10292"/>
    </row>
    <row r="10293" spans="9:10" x14ac:dyDescent="0.3">
      <c r="I10293"/>
      <c r="J10293"/>
    </row>
    <row r="10294" spans="9:10" x14ac:dyDescent="0.3">
      <c r="I10294"/>
      <c r="J10294"/>
    </row>
    <row r="10295" spans="9:10" x14ac:dyDescent="0.3">
      <c r="I10295"/>
      <c r="J10295"/>
    </row>
    <row r="10296" spans="9:10" x14ac:dyDescent="0.3">
      <c r="I10296"/>
      <c r="J10296"/>
    </row>
    <row r="10297" spans="9:10" x14ac:dyDescent="0.3">
      <c r="I10297"/>
      <c r="J10297"/>
    </row>
    <row r="10298" spans="9:10" x14ac:dyDescent="0.3">
      <c r="I10298"/>
      <c r="J10298"/>
    </row>
    <row r="10299" spans="9:10" x14ac:dyDescent="0.3">
      <c r="I10299"/>
      <c r="J10299"/>
    </row>
    <row r="10300" spans="9:10" x14ac:dyDescent="0.3">
      <c r="I10300"/>
      <c r="J10300"/>
    </row>
    <row r="10301" spans="9:10" x14ac:dyDescent="0.3">
      <c r="I10301"/>
      <c r="J10301"/>
    </row>
    <row r="10302" spans="9:10" x14ac:dyDescent="0.3">
      <c r="I10302"/>
      <c r="J10302"/>
    </row>
    <row r="10303" spans="9:10" x14ac:dyDescent="0.3">
      <c r="I10303"/>
      <c r="J10303"/>
    </row>
    <row r="10304" spans="9:10" x14ac:dyDescent="0.3">
      <c r="I10304"/>
      <c r="J10304"/>
    </row>
    <row r="10305" spans="9:10" x14ac:dyDescent="0.3">
      <c r="I10305"/>
      <c r="J10305"/>
    </row>
    <row r="10306" spans="9:10" x14ac:dyDescent="0.3">
      <c r="I10306"/>
      <c r="J10306"/>
    </row>
    <row r="10307" spans="9:10" x14ac:dyDescent="0.3">
      <c r="I10307"/>
      <c r="J10307"/>
    </row>
    <row r="10308" spans="9:10" x14ac:dyDescent="0.3">
      <c r="I10308"/>
      <c r="J10308"/>
    </row>
    <row r="10309" spans="9:10" x14ac:dyDescent="0.3">
      <c r="I10309"/>
      <c r="J10309"/>
    </row>
    <row r="10310" spans="9:10" x14ac:dyDescent="0.3">
      <c r="I10310"/>
      <c r="J10310"/>
    </row>
    <row r="10311" spans="9:10" x14ac:dyDescent="0.3">
      <c r="I10311"/>
      <c r="J10311"/>
    </row>
    <row r="10312" spans="9:10" x14ac:dyDescent="0.3">
      <c r="I10312"/>
      <c r="J10312"/>
    </row>
    <row r="10313" spans="9:10" x14ac:dyDescent="0.3">
      <c r="I10313"/>
      <c r="J10313"/>
    </row>
    <row r="10314" spans="9:10" x14ac:dyDescent="0.3">
      <c r="I10314"/>
      <c r="J10314"/>
    </row>
    <row r="10315" spans="9:10" x14ac:dyDescent="0.3">
      <c r="I10315"/>
      <c r="J10315"/>
    </row>
    <row r="10316" spans="9:10" x14ac:dyDescent="0.3">
      <c r="I10316"/>
      <c r="J10316"/>
    </row>
    <row r="10317" spans="9:10" x14ac:dyDescent="0.3">
      <c r="I10317"/>
      <c r="J10317"/>
    </row>
    <row r="10318" spans="9:10" x14ac:dyDescent="0.3">
      <c r="I10318"/>
      <c r="J10318"/>
    </row>
    <row r="10319" spans="9:10" x14ac:dyDescent="0.3">
      <c r="I10319"/>
      <c r="J10319"/>
    </row>
    <row r="10320" spans="9:10" x14ac:dyDescent="0.3">
      <c r="I10320"/>
      <c r="J10320"/>
    </row>
    <row r="10321" spans="9:10" x14ac:dyDescent="0.3">
      <c r="I10321"/>
      <c r="J10321"/>
    </row>
    <row r="10322" spans="9:10" x14ac:dyDescent="0.3">
      <c r="I10322"/>
      <c r="J10322"/>
    </row>
    <row r="10323" spans="9:10" x14ac:dyDescent="0.3">
      <c r="I10323"/>
      <c r="J10323"/>
    </row>
    <row r="10324" spans="9:10" x14ac:dyDescent="0.3">
      <c r="I10324"/>
      <c r="J10324"/>
    </row>
    <row r="10325" spans="9:10" x14ac:dyDescent="0.3">
      <c r="I10325"/>
      <c r="J10325"/>
    </row>
    <row r="10326" spans="9:10" x14ac:dyDescent="0.3">
      <c r="I10326"/>
      <c r="J10326"/>
    </row>
    <row r="10327" spans="9:10" x14ac:dyDescent="0.3">
      <c r="I10327"/>
      <c r="J10327"/>
    </row>
    <row r="10328" spans="9:10" x14ac:dyDescent="0.3">
      <c r="I10328"/>
      <c r="J10328"/>
    </row>
    <row r="10329" spans="9:10" x14ac:dyDescent="0.3">
      <c r="I10329"/>
      <c r="J10329"/>
    </row>
    <row r="10330" spans="9:10" x14ac:dyDescent="0.3">
      <c r="I10330"/>
      <c r="J10330"/>
    </row>
    <row r="10331" spans="9:10" x14ac:dyDescent="0.3">
      <c r="I10331"/>
      <c r="J10331"/>
    </row>
    <row r="10332" spans="9:10" x14ac:dyDescent="0.3">
      <c r="I10332"/>
      <c r="J10332"/>
    </row>
    <row r="10333" spans="9:10" x14ac:dyDescent="0.3">
      <c r="I10333"/>
      <c r="J10333"/>
    </row>
    <row r="10334" spans="9:10" x14ac:dyDescent="0.3">
      <c r="I10334"/>
      <c r="J10334"/>
    </row>
    <row r="10335" spans="9:10" x14ac:dyDescent="0.3">
      <c r="I10335"/>
      <c r="J10335"/>
    </row>
    <row r="10336" spans="9:10" x14ac:dyDescent="0.3">
      <c r="I10336"/>
      <c r="J10336"/>
    </row>
    <row r="10337" spans="9:10" x14ac:dyDescent="0.3">
      <c r="I10337"/>
      <c r="J10337"/>
    </row>
    <row r="10338" spans="9:10" x14ac:dyDescent="0.3">
      <c r="I10338"/>
      <c r="J10338"/>
    </row>
    <row r="10339" spans="9:10" x14ac:dyDescent="0.3">
      <c r="I10339"/>
      <c r="J10339"/>
    </row>
    <row r="10340" spans="9:10" x14ac:dyDescent="0.3">
      <c r="I10340"/>
      <c r="J10340"/>
    </row>
    <row r="10341" spans="9:10" x14ac:dyDescent="0.3">
      <c r="I10341"/>
      <c r="J10341"/>
    </row>
    <row r="10342" spans="9:10" x14ac:dyDescent="0.3">
      <c r="I10342"/>
      <c r="J10342"/>
    </row>
    <row r="10343" spans="9:10" x14ac:dyDescent="0.3">
      <c r="I10343"/>
      <c r="J10343"/>
    </row>
    <row r="10344" spans="9:10" x14ac:dyDescent="0.3">
      <c r="I10344"/>
      <c r="J10344"/>
    </row>
    <row r="10345" spans="9:10" x14ac:dyDescent="0.3">
      <c r="I10345"/>
      <c r="J10345"/>
    </row>
    <row r="10346" spans="9:10" x14ac:dyDescent="0.3">
      <c r="I10346"/>
      <c r="J10346"/>
    </row>
    <row r="10347" spans="9:10" x14ac:dyDescent="0.3">
      <c r="I10347"/>
      <c r="J10347"/>
    </row>
    <row r="10348" spans="9:10" x14ac:dyDescent="0.3">
      <c r="I10348"/>
      <c r="J10348"/>
    </row>
    <row r="10349" spans="9:10" x14ac:dyDescent="0.3">
      <c r="I10349"/>
      <c r="J10349"/>
    </row>
    <row r="10350" spans="9:10" x14ac:dyDescent="0.3">
      <c r="I10350"/>
      <c r="J10350"/>
    </row>
    <row r="10351" spans="9:10" x14ac:dyDescent="0.3">
      <c r="I10351"/>
      <c r="J10351"/>
    </row>
    <row r="10352" spans="9:10" x14ac:dyDescent="0.3">
      <c r="I10352"/>
      <c r="J10352"/>
    </row>
    <row r="10353" spans="9:10" x14ac:dyDescent="0.3">
      <c r="I10353"/>
      <c r="J10353"/>
    </row>
    <row r="10354" spans="9:10" x14ac:dyDescent="0.3">
      <c r="I10354"/>
      <c r="J10354"/>
    </row>
    <row r="10355" spans="9:10" x14ac:dyDescent="0.3">
      <c r="I10355"/>
      <c r="J10355"/>
    </row>
    <row r="10356" spans="9:10" x14ac:dyDescent="0.3">
      <c r="I10356"/>
      <c r="J10356"/>
    </row>
    <row r="10357" spans="9:10" x14ac:dyDescent="0.3">
      <c r="I10357"/>
      <c r="J10357"/>
    </row>
    <row r="10358" spans="9:10" x14ac:dyDescent="0.3">
      <c r="I10358"/>
      <c r="J10358"/>
    </row>
    <row r="10359" spans="9:10" x14ac:dyDescent="0.3">
      <c r="I10359"/>
      <c r="J10359"/>
    </row>
    <row r="10360" spans="9:10" x14ac:dyDescent="0.3">
      <c r="I10360"/>
      <c r="J10360"/>
    </row>
    <row r="10361" spans="9:10" x14ac:dyDescent="0.3">
      <c r="I10361"/>
      <c r="J10361"/>
    </row>
    <row r="10362" spans="9:10" x14ac:dyDescent="0.3">
      <c r="I10362"/>
      <c r="J10362"/>
    </row>
    <row r="10363" spans="9:10" x14ac:dyDescent="0.3">
      <c r="I10363"/>
      <c r="J10363"/>
    </row>
    <row r="10364" spans="9:10" x14ac:dyDescent="0.3">
      <c r="I10364"/>
      <c r="J10364"/>
    </row>
    <row r="10365" spans="9:10" x14ac:dyDescent="0.3">
      <c r="I10365"/>
      <c r="J10365"/>
    </row>
    <row r="10366" spans="9:10" x14ac:dyDescent="0.3">
      <c r="I10366"/>
      <c r="J10366"/>
    </row>
    <row r="10367" spans="9:10" x14ac:dyDescent="0.3">
      <c r="I10367"/>
      <c r="J10367"/>
    </row>
    <row r="10368" spans="9:10" x14ac:dyDescent="0.3">
      <c r="I10368"/>
      <c r="J10368"/>
    </row>
    <row r="10369" spans="9:10" x14ac:dyDescent="0.3">
      <c r="I10369"/>
      <c r="J10369"/>
    </row>
    <row r="10370" spans="9:10" x14ac:dyDescent="0.3">
      <c r="I10370"/>
      <c r="J10370"/>
    </row>
    <row r="10371" spans="9:10" x14ac:dyDescent="0.3">
      <c r="I10371"/>
      <c r="J10371"/>
    </row>
    <row r="10372" spans="9:10" x14ac:dyDescent="0.3">
      <c r="I10372"/>
      <c r="J10372"/>
    </row>
    <row r="10373" spans="9:10" x14ac:dyDescent="0.3">
      <c r="I10373"/>
      <c r="J10373"/>
    </row>
    <row r="10374" spans="9:10" x14ac:dyDescent="0.3">
      <c r="I10374"/>
      <c r="J10374"/>
    </row>
    <row r="10375" spans="9:10" x14ac:dyDescent="0.3">
      <c r="I10375"/>
      <c r="J10375"/>
    </row>
    <row r="10376" spans="9:10" x14ac:dyDescent="0.3">
      <c r="I10376"/>
      <c r="J10376"/>
    </row>
    <row r="10377" spans="9:10" x14ac:dyDescent="0.3">
      <c r="I10377"/>
      <c r="J10377"/>
    </row>
    <row r="10378" spans="9:10" x14ac:dyDescent="0.3">
      <c r="I10378"/>
      <c r="J10378"/>
    </row>
    <row r="10379" spans="9:10" x14ac:dyDescent="0.3">
      <c r="I10379"/>
      <c r="J10379"/>
    </row>
    <row r="10380" spans="9:10" x14ac:dyDescent="0.3">
      <c r="I10380"/>
      <c r="J10380"/>
    </row>
    <row r="10381" spans="9:10" x14ac:dyDescent="0.3">
      <c r="I10381"/>
      <c r="J10381"/>
    </row>
    <row r="10382" spans="9:10" x14ac:dyDescent="0.3">
      <c r="I10382"/>
      <c r="J10382"/>
    </row>
    <row r="10383" spans="9:10" x14ac:dyDescent="0.3">
      <c r="I10383"/>
      <c r="J10383"/>
    </row>
    <row r="10384" spans="9:10" x14ac:dyDescent="0.3">
      <c r="I10384"/>
      <c r="J10384"/>
    </row>
    <row r="10385" spans="9:10" x14ac:dyDescent="0.3">
      <c r="I10385"/>
      <c r="J10385"/>
    </row>
    <row r="10386" spans="9:10" x14ac:dyDescent="0.3">
      <c r="I10386"/>
      <c r="J10386"/>
    </row>
    <row r="10387" spans="9:10" x14ac:dyDescent="0.3">
      <c r="I10387"/>
      <c r="J10387"/>
    </row>
    <row r="10388" spans="9:10" x14ac:dyDescent="0.3">
      <c r="I10388"/>
      <c r="J10388"/>
    </row>
    <row r="10389" spans="9:10" x14ac:dyDescent="0.3">
      <c r="I10389"/>
      <c r="J10389"/>
    </row>
    <row r="10390" spans="9:10" x14ac:dyDescent="0.3">
      <c r="I10390"/>
      <c r="J10390"/>
    </row>
    <row r="10391" spans="9:10" x14ac:dyDescent="0.3">
      <c r="I10391"/>
      <c r="J10391"/>
    </row>
    <row r="10392" spans="9:10" x14ac:dyDescent="0.3">
      <c r="I10392"/>
      <c r="J10392"/>
    </row>
    <row r="10393" spans="9:10" x14ac:dyDescent="0.3">
      <c r="I10393"/>
      <c r="J10393"/>
    </row>
    <row r="10394" spans="9:10" x14ac:dyDescent="0.3">
      <c r="I10394"/>
      <c r="J10394"/>
    </row>
    <row r="10395" spans="9:10" x14ac:dyDescent="0.3">
      <c r="I10395"/>
      <c r="J10395"/>
    </row>
    <row r="10396" spans="9:10" x14ac:dyDescent="0.3">
      <c r="I10396"/>
      <c r="J10396"/>
    </row>
    <row r="10397" spans="9:10" x14ac:dyDescent="0.3">
      <c r="I10397"/>
      <c r="J10397"/>
    </row>
    <row r="10398" spans="9:10" x14ac:dyDescent="0.3">
      <c r="I10398"/>
      <c r="J10398"/>
    </row>
    <row r="10399" spans="9:10" x14ac:dyDescent="0.3">
      <c r="I10399"/>
      <c r="J10399"/>
    </row>
    <row r="10400" spans="9:10" x14ac:dyDescent="0.3">
      <c r="I10400"/>
      <c r="J10400"/>
    </row>
    <row r="10401" spans="9:10" x14ac:dyDescent="0.3">
      <c r="I10401"/>
      <c r="J10401"/>
    </row>
    <row r="10402" spans="9:10" x14ac:dyDescent="0.3">
      <c r="I10402"/>
      <c r="J10402"/>
    </row>
    <row r="10403" spans="9:10" x14ac:dyDescent="0.3">
      <c r="I10403"/>
      <c r="J10403"/>
    </row>
    <row r="10404" spans="9:10" x14ac:dyDescent="0.3">
      <c r="I10404"/>
      <c r="J10404"/>
    </row>
    <row r="10405" spans="9:10" x14ac:dyDescent="0.3">
      <c r="I10405"/>
      <c r="J10405"/>
    </row>
    <row r="10406" spans="9:10" x14ac:dyDescent="0.3">
      <c r="I10406"/>
      <c r="J10406"/>
    </row>
    <row r="10407" spans="9:10" x14ac:dyDescent="0.3">
      <c r="I10407"/>
      <c r="J10407"/>
    </row>
    <row r="10408" spans="9:10" x14ac:dyDescent="0.3">
      <c r="I10408"/>
      <c r="J10408"/>
    </row>
    <row r="10409" spans="9:10" x14ac:dyDescent="0.3">
      <c r="I10409"/>
      <c r="J10409"/>
    </row>
    <row r="10410" spans="9:10" x14ac:dyDescent="0.3">
      <c r="I10410"/>
      <c r="J10410"/>
    </row>
    <row r="10411" spans="9:10" x14ac:dyDescent="0.3">
      <c r="I10411"/>
      <c r="J10411"/>
    </row>
    <row r="10412" spans="9:10" x14ac:dyDescent="0.3">
      <c r="I10412"/>
      <c r="J10412"/>
    </row>
    <row r="10413" spans="9:10" x14ac:dyDescent="0.3">
      <c r="I10413"/>
      <c r="J10413"/>
    </row>
    <row r="10414" spans="9:10" x14ac:dyDescent="0.3">
      <c r="I10414"/>
      <c r="J10414"/>
    </row>
    <row r="10415" spans="9:10" x14ac:dyDescent="0.3">
      <c r="I10415"/>
      <c r="J10415"/>
    </row>
    <row r="10416" spans="9:10" x14ac:dyDescent="0.3">
      <c r="I10416"/>
      <c r="J10416"/>
    </row>
    <row r="10417" spans="9:10" x14ac:dyDescent="0.3">
      <c r="I10417"/>
      <c r="J10417"/>
    </row>
    <row r="10418" spans="9:10" x14ac:dyDescent="0.3">
      <c r="I10418"/>
      <c r="J10418"/>
    </row>
    <row r="10419" spans="9:10" x14ac:dyDescent="0.3">
      <c r="I10419"/>
      <c r="J10419"/>
    </row>
    <row r="10420" spans="9:10" x14ac:dyDescent="0.3">
      <c r="I10420"/>
      <c r="J10420"/>
    </row>
    <row r="10421" spans="9:10" x14ac:dyDescent="0.3">
      <c r="I10421"/>
      <c r="J10421"/>
    </row>
    <row r="10422" spans="9:10" x14ac:dyDescent="0.3">
      <c r="I10422"/>
      <c r="J10422"/>
    </row>
    <row r="10423" spans="9:10" x14ac:dyDescent="0.3">
      <c r="I10423"/>
      <c r="J10423"/>
    </row>
    <row r="10424" spans="9:10" x14ac:dyDescent="0.3">
      <c r="I10424"/>
      <c r="J10424"/>
    </row>
    <row r="10425" spans="9:10" x14ac:dyDescent="0.3">
      <c r="I10425"/>
      <c r="J10425"/>
    </row>
    <row r="10426" spans="9:10" x14ac:dyDescent="0.3">
      <c r="I10426"/>
      <c r="J10426"/>
    </row>
    <row r="10427" spans="9:10" x14ac:dyDescent="0.3">
      <c r="I10427"/>
      <c r="J10427"/>
    </row>
    <row r="10428" spans="9:10" x14ac:dyDescent="0.3">
      <c r="I10428"/>
      <c r="J10428"/>
    </row>
    <row r="10429" spans="9:10" x14ac:dyDescent="0.3">
      <c r="I10429"/>
      <c r="J10429"/>
    </row>
    <row r="10430" spans="9:10" x14ac:dyDescent="0.3">
      <c r="I10430"/>
      <c r="J10430"/>
    </row>
    <row r="10431" spans="9:10" x14ac:dyDescent="0.3">
      <c r="I10431"/>
      <c r="J10431"/>
    </row>
    <row r="10432" spans="9:10" x14ac:dyDescent="0.3">
      <c r="I10432"/>
      <c r="J10432"/>
    </row>
    <row r="10433" spans="9:10" x14ac:dyDescent="0.3">
      <c r="I10433"/>
      <c r="J10433"/>
    </row>
    <row r="10434" spans="9:10" x14ac:dyDescent="0.3">
      <c r="I10434"/>
      <c r="J10434"/>
    </row>
    <row r="10435" spans="9:10" x14ac:dyDescent="0.3">
      <c r="I10435"/>
      <c r="J10435"/>
    </row>
    <row r="10436" spans="9:10" x14ac:dyDescent="0.3">
      <c r="I10436"/>
      <c r="J10436"/>
    </row>
    <row r="10437" spans="9:10" x14ac:dyDescent="0.3">
      <c r="I10437"/>
      <c r="J10437"/>
    </row>
    <row r="10438" spans="9:10" x14ac:dyDescent="0.3">
      <c r="I10438"/>
      <c r="J10438"/>
    </row>
    <row r="10439" spans="9:10" x14ac:dyDescent="0.3">
      <c r="I10439"/>
      <c r="J10439"/>
    </row>
    <row r="10440" spans="9:10" x14ac:dyDescent="0.3">
      <c r="I10440"/>
      <c r="J10440"/>
    </row>
    <row r="10441" spans="9:10" x14ac:dyDescent="0.3">
      <c r="I10441"/>
      <c r="J10441"/>
    </row>
    <row r="10442" spans="9:10" x14ac:dyDescent="0.3">
      <c r="I10442"/>
      <c r="J10442"/>
    </row>
    <row r="10443" spans="9:10" x14ac:dyDescent="0.3">
      <c r="I10443"/>
      <c r="J10443"/>
    </row>
    <row r="10444" spans="9:10" x14ac:dyDescent="0.3">
      <c r="I10444"/>
      <c r="J10444"/>
    </row>
    <row r="10445" spans="9:10" x14ac:dyDescent="0.3">
      <c r="I10445"/>
      <c r="J10445"/>
    </row>
    <row r="10446" spans="9:10" x14ac:dyDescent="0.3">
      <c r="I10446"/>
      <c r="J10446"/>
    </row>
    <row r="10447" spans="9:10" x14ac:dyDescent="0.3">
      <c r="I10447"/>
      <c r="J10447"/>
    </row>
    <row r="10448" spans="9:10" x14ac:dyDescent="0.3">
      <c r="I10448"/>
      <c r="J10448"/>
    </row>
    <row r="10449" spans="9:10" x14ac:dyDescent="0.3">
      <c r="I10449"/>
      <c r="J10449"/>
    </row>
    <row r="10450" spans="9:10" x14ac:dyDescent="0.3">
      <c r="I10450"/>
      <c r="J10450"/>
    </row>
    <row r="10451" spans="9:10" x14ac:dyDescent="0.3">
      <c r="I10451"/>
      <c r="J10451"/>
    </row>
    <row r="10452" spans="9:10" x14ac:dyDescent="0.3">
      <c r="I10452"/>
      <c r="J10452"/>
    </row>
    <row r="10453" spans="9:10" x14ac:dyDescent="0.3">
      <c r="I10453"/>
      <c r="J10453"/>
    </row>
    <row r="10454" spans="9:10" x14ac:dyDescent="0.3">
      <c r="I10454"/>
      <c r="J10454"/>
    </row>
    <row r="10455" spans="9:10" x14ac:dyDescent="0.3">
      <c r="I10455"/>
      <c r="J10455"/>
    </row>
    <row r="10456" spans="9:10" x14ac:dyDescent="0.3">
      <c r="I10456"/>
      <c r="J10456"/>
    </row>
    <row r="10457" spans="9:10" x14ac:dyDescent="0.3">
      <c r="I10457"/>
      <c r="J10457"/>
    </row>
    <row r="10458" spans="9:10" x14ac:dyDescent="0.3">
      <c r="I10458"/>
      <c r="J10458"/>
    </row>
    <row r="10459" spans="9:10" x14ac:dyDescent="0.3">
      <c r="I10459"/>
      <c r="J10459"/>
    </row>
    <row r="10460" spans="9:10" x14ac:dyDescent="0.3">
      <c r="I10460"/>
      <c r="J10460"/>
    </row>
    <row r="10461" spans="9:10" x14ac:dyDescent="0.3">
      <c r="I10461"/>
      <c r="J10461"/>
    </row>
    <row r="10462" spans="9:10" x14ac:dyDescent="0.3">
      <c r="I10462"/>
      <c r="J10462"/>
    </row>
    <row r="10463" spans="9:10" x14ac:dyDescent="0.3">
      <c r="I10463"/>
      <c r="J10463"/>
    </row>
    <row r="10464" spans="9:10" x14ac:dyDescent="0.3">
      <c r="I10464"/>
      <c r="J10464"/>
    </row>
    <row r="10465" spans="9:10" x14ac:dyDescent="0.3">
      <c r="I10465"/>
      <c r="J10465"/>
    </row>
    <row r="10466" spans="9:10" x14ac:dyDescent="0.3">
      <c r="I10466"/>
      <c r="J10466"/>
    </row>
    <row r="10467" spans="9:10" x14ac:dyDescent="0.3">
      <c r="I10467"/>
      <c r="J10467"/>
    </row>
    <row r="10468" spans="9:10" x14ac:dyDescent="0.3">
      <c r="I10468"/>
      <c r="J10468"/>
    </row>
    <row r="10469" spans="9:10" x14ac:dyDescent="0.3">
      <c r="I10469"/>
      <c r="J10469"/>
    </row>
    <row r="10470" spans="9:10" x14ac:dyDescent="0.3">
      <c r="I10470"/>
      <c r="J10470"/>
    </row>
    <row r="10471" spans="9:10" x14ac:dyDescent="0.3">
      <c r="I10471"/>
      <c r="J10471"/>
    </row>
    <row r="10472" spans="9:10" x14ac:dyDescent="0.3">
      <c r="I10472"/>
      <c r="J10472"/>
    </row>
    <row r="10473" spans="9:10" x14ac:dyDescent="0.3">
      <c r="I10473"/>
      <c r="J10473"/>
    </row>
    <row r="10474" spans="9:10" x14ac:dyDescent="0.3">
      <c r="I10474"/>
      <c r="J10474"/>
    </row>
    <row r="10475" spans="9:10" x14ac:dyDescent="0.3">
      <c r="I10475"/>
      <c r="J10475"/>
    </row>
    <row r="10476" spans="9:10" x14ac:dyDescent="0.3">
      <c r="I10476"/>
      <c r="J10476"/>
    </row>
    <row r="10477" spans="9:10" x14ac:dyDescent="0.3">
      <c r="I10477"/>
      <c r="J10477"/>
    </row>
    <row r="10478" spans="9:10" x14ac:dyDescent="0.3">
      <c r="I10478"/>
      <c r="J10478"/>
    </row>
    <row r="10479" spans="9:10" x14ac:dyDescent="0.3">
      <c r="I10479"/>
      <c r="J10479"/>
    </row>
    <row r="10480" spans="9:10" x14ac:dyDescent="0.3">
      <c r="I10480"/>
      <c r="J10480"/>
    </row>
    <row r="10481" spans="9:10" x14ac:dyDescent="0.3">
      <c r="I10481"/>
      <c r="J10481"/>
    </row>
    <row r="10482" spans="9:10" x14ac:dyDescent="0.3">
      <c r="I10482"/>
      <c r="J10482"/>
    </row>
    <row r="10483" spans="9:10" x14ac:dyDescent="0.3">
      <c r="I10483"/>
      <c r="J10483"/>
    </row>
    <row r="10484" spans="9:10" x14ac:dyDescent="0.3">
      <c r="I10484"/>
      <c r="J10484"/>
    </row>
    <row r="10485" spans="9:10" x14ac:dyDescent="0.3">
      <c r="I10485"/>
      <c r="J10485"/>
    </row>
    <row r="10486" spans="9:10" x14ac:dyDescent="0.3">
      <c r="I10486"/>
      <c r="J10486"/>
    </row>
    <row r="10487" spans="9:10" x14ac:dyDescent="0.3">
      <c r="I10487"/>
      <c r="J10487"/>
    </row>
    <row r="10488" spans="9:10" x14ac:dyDescent="0.3">
      <c r="I10488"/>
      <c r="J10488"/>
    </row>
    <row r="10489" spans="9:10" x14ac:dyDescent="0.3">
      <c r="I10489"/>
      <c r="J10489"/>
    </row>
    <row r="10490" spans="9:10" x14ac:dyDescent="0.3">
      <c r="I10490"/>
      <c r="J10490"/>
    </row>
    <row r="10491" spans="9:10" x14ac:dyDescent="0.3">
      <c r="I10491"/>
      <c r="J10491"/>
    </row>
    <row r="10492" spans="9:10" x14ac:dyDescent="0.3">
      <c r="I10492"/>
      <c r="J10492"/>
    </row>
    <row r="10493" spans="9:10" x14ac:dyDescent="0.3">
      <c r="I10493"/>
      <c r="J10493"/>
    </row>
    <row r="10494" spans="9:10" x14ac:dyDescent="0.3">
      <c r="I10494"/>
      <c r="J10494"/>
    </row>
    <row r="10495" spans="9:10" x14ac:dyDescent="0.3">
      <c r="I10495"/>
      <c r="J10495"/>
    </row>
    <row r="10496" spans="9:10" x14ac:dyDescent="0.3">
      <c r="I10496"/>
      <c r="J10496"/>
    </row>
    <row r="10497" spans="9:10" x14ac:dyDescent="0.3">
      <c r="I10497"/>
      <c r="J10497"/>
    </row>
    <row r="10498" spans="9:10" x14ac:dyDescent="0.3">
      <c r="I10498"/>
      <c r="J10498"/>
    </row>
    <row r="10499" spans="9:10" x14ac:dyDescent="0.3">
      <c r="I10499"/>
      <c r="J10499"/>
    </row>
    <row r="10500" spans="9:10" x14ac:dyDescent="0.3">
      <c r="I10500"/>
      <c r="J10500"/>
    </row>
    <row r="10501" spans="9:10" x14ac:dyDescent="0.3">
      <c r="I10501"/>
      <c r="J10501"/>
    </row>
    <row r="10502" spans="9:10" x14ac:dyDescent="0.3">
      <c r="I10502"/>
      <c r="J10502"/>
    </row>
    <row r="10503" spans="9:10" x14ac:dyDescent="0.3">
      <c r="I10503"/>
      <c r="J10503"/>
    </row>
    <row r="10504" spans="9:10" x14ac:dyDescent="0.3">
      <c r="I10504"/>
      <c r="J10504"/>
    </row>
    <row r="10505" spans="9:10" x14ac:dyDescent="0.3">
      <c r="I10505"/>
      <c r="J10505"/>
    </row>
    <row r="10506" spans="9:10" x14ac:dyDescent="0.3">
      <c r="I10506"/>
      <c r="J10506"/>
    </row>
    <row r="10507" spans="9:10" x14ac:dyDescent="0.3">
      <c r="I10507"/>
      <c r="J10507"/>
    </row>
    <row r="10508" spans="9:10" x14ac:dyDescent="0.3">
      <c r="I10508"/>
      <c r="J10508"/>
    </row>
    <row r="10509" spans="9:10" x14ac:dyDescent="0.3">
      <c r="I10509"/>
      <c r="J10509"/>
    </row>
    <row r="10510" spans="9:10" x14ac:dyDescent="0.3">
      <c r="I10510"/>
      <c r="J10510"/>
    </row>
    <row r="10511" spans="9:10" x14ac:dyDescent="0.3">
      <c r="I10511"/>
      <c r="J10511"/>
    </row>
    <row r="10512" spans="9:10" x14ac:dyDescent="0.3">
      <c r="I10512"/>
      <c r="J10512"/>
    </row>
    <row r="10513" spans="9:10" x14ac:dyDescent="0.3">
      <c r="I10513"/>
      <c r="J10513"/>
    </row>
    <row r="10514" spans="9:10" x14ac:dyDescent="0.3">
      <c r="I10514"/>
      <c r="J10514"/>
    </row>
    <row r="10515" spans="9:10" x14ac:dyDescent="0.3">
      <c r="I10515"/>
      <c r="J10515"/>
    </row>
    <row r="10516" spans="9:10" x14ac:dyDescent="0.3">
      <c r="I10516"/>
      <c r="J10516"/>
    </row>
    <row r="10517" spans="9:10" x14ac:dyDescent="0.3">
      <c r="I10517"/>
      <c r="J10517"/>
    </row>
    <row r="10518" spans="9:10" x14ac:dyDescent="0.3">
      <c r="I10518"/>
      <c r="J10518"/>
    </row>
    <row r="10519" spans="9:10" x14ac:dyDescent="0.3">
      <c r="I10519"/>
      <c r="J10519"/>
    </row>
    <row r="10520" spans="9:10" x14ac:dyDescent="0.3">
      <c r="I10520"/>
      <c r="J10520"/>
    </row>
    <row r="10521" spans="9:10" x14ac:dyDescent="0.3">
      <c r="I10521"/>
      <c r="J10521"/>
    </row>
    <row r="10522" spans="9:10" x14ac:dyDescent="0.3">
      <c r="I10522"/>
      <c r="J10522"/>
    </row>
    <row r="10523" spans="9:10" x14ac:dyDescent="0.3">
      <c r="I10523"/>
      <c r="J10523"/>
    </row>
    <row r="10524" spans="9:10" x14ac:dyDescent="0.3">
      <c r="I10524"/>
      <c r="J10524"/>
    </row>
    <row r="10525" spans="9:10" x14ac:dyDescent="0.3">
      <c r="I10525"/>
      <c r="J10525"/>
    </row>
    <row r="10526" spans="9:10" x14ac:dyDescent="0.3">
      <c r="I10526"/>
      <c r="J10526"/>
    </row>
    <row r="10527" spans="9:10" x14ac:dyDescent="0.3">
      <c r="I10527"/>
      <c r="J10527"/>
    </row>
    <row r="10528" spans="9:10" x14ac:dyDescent="0.3">
      <c r="I10528"/>
      <c r="J10528"/>
    </row>
    <row r="10529" spans="9:10" x14ac:dyDescent="0.3">
      <c r="I10529"/>
      <c r="J10529"/>
    </row>
    <row r="10530" spans="9:10" x14ac:dyDescent="0.3">
      <c r="I10530"/>
      <c r="J10530"/>
    </row>
    <row r="10531" spans="9:10" x14ac:dyDescent="0.3">
      <c r="I10531"/>
      <c r="J10531"/>
    </row>
    <row r="10532" spans="9:10" x14ac:dyDescent="0.3">
      <c r="I10532"/>
      <c r="J10532"/>
    </row>
    <row r="10533" spans="9:10" x14ac:dyDescent="0.3">
      <c r="I10533"/>
      <c r="J10533"/>
    </row>
    <row r="10534" spans="9:10" x14ac:dyDescent="0.3">
      <c r="I10534"/>
      <c r="J10534"/>
    </row>
    <row r="10535" spans="9:10" x14ac:dyDescent="0.3">
      <c r="I10535"/>
      <c r="J10535"/>
    </row>
    <row r="10536" spans="9:10" x14ac:dyDescent="0.3">
      <c r="I10536"/>
      <c r="J10536"/>
    </row>
    <row r="10537" spans="9:10" x14ac:dyDescent="0.3">
      <c r="I10537"/>
      <c r="J10537"/>
    </row>
    <row r="10538" spans="9:10" x14ac:dyDescent="0.3">
      <c r="I10538"/>
      <c r="J10538"/>
    </row>
    <row r="10539" spans="9:10" x14ac:dyDescent="0.3">
      <c r="I10539"/>
      <c r="J10539"/>
    </row>
    <row r="10540" spans="9:10" x14ac:dyDescent="0.3">
      <c r="I10540"/>
      <c r="J10540"/>
    </row>
    <row r="10541" spans="9:10" x14ac:dyDescent="0.3">
      <c r="I10541"/>
      <c r="J10541"/>
    </row>
    <row r="10542" spans="9:10" x14ac:dyDescent="0.3">
      <c r="I10542"/>
      <c r="J10542"/>
    </row>
    <row r="10543" spans="9:10" x14ac:dyDescent="0.3">
      <c r="I10543"/>
      <c r="J10543"/>
    </row>
    <row r="10544" spans="9:10" x14ac:dyDescent="0.3">
      <c r="I10544"/>
      <c r="J10544"/>
    </row>
    <row r="10545" spans="9:10" x14ac:dyDescent="0.3">
      <c r="I10545"/>
      <c r="J10545"/>
    </row>
    <row r="10546" spans="9:10" x14ac:dyDescent="0.3">
      <c r="I10546"/>
      <c r="J10546"/>
    </row>
    <row r="10547" spans="9:10" x14ac:dyDescent="0.3">
      <c r="I10547"/>
      <c r="J10547"/>
    </row>
    <row r="10548" spans="9:10" x14ac:dyDescent="0.3">
      <c r="I10548"/>
      <c r="J10548"/>
    </row>
    <row r="10549" spans="9:10" x14ac:dyDescent="0.3">
      <c r="I10549"/>
      <c r="J10549"/>
    </row>
    <row r="10550" spans="9:10" x14ac:dyDescent="0.3">
      <c r="I10550"/>
      <c r="J10550"/>
    </row>
    <row r="10551" spans="9:10" x14ac:dyDescent="0.3">
      <c r="I10551"/>
      <c r="J10551"/>
    </row>
    <row r="10552" spans="9:10" x14ac:dyDescent="0.3">
      <c r="I10552"/>
      <c r="J10552"/>
    </row>
    <row r="10553" spans="9:10" x14ac:dyDescent="0.3">
      <c r="I10553"/>
      <c r="J10553"/>
    </row>
    <row r="10554" spans="9:10" x14ac:dyDescent="0.3">
      <c r="I10554"/>
      <c r="J10554"/>
    </row>
    <row r="10555" spans="9:10" x14ac:dyDescent="0.3">
      <c r="I10555"/>
      <c r="J10555"/>
    </row>
    <row r="10556" spans="9:10" x14ac:dyDescent="0.3">
      <c r="I10556"/>
      <c r="J10556"/>
    </row>
    <row r="10557" spans="9:10" x14ac:dyDescent="0.3">
      <c r="I10557"/>
      <c r="J10557"/>
    </row>
    <row r="10558" spans="9:10" x14ac:dyDescent="0.3">
      <c r="I10558"/>
      <c r="J10558"/>
    </row>
    <row r="10559" spans="9:10" x14ac:dyDescent="0.3">
      <c r="I10559"/>
      <c r="J10559"/>
    </row>
    <row r="10560" spans="9:10" x14ac:dyDescent="0.3">
      <c r="I10560"/>
      <c r="J10560"/>
    </row>
    <row r="10561" spans="9:10" x14ac:dyDescent="0.3">
      <c r="I10561"/>
      <c r="J10561"/>
    </row>
    <row r="10562" spans="9:10" x14ac:dyDescent="0.3">
      <c r="I10562"/>
      <c r="J10562"/>
    </row>
    <row r="10563" spans="9:10" x14ac:dyDescent="0.3">
      <c r="I10563"/>
      <c r="J10563"/>
    </row>
    <row r="10564" spans="9:10" x14ac:dyDescent="0.3">
      <c r="I10564"/>
      <c r="J10564"/>
    </row>
    <row r="10565" spans="9:10" x14ac:dyDescent="0.3">
      <c r="I10565"/>
      <c r="J10565"/>
    </row>
    <row r="10566" spans="9:10" x14ac:dyDescent="0.3">
      <c r="I10566"/>
      <c r="J10566"/>
    </row>
    <row r="10567" spans="9:10" x14ac:dyDescent="0.3">
      <c r="I10567"/>
      <c r="J10567"/>
    </row>
    <row r="10568" spans="9:10" x14ac:dyDescent="0.3">
      <c r="I10568"/>
      <c r="J10568"/>
    </row>
    <row r="10569" spans="9:10" x14ac:dyDescent="0.3">
      <c r="I10569"/>
      <c r="J10569"/>
    </row>
    <row r="10570" spans="9:10" x14ac:dyDescent="0.3">
      <c r="I10570"/>
      <c r="J10570"/>
    </row>
    <row r="10571" spans="9:10" x14ac:dyDescent="0.3">
      <c r="I10571"/>
      <c r="J10571"/>
    </row>
    <row r="10572" spans="9:10" x14ac:dyDescent="0.3">
      <c r="I10572"/>
      <c r="J10572"/>
    </row>
    <row r="10573" spans="9:10" x14ac:dyDescent="0.3">
      <c r="I10573"/>
      <c r="J10573"/>
    </row>
    <row r="10574" spans="9:10" x14ac:dyDescent="0.3">
      <c r="I10574"/>
      <c r="J10574"/>
    </row>
    <row r="10575" spans="9:10" x14ac:dyDescent="0.3">
      <c r="I10575"/>
      <c r="J10575"/>
    </row>
    <row r="10576" spans="9:10" x14ac:dyDescent="0.3">
      <c r="I10576"/>
      <c r="J10576"/>
    </row>
    <row r="10577" spans="9:10" x14ac:dyDescent="0.3">
      <c r="I10577"/>
      <c r="J10577"/>
    </row>
    <row r="10578" spans="9:10" x14ac:dyDescent="0.3">
      <c r="I10578"/>
      <c r="J10578"/>
    </row>
    <row r="10579" spans="9:10" x14ac:dyDescent="0.3">
      <c r="I10579"/>
      <c r="J10579"/>
    </row>
    <row r="10580" spans="9:10" x14ac:dyDescent="0.3">
      <c r="I10580"/>
      <c r="J10580"/>
    </row>
    <row r="10581" spans="9:10" x14ac:dyDescent="0.3">
      <c r="I10581"/>
      <c r="J10581"/>
    </row>
    <row r="10582" spans="9:10" x14ac:dyDescent="0.3">
      <c r="I10582"/>
      <c r="J10582"/>
    </row>
    <row r="10583" spans="9:10" x14ac:dyDescent="0.3">
      <c r="I10583"/>
      <c r="J10583"/>
    </row>
    <row r="10584" spans="9:10" x14ac:dyDescent="0.3">
      <c r="I10584"/>
      <c r="J10584"/>
    </row>
    <row r="10585" spans="9:10" x14ac:dyDescent="0.3">
      <c r="I10585"/>
      <c r="J10585"/>
    </row>
    <row r="10586" spans="9:10" x14ac:dyDescent="0.3">
      <c r="I10586"/>
      <c r="J10586"/>
    </row>
    <row r="10587" spans="9:10" x14ac:dyDescent="0.3">
      <c r="I10587"/>
      <c r="J10587"/>
    </row>
    <row r="10588" spans="9:10" x14ac:dyDescent="0.3">
      <c r="I10588"/>
      <c r="J10588"/>
    </row>
    <row r="10589" spans="9:10" x14ac:dyDescent="0.3">
      <c r="I10589"/>
      <c r="J10589"/>
    </row>
    <row r="10590" spans="9:10" x14ac:dyDescent="0.3">
      <c r="I10590"/>
      <c r="J10590"/>
    </row>
    <row r="10591" spans="9:10" x14ac:dyDescent="0.3">
      <c r="I10591"/>
      <c r="J10591"/>
    </row>
    <row r="10592" spans="9:10" x14ac:dyDescent="0.3">
      <c r="I10592"/>
      <c r="J10592"/>
    </row>
    <row r="10593" spans="9:10" x14ac:dyDescent="0.3">
      <c r="I10593"/>
      <c r="J10593"/>
    </row>
    <row r="10594" spans="9:10" x14ac:dyDescent="0.3">
      <c r="I10594"/>
      <c r="J10594"/>
    </row>
    <row r="10595" spans="9:10" x14ac:dyDescent="0.3">
      <c r="I10595"/>
      <c r="J10595"/>
    </row>
    <row r="10596" spans="9:10" x14ac:dyDescent="0.3">
      <c r="I10596"/>
      <c r="J10596"/>
    </row>
    <row r="10597" spans="9:10" x14ac:dyDescent="0.3">
      <c r="I10597"/>
      <c r="J10597"/>
    </row>
    <row r="10598" spans="9:10" x14ac:dyDescent="0.3">
      <c r="I10598"/>
      <c r="J10598"/>
    </row>
    <row r="10599" spans="9:10" x14ac:dyDescent="0.3">
      <c r="I10599"/>
      <c r="J10599"/>
    </row>
    <row r="10600" spans="9:10" x14ac:dyDescent="0.3">
      <c r="I10600"/>
      <c r="J10600"/>
    </row>
    <row r="10601" spans="9:10" x14ac:dyDescent="0.3">
      <c r="I10601"/>
      <c r="J10601"/>
    </row>
    <row r="10602" spans="9:10" x14ac:dyDescent="0.3">
      <c r="I10602"/>
      <c r="J10602"/>
    </row>
    <row r="10603" spans="9:10" x14ac:dyDescent="0.3">
      <c r="I10603"/>
      <c r="J10603"/>
    </row>
    <row r="10604" spans="9:10" x14ac:dyDescent="0.3">
      <c r="I10604"/>
      <c r="J10604"/>
    </row>
    <row r="10605" spans="9:10" x14ac:dyDescent="0.3">
      <c r="I10605"/>
      <c r="J10605"/>
    </row>
    <row r="10606" spans="9:10" x14ac:dyDescent="0.3">
      <c r="I10606"/>
      <c r="J10606"/>
    </row>
    <row r="10607" spans="9:10" x14ac:dyDescent="0.3">
      <c r="I10607"/>
      <c r="J10607"/>
    </row>
    <row r="10608" spans="9:10" x14ac:dyDescent="0.3">
      <c r="I10608"/>
      <c r="J10608"/>
    </row>
    <row r="10609" spans="9:10" x14ac:dyDescent="0.3">
      <c r="I10609"/>
      <c r="J10609"/>
    </row>
    <row r="10610" spans="9:10" x14ac:dyDescent="0.3">
      <c r="I10610"/>
      <c r="J10610"/>
    </row>
    <row r="10611" spans="9:10" x14ac:dyDescent="0.3">
      <c r="I10611"/>
      <c r="J10611"/>
    </row>
    <row r="10612" spans="9:10" x14ac:dyDescent="0.3">
      <c r="I10612"/>
      <c r="J10612"/>
    </row>
    <row r="10613" spans="9:10" x14ac:dyDescent="0.3">
      <c r="I10613"/>
      <c r="J10613"/>
    </row>
    <row r="10614" spans="9:10" x14ac:dyDescent="0.3">
      <c r="I10614"/>
      <c r="J10614"/>
    </row>
    <row r="10615" spans="9:10" x14ac:dyDescent="0.3">
      <c r="I10615"/>
      <c r="J10615"/>
    </row>
    <row r="10616" spans="9:10" x14ac:dyDescent="0.3">
      <c r="I10616"/>
      <c r="J10616"/>
    </row>
    <row r="10617" spans="9:10" x14ac:dyDescent="0.3">
      <c r="I10617"/>
      <c r="J10617"/>
    </row>
    <row r="10618" spans="9:10" x14ac:dyDescent="0.3">
      <c r="I10618"/>
      <c r="J10618"/>
    </row>
    <row r="10619" spans="9:10" x14ac:dyDescent="0.3">
      <c r="I10619"/>
      <c r="J10619"/>
    </row>
    <row r="10620" spans="9:10" x14ac:dyDescent="0.3">
      <c r="I10620"/>
      <c r="J10620"/>
    </row>
    <row r="10621" spans="9:10" x14ac:dyDescent="0.3">
      <c r="I10621"/>
      <c r="J10621"/>
    </row>
    <row r="10622" spans="9:10" x14ac:dyDescent="0.3">
      <c r="I10622"/>
      <c r="J10622"/>
    </row>
    <row r="10623" spans="9:10" x14ac:dyDescent="0.3">
      <c r="I10623"/>
      <c r="J10623"/>
    </row>
    <row r="10624" spans="9:10" x14ac:dyDescent="0.3">
      <c r="I10624"/>
      <c r="J10624"/>
    </row>
    <row r="10625" spans="9:10" x14ac:dyDescent="0.3">
      <c r="I10625"/>
      <c r="J10625"/>
    </row>
    <row r="10626" spans="9:10" x14ac:dyDescent="0.3">
      <c r="I10626"/>
      <c r="J10626"/>
    </row>
    <row r="10627" spans="9:10" x14ac:dyDescent="0.3">
      <c r="I10627"/>
      <c r="J10627"/>
    </row>
    <row r="10628" spans="9:10" x14ac:dyDescent="0.3">
      <c r="I10628"/>
      <c r="J10628"/>
    </row>
    <row r="10629" spans="9:10" x14ac:dyDescent="0.3">
      <c r="I10629"/>
      <c r="J10629"/>
    </row>
    <row r="10630" spans="9:10" x14ac:dyDescent="0.3">
      <c r="I10630"/>
      <c r="J10630"/>
    </row>
    <row r="10631" spans="9:10" x14ac:dyDescent="0.3">
      <c r="I10631"/>
      <c r="J10631"/>
    </row>
    <row r="10632" spans="9:10" x14ac:dyDescent="0.3">
      <c r="I10632"/>
      <c r="J10632"/>
    </row>
    <row r="10633" spans="9:10" x14ac:dyDescent="0.3">
      <c r="I10633"/>
      <c r="J10633"/>
    </row>
    <row r="10634" spans="9:10" x14ac:dyDescent="0.3">
      <c r="I10634"/>
      <c r="J10634"/>
    </row>
    <row r="10635" spans="9:10" x14ac:dyDescent="0.3">
      <c r="I10635"/>
      <c r="J10635"/>
    </row>
    <row r="10636" spans="9:10" x14ac:dyDescent="0.3">
      <c r="I10636"/>
      <c r="J10636"/>
    </row>
    <row r="10637" spans="9:10" x14ac:dyDescent="0.3">
      <c r="I10637"/>
      <c r="J10637"/>
    </row>
    <row r="10638" spans="9:10" x14ac:dyDescent="0.3">
      <c r="I10638"/>
      <c r="J10638"/>
    </row>
    <row r="10639" spans="9:10" x14ac:dyDescent="0.3">
      <c r="I10639"/>
      <c r="J10639"/>
    </row>
    <row r="10640" spans="9:10" x14ac:dyDescent="0.3">
      <c r="I10640"/>
      <c r="J10640"/>
    </row>
    <row r="10641" spans="9:10" x14ac:dyDescent="0.3">
      <c r="I10641"/>
      <c r="J10641"/>
    </row>
    <row r="10642" spans="9:10" x14ac:dyDescent="0.3">
      <c r="I10642"/>
      <c r="J10642"/>
    </row>
    <row r="10643" spans="9:10" x14ac:dyDescent="0.3">
      <c r="I10643"/>
      <c r="J10643"/>
    </row>
    <row r="10644" spans="9:10" x14ac:dyDescent="0.3">
      <c r="I10644"/>
      <c r="J10644"/>
    </row>
    <row r="10645" spans="9:10" x14ac:dyDescent="0.3">
      <c r="I10645"/>
      <c r="J10645"/>
    </row>
    <row r="10646" spans="9:10" x14ac:dyDescent="0.3">
      <c r="I10646"/>
      <c r="J10646"/>
    </row>
    <row r="10647" spans="9:10" x14ac:dyDescent="0.3">
      <c r="I10647"/>
      <c r="J10647"/>
    </row>
    <row r="10648" spans="9:10" x14ac:dyDescent="0.3">
      <c r="I10648"/>
      <c r="J10648"/>
    </row>
    <row r="10649" spans="9:10" x14ac:dyDescent="0.3">
      <c r="I10649"/>
      <c r="J10649"/>
    </row>
    <row r="10650" spans="9:10" x14ac:dyDescent="0.3">
      <c r="I10650"/>
      <c r="J10650"/>
    </row>
    <row r="10651" spans="9:10" x14ac:dyDescent="0.3">
      <c r="I10651"/>
      <c r="J10651"/>
    </row>
    <row r="10652" spans="9:10" x14ac:dyDescent="0.3">
      <c r="I10652"/>
      <c r="J10652"/>
    </row>
    <row r="10653" spans="9:10" x14ac:dyDescent="0.3">
      <c r="I10653"/>
      <c r="J10653"/>
    </row>
    <row r="10654" spans="9:10" x14ac:dyDescent="0.3">
      <c r="I10654"/>
      <c r="J10654"/>
    </row>
    <row r="10655" spans="9:10" x14ac:dyDescent="0.3">
      <c r="I10655"/>
      <c r="J10655"/>
    </row>
    <row r="10656" spans="9:10" x14ac:dyDescent="0.3">
      <c r="I10656"/>
      <c r="J10656"/>
    </row>
    <row r="10657" spans="9:10" x14ac:dyDescent="0.3">
      <c r="I10657"/>
      <c r="J10657"/>
    </row>
    <row r="10658" spans="9:10" x14ac:dyDescent="0.3">
      <c r="I10658"/>
      <c r="J10658"/>
    </row>
    <row r="10659" spans="9:10" x14ac:dyDescent="0.3">
      <c r="I10659"/>
      <c r="J10659"/>
    </row>
    <row r="10660" spans="9:10" x14ac:dyDescent="0.3">
      <c r="I10660"/>
      <c r="J10660"/>
    </row>
    <row r="10661" spans="9:10" x14ac:dyDescent="0.3">
      <c r="I10661"/>
      <c r="J10661"/>
    </row>
    <row r="10662" spans="9:10" x14ac:dyDescent="0.3">
      <c r="I10662"/>
      <c r="J10662"/>
    </row>
    <row r="10663" spans="9:10" x14ac:dyDescent="0.3">
      <c r="I10663"/>
      <c r="J10663"/>
    </row>
    <row r="10664" spans="9:10" x14ac:dyDescent="0.3">
      <c r="I10664"/>
      <c r="J10664"/>
    </row>
    <row r="10665" spans="9:10" x14ac:dyDescent="0.3">
      <c r="I10665"/>
      <c r="J10665"/>
    </row>
    <row r="10666" spans="9:10" x14ac:dyDescent="0.3">
      <c r="I10666"/>
      <c r="J10666"/>
    </row>
    <row r="10667" spans="9:10" x14ac:dyDescent="0.3">
      <c r="I10667"/>
      <c r="J10667"/>
    </row>
    <row r="10668" spans="9:10" x14ac:dyDescent="0.3">
      <c r="I10668"/>
      <c r="J10668"/>
    </row>
    <row r="10669" spans="9:10" x14ac:dyDescent="0.3">
      <c r="I10669"/>
      <c r="J10669"/>
    </row>
    <row r="10670" spans="9:10" x14ac:dyDescent="0.3">
      <c r="I10670"/>
      <c r="J10670"/>
    </row>
    <row r="10671" spans="9:10" x14ac:dyDescent="0.3">
      <c r="I10671"/>
      <c r="J10671"/>
    </row>
    <row r="10672" spans="9:10" x14ac:dyDescent="0.3">
      <c r="I10672"/>
      <c r="J10672"/>
    </row>
    <row r="10673" spans="9:10" x14ac:dyDescent="0.3">
      <c r="I10673"/>
      <c r="J10673"/>
    </row>
    <row r="10674" spans="9:10" x14ac:dyDescent="0.3">
      <c r="I10674"/>
      <c r="J10674"/>
    </row>
    <row r="10675" spans="9:10" x14ac:dyDescent="0.3">
      <c r="I10675"/>
      <c r="J10675"/>
    </row>
    <row r="10676" spans="9:10" x14ac:dyDescent="0.3">
      <c r="I10676"/>
      <c r="J10676"/>
    </row>
    <row r="10677" spans="9:10" x14ac:dyDescent="0.3">
      <c r="I10677"/>
      <c r="J10677"/>
    </row>
    <row r="10678" spans="9:10" x14ac:dyDescent="0.3">
      <c r="I10678"/>
      <c r="J10678"/>
    </row>
    <row r="10679" spans="9:10" x14ac:dyDescent="0.3">
      <c r="I10679"/>
      <c r="J10679"/>
    </row>
    <row r="10680" spans="9:10" x14ac:dyDescent="0.3">
      <c r="I10680"/>
      <c r="J10680"/>
    </row>
    <row r="10681" spans="9:10" x14ac:dyDescent="0.3">
      <c r="I10681"/>
      <c r="J10681"/>
    </row>
    <row r="10682" spans="9:10" x14ac:dyDescent="0.3">
      <c r="I10682"/>
      <c r="J10682"/>
    </row>
    <row r="10683" spans="9:10" x14ac:dyDescent="0.3">
      <c r="I10683"/>
      <c r="J10683"/>
    </row>
    <row r="10684" spans="9:10" x14ac:dyDescent="0.3">
      <c r="I10684"/>
      <c r="J10684"/>
    </row>
    <row r="10685" spans="9:10" x14ac:dyDescent="0.3">
      <c r="I10685"/>
      <c r="J10685"/>
    </row>
    <row r="10686" spans="9:10" x14ac:dyDescent="0.3">
      <c r="I10686"/>
      <c r="J10686"/>
    </row>
    <row r="10687" spans="9:10" x14ac:dyDescent="0.3">
      <c r="I10687"/>
      <c r="J10687"/>
    </row>
    <row r="10688" spans="9:10" x14ac:dyDescent="0.3">
      <c r="I10688"/>
      <c r="J10688"/>
    </row>
    <row r="10689" spans="9:10" x14ac:dyDescent="0.3">
      <c r="I10689"/>
      <c r="J10689"/>
    </row>
    <row r="10690" spans="9:10" x14ac:dyDescent="0.3">
      <c r="I10690"/>
      <c r="J10690"/>
    </row>
    <row r="10691" spans="9:10" x14ac:dyDescent="0.3">
      <c r="I10691"/>
      <c r="J10691"/>
    </row>
    <row r="10692" spans="9:10" x14ac:dyDescent="0.3">
      <c r="I10692"/>
      <c r="J10692"/>
    </row>
    <row r="10693" spans="9:10" x14ac:dyDescent="0.3">
      <c r="I10693"/>
      <c r="J10693"/>
    </row>
    <row r="10694" spans="9:10" x14ac:dyDescent="0.3">
      <c r="I10694"/>
      <c r="J10694"/>
    </row>
    <row r="10695" spans="9:10" x14ac:dyDescent="0.3">
      <c r="I10695"/>
      <c r="J10695"/>
    </row>
    <row r="10696" spans="9:10" x14ac:dyDescent="0.3">
      <c r="I10696"/>
      <c r="J10696"/>
    </row>
    <row r="10697" spans="9:10" x14ac:dyDescent="0.3">
      <c r="I10697"/>
      <c r="J10697"/>
    </row>
    <row r="10698" spans="9:10" x14ac:dyDescent="0.3">
      <c r="I10698"/>
      <c r="J10698"/>
    </row>
    <row r="10699" spans="9:10" x14ac:dyDescent="0.3">
      <c r="I10699"/>
      <c r="J10699"/>
    </row>
    <row r="10700" spans="9:10" x14ac:dyDescent="0.3">
      <c r="I10700"/>
      <c r="J10700"/>
    </row>
    <row r="10701" spans="9:10" x14ac:dyDescent="0.3">
      <c r="I10701"/>
      <c r="J10701"/>
    </row>
    <row r="10702" spans="9:10" x14ac:dyDescent="0.3">
      <c r="I10702"/>
      <c r="J10702"/>
    </row>
    <row r="10703" spans="9:10" x14ac:dyDescent="0.3">
      <c r="I10703"/>
      <c r="J10703"/>
    </row>
    <row r="10704" spans="9:10" x14ac:dyDescent="0.3">
      <c r="I10704"/>
      <c r="J10704"/>
    </row>
    <row r="10705" spans="9:10" x14ac:dyDescent="0.3">
      <c r="I10705"/>
      <c r="J10705"/>
    </row>
    <row r="10706" spans="9:10" x14ac:dyDescent="0.3">
      <c r="I10706"/>
      <c r="J10706"/>
    </row>
    <row r="10707" spans="9:10" x14ac:dyDescent="0.3">
      <c r="I10707"/>
      <c r="J10707"/>
    </row>
    <row r="10708" spans="9:10" x14ac:dyDescent="0.3">
      <c r="I10708"/>
      <c r="J10708"/>
    </row>
    <row r="10709" spans="9:10" x14ac:dyDescent="0.3">
      <c r="I10709"/>
      <c r="J10709"/>
    </row>
    <row r="10710" spans="9:10" x14ac:dyDescent="0.3">
      <c r="I10710"/>
      <c r="J10710"/>
    </row>
    <row r="10711" spans="9:10" x14ac:dyDescent="0.3">
      <c r="I10711"/>
      <c r="J10711"/>
    </row>
    <row r="10712" spans="9:10" x14ac:dyDescent="0.3">
      <c r="I10712"/>
      <c r="J10712"/>
    </row>
    <row r="10713" spans="9:10" x14ac:dyDescent="0.3">
      <c r="I10713"/>
      <c r="J10713"/>
    </row>
    <row r="10714" spans="9:10" x14ac:dyDescent="0.3">
      <c r="I10714"/>
      <c r="J10714"/>
    </row>
    <row r="10715" spans="9:10" x14ac:dyDescent="0.3">
      <c r="I10715"/>
      <c r="J10715"/>
    </row>
    <row r="10716" spans="9:10" x14ac:dyDescent="0.3">
      <c r="I10716"/>
      <c r="J10716"/>
    </row>
    <row r="10717" spans="9:10" x14ac:dyDescent="0.3">
      <c r="I10717"/>
      <c r="J10717"/>
    </row>
    <row r="10718" spans="9:10" x14ac:dyDescent="0.3">
      <c r="I10718"/>
      <c r="J10718"/>
    </row>
    <row r="10719" spans="9:10" x14ac:dyDescent="0.3">
      <c r="I10719"/>
      <c r="J10719"/>
    </row>
    <row r="10720" spans="9:10" x14ac:dyDescent="0.3">
      <c r="I10720"/>
      <c r="J10720"/>
    </row>
    <row r="10721" spans="9:10" x14ac:dyDescent="0.3">
      <c r="I10721"/>
      <c r="J10721"/>
    </row>
    <row r="10722" spans="9:10" x14ac:dyDescent="0.3">
      <c r="I10722"/>
      <c r="J10722"/>
    </row>
    <row r="10723" spans="9:10" x14ac:dyDescent="0.3">
      <c r="I10723"/>
      <c r="J10723"/>
    </row>
    <row r="10724" spans="9:10" x14ac:dyDescent="0.3">
      <c r="I10724"/>
      <c r="J10724"/>
    </row>
    <row r="10725" spans="9:10" x14ac:dyDescent="0.3">
      <c r="I10725"/>
      <c r="J10725"/>
    </row>
    <row r="10726" spans="9:10" x14ac:dyDescent="0.3">
      <c r="I10726"/>
      <c r="J10726"/>
    </row>
    <row r="10727" spans="9:10" x14ac:dyDescent="0.3">
      <c r="I10727"/>
      <c r="J10727"/>
    </row>
    <row r="10728" spans="9:10" x14ac:dyDescent="0.3">
      <c r="I10728"/>
      <c r="J10728"/>
    </row>
    <row r="10729" spans="9:10" x14ac:dyDescent="0.3">
      <c r="I10729"/>
      <c r="J10729"/>
    </row>
    <row r="10730" spans="9:10" x14ac:dyDescent="0.3">
      <c r="I10730"/>
      <c r="J10730"/>
    </row>
    <row r="10731" spans="9:10" x14ac:dyDescent="0.3">
      <c r="I10731"/>
      <c r="J10731"/>
    </row>
    <row r="10732" spans="9:10" x14ac:dyDescent="0.3">
      <c r="I10732"/>
      <c r="J10732"/>
    </row>
    <row r="10733" spans="9:10" x14ac:dyDescent="0.3">
      <c r="I10733"/>
      <c r="J10733"/>
    </row>
    <row r="10734" spans="9:10" x14ac:dyDescent="0.3">
      <c r="I10734"/>
      <c r="J10734"/>
    </row>
    <row r="10735" spans="9:10" x14ac:dyDescent="0.3">
      <c r="I10735"/>
      <c r="J10735"/>
    </row>
    <row r="10736" spans="9:10" x14ac:dyDescent="0.3">
      <c r="I10736"/>
      <c r="J10736"/>
    </row>
    <row r="10737" spans="9:10" x14ac:dyDescent="0.3">
      <c r="I10737"/>
      <c r="J10737"/>
    </row>
    <row r="10738" spans="9:10" x14ac:dyDescent="0.3">
      <c r="I10738"/>
      <c r="J10738"/>
    </row>
    <row r="10739" spans="9:10" x14ac:dyDescent="0.3">
      <c r="I10739"/>
      <c r="J10739"/>
    </row>
    <row r="10740" spans="9:10" x14ac:dyDescent="0.3">
      <c r="I10740"/>
      <c r="J10740"/>
    </row>
    <row r="10741" spans="9:10" x14ac:dyDescent="0.3">
      <c r="I10741"/>
      <c r="J10741"/>
    </row>
    <row r="10742" spans="9:10" x14ac:dyDescent="0.3">
      <c r="I10742"/>
      <c r="J10742"/>
    </row>
    <row r="10743" spans="9:10" x14ac:dyDescent="0.3">
      <c r="I10743"/>
      <c r="J10743"/>
    </row>
    <row r="10744" spans="9:10" x14ac:dyDescent="0.3">
      <c r="I10744"/>
      <c r="J10744"/>
    </row>
    <row r="10745" spans="9:10" x14ac:dyDescent="0.3">
      <c r="I10745"/>
      <c r="J10745"/>
    </row>
    <row r="10746" spans="9:10" x14ac:dyDescent="0.3">
      <c r="I10746"/>
      <c r="J10746"/>
    </row>
    <row r="10747" spans="9:10" x14ac:dyDescent="0.3">
      <c r="I10747"/>
      <c r="J10747"/>
    </row>
    <row r="10748" spans="9:10" x14ac:dyDescent="0.3">
      <c r="I10748"/>
      <c r="J10748"/>
    </row>
    <row r="10749" spans="9:10" x14ac:dyDescent="0.3">
      <c r="I10749"/>
      <c r="J10749"/>
    </row>
    <row r="10750" spans="9:10" x14ac:dyDescent="0.3">
      <c r="I10750"/>
      <c r="J10750"/>
    </row>
    <row r="10751" spans="9:10" x14ac:dyDescent="0.3">
      <c r="I10751"/>
      <c r="J10751"/>
    </row>
    <row r="10752" spans="9:10" x14ac:dyDescent="0.3">
      <c r="I10752"/>
      <c r="J10752"/>
    </row>
    <row r="10753" spans="9:10" x14ac:dyDescent="0.3">
      <c r="I10753"/>
      <c r="J10753"/>
    </row>
    <row r="10754" spans="9:10" x14ac:dyDescent="0.3">
      <c r="I10754"/>
      <c r="J10754"/>
    </row>
    <row r="10755" spans="9:10" x14ac:dyDescent="0.3">
      <c r="I10755"/>
      <c r="J10755"/>
    </row>
    <row r="10756" spans="9:10" x14ac:dyDescent="0.3">
      <c r="I10756"/>
      <c r="J10756"/>
    </row>
    <row r="10757" spans="9:10" x14ac:dyDescent="0.3">
      <c r="I10757"/>
      <c r="J10757"/>
    </row>
    <row r="10758" spans="9:10" x14ac:dyDescent="0.3">
      <c r="I10758"/>
      <c r="J10758"/>
    </row>
    <row r="10759" spans="9:10" x14ac:dyDescent="0.3">
      <c r="I10759"/>
      <c r="J10759"/>
    </row>
    <row r="10760" spans="9:10" x14ac:dyDescent="0.3">
      <c r="I10760"/>
      <c r="J10760"/>
    </row>
    <row r="10761" spans="9:10" x14ac:dyDescent="0.3">
      <c r="I10761"/>
      <c r="J10761"/>
    </row>
    <row r="10762" spans="9:10" x14ac:dyDescent="0.3">
      <c r="I10762"/>
      <c r="J10762"/>
    </row>
    <row r="10763" spans="9:10" x14ac:dyDescent="0.3">
      <c r="I10763"/>
      <c r="J10763"/>
    </row>
    <row r="10764" spans="9:10" x14ac:dyDescent="0.3">
      <c r="I10764"/>
      <c r="J10764"/>
    </row>
    <row r="10765" spans="9:10" x14ac:dyDescent="0.3">
      <c r="I10765"/>
      <c r="J10765"/>
    </row>
    <row r="10766" spans="9:10" x14ac:dyDescent="0.3">
      <c r="I10766"/>
      <c r="J10766"/>
    </row>
    <row r="10767" spans="9:10" x14ac:dyDescent="0.3">
      <c r="I10767"/>
      <c r="J10767"/>
    </row>
    <row r="10768" spans="9:10" x14ac:dyDescent="0.3">
      <c r="I10768"/>
      <c r="J10768"/>
    </row>
    <row r="10769" spans="9:10" x14ac:dyDescent="0.3">
      <c r="I10769"/>
      <c r="J10769"/>
    </row>
    <row r="10770" spans="9:10" x14ac:dyDescent="0.3">
      <c r="I10770"/>
      <c r="J10770"/>
    </row>
    <row r="10771" spans="9:10" x14ac:dyDescent="0.3">
      <c r="I10771"/>
      <c r="J10771"/>
    </row>
    <row r="10772" spans="9:10" x14ac:dyDescent="0.3">
      <c r="I10772"/>
      <c r="J10772"/>
    </row>
    <row r="10773" spans="9:10" x14ac:dyDescent="0.3">
      <c r="I10773"/>
      <c r="J10773"/>
    </row>
    <row r="10774" spans="9:10" x14ac:dyDescent="0.3">
      <c r="I10774"/>
      <c r="J10774"/>
    </row>
    <row r="10775" spans="9:10" x14ac:dyDescent="0.3">
      <c r="I10775"/>
      <c r="J10775"/>
    </row>
    <row r="10776" spans="9:10" x14ac:dyDescent="0.3">
      <c r="I10776"/>
      <c r="J10776"/>
    </row>
    <row r="10777" spans="9:10" x14ac:dyDescent="0.3">
      <c r="I10777"/>
      <c r="J10777"/>
    </row>
    <row r="10778" spans="9:10" x14ac:dyDescent="0.3">
      <c r="I10778"/>
      <c r="J10778"/>
    </row>
    <row r="10779" spans="9:10" x14ac:dyDescent="0.3">
      <c r="I10779"/>
      <c r="J10779"/>
    </row>
    <row r="10780" spans="9:10" x14ac:dyDescent="0.3">
      <c r="I10780"/>
      <c r="J10780"/>
    </row>
    <row r="10781" spans="9:10" x14ac:dyDescent="0.3">
      <c r="I10781"/>
      <c r="J10781"/>
    </row>
    <row r="10782" spans="9:10" x14ac:dyDescent="0.3">
      <c r="I10782"/>
      <c r="J10782"/>
    </row>
    <row r="10783" spans="9:10" x14ac:dyDescent="0.3">
      <c r="I10783"/>
      <c r="J10783"/>
    </row>
    <row r="10784" spans="9:10" x14ac:dyDescent="0.3">
      <c r="I10784"/>
      <c r="J10784"/>
    </row>
    <row r="10785" spans="9:10" x14ac:dyDescent="0.3">
      <c r="I10785"/>
      <c r="J10785"/>
    </row>
    <row r="10786" spans="9:10" x14ac:dyDescent="0.3">
      <c r="I10786"/>
      <c r="J10786"/>
    </row>
    <row r="10787" spans="9:10" x14ac:dyDescent="0.3">
      <c r="I10787"/>
      <c r="J10787"/>
    </row>
    <row r="10788" spans="9:10" x14ac:dyDescent="0.3">
      <c r="I10788"/>
      <c r="J10788"/>
    </row>
    <row r="10789" spans="9:10" x14ac:dyDescent="0.3">
      <c r="I10789"/>
      <c r="J10789"/>
    </row>
    <row r="10790" spans="9:10" x14ac:dyDescent="0.3">
      <c r="I10790"/>
      <c r="J10790"/>
    </row>
    <row r="10791" spans="9:10" x14ac:dyDescent="0.3">
      <c r="I10791"/>
      <c r="J10791"/>
    </row>
    <row r="10792" spans="9:10" x14ac:dyDescent="0.3">
      <c r="I10792"/>
      <c r="J10792"/>
    </row>
    <row r="10793" spans="9:10" x14ac:dyDescent="0.3">
      <c r="I10793"/>
      <c r="J10793"/>
    </row>
    <row r="10794" spans="9:10" x14ac:dyDescent="0.3">
      <c r="I10794"/>
      <c r="J10794"/>
    </row>
    <row r="10795" spans="9:10" x14ac:dyDescent="0.3">
      <c r="I10795"/>
      <c r="J10795"/>
    </row>
    <row r="10796" spans="9:10" x14ac:dyDescent="0.3">
      <c r="I10796"/>
      <c r="J10796"/>
    </row>
    <row r="10797" spans="9:10" x14ac:dyDescent="0.3">
      <c r="I10797"/>
      <c r="J10797"/>
    </row>
    <row r="10798" spans="9:10" x14ac:dyDescent="0.3">
      <c r="I10798"/>
      <c r="J10798"/>
    </row>
    <row r="10799" spans="9:10" x14ac:dyDescent="0.3">
      <c r="I10799"/>
      <c r="J10799"/>
    </row>
    <row r="10800" spans="9:10" x14ac:dyDescent="0.3">
      <c r="I10800"/>
      <c r="J10800"/>
    </row>
    <row r="10801" spans="9:10" x14ac:dyDescent="0.3">
      <c r="I10801"/>
      <c r="J10801"/>
    </row>
    <row r="10802" spans="9:10" x14ac:dyDescent="0.3">
      <c r="I10802"/>
      <c r="J10802"/>
    </row>
    <row r="10803" spans="9:10" x14ac:dyDescent="0.3">
      <c r="I10803"/>
      <c r="J10803"/>
    </row>
    <row r="10804" spans="9:10" x14ac:dyDescent="0.3">
      <c r="I10804"/>
      <c r="J10804"/>
    </row>
    <row r="10805" spans="9:10" x14ac:dyDescent="0.3">
      <c r="I10805"/>
      <c r="J10805"/>
    </row>
    <row r="10806" spans="9:10" x14ac:dyDescent="0.3">
      <c r="I10806"/>
      <c r="J10806"/>
    </row>
    <row r="10807" spans="9:10" x14ac:dyDescent="0.3">
      <c r="I10807"/>
      <c r="J10807"/>
    </row>
    <row r="10808" spans="9:10" x14ac:dyDescent="0.3">
      <c r="I10808"/>
      <c r="J10808"/>
    </row>
    <row r="10809" spans="9:10" x14ac:dyDescent="0.3">
      <c r="I10809"/>
      <c r="J10809"/>
    </row>
    <row r="10810" spans="9:10" x14ac:dyDescent="0.3">
      <c r="I10810"/>
      <c r="J10810"/>
    </row>
    <row r="10811" spans="9:10" x14ac:dyDescent="0.3">
      <c r="I10811"/>
      <c r="J10811"/>
    </row>
    <row r="10812" spans="9:10" x14ac:dyDescent="0.3">
      <c r="I10812"/>
      <c r="J10812"/>
    </row>
    <row r="10813" spans="9:10" x14ac:dyDescent="0.3">
      <c r="I10813"/>
      <c r="J10813"/>
    </row>
    <row r="10814" spans="9:10" x14ac:dyDescent="0.3">
      <c r="I10814"/>
      <c r="J10814"/>
    </row>
    <row r="10815" spans="9:10" x14ac:dyDescent="0.3">
      <c r="I10815"/>
      <c r="J10815"/>
    </row>
    <row r="10816" spans="9:10" x14ac:dyDescent="0.3">
      <c r="I10816"/>
      <c r="J10816"/>
    </row>
    <row r="10817" spans="9:10" x14ac:dyDescent="0.3">
      <c r="I10817"/>
      <c r="J10817"/>
    </row>
    <row r="10818" spans="9:10" x14ac:dyDescent="0.3">
      <c r="I10818"/>
      <c r="J10818"/>
    </row>
    <row r="10819" spans="9:10" x14ac:dyDescent="0.3">
      <c r="I10819"/>
      <c r="J10819"/>
    </row>
    <row r="10820" spans="9:10" x14ac:dyDescent="0.3">
      <c r="I10820"/>
      <c r="J10820"/>
    </row>
    <row r="10821" spans="9:10" x14ac:dyDescent="0.3">
      <c r="I10821"/>
      <c r="J10821"/>
    </row>
    <row r="10822" spans="9:10" x14ac:dyDescent="0.3">
      <c r="I10822"/>
      <c r="J10822"/>
    </row>
    <row r="10823" spans="9:10" x14ac:dyDescent="0.3">
      <c r="I10823"/>
      <c r="J10823"/>
    </row>
    <row r="10824" spans="9:10" x14ac:dyDescent="0.3">
      <c r="I10824"/>
      <c r="J10824"/>
    </row>
    <row r="10825" spans="9:10" x14ac:dyDescent="0.3">
      <c r="I10825"/>
      <c r="J10825"/>
    </row>
    <row r="10826" spans="9:10" x14ac:dyDescent="0.3">
      <c r="I10826"/>
      <c r="J10826"/>
    </row>
    <row r="10827" spans="9:10" x14ac:dyDescent="0.3">
      <c r="I10827"/>
      <c r="J10827"/>
    </row>
    <row r="10828" spans="9:10" x14ac:dyDescent="0.3">
      <c r="I10828"/>
      <c r="J10828"/>
    </row>
    <row r="10829" spans="9:10" x14ac:dyDescent="0.3">
      <c r="I10829"/>
      <c r="J10829"/>
    </row>
    <row r="10830" spans="9:10" x14ac:dyDescent="0.3">
      <c r="I10830"/>
      <c r="J10830"/>
    </row>
    <row r="10831" spans="9:10" x14ac:dyDescent="0.3">
      <c r="I10831"/>
      <c r="J10831"/>
    </row>
    <row r="10832" spans="9:10" x14ac:dyDescent="0.3">
      <c r="I10832"/>
      <c r="J10832"/>
    </row>
    <row r="10833" spans="9:10" x14ac:dyDescent="0.3">
      <c r="I10833"/>
      <c r="J10833"/>
    </row>
    <row r="10834" spans="9:10" x14ac:dyDescent="0.3">
      <c r="I10834"/>
      <c r="J10834"/>
    </row>
    <row r="10835" spans="9:10" x14ac:dyDescent="0.3">
      <c r="I10835"/>
      <c r="J10835"/>
    </row>
    <row r="10836" spans="9:10" x14ac:dyDescent="0.3">
      <c r="I10836"/>
      <c r="J10836"/>
    </row>
    <row r="10837" spans="9:10" x14ac:dyDescent="0.3">
      <c r="I10837"/>
      <c r="J10837"/>
    </row>
    <row r="10838" spans="9:10" x14ac:dyDescent="0.3">
      <c r="I10838"/>
      <c r="J10838"/>
    </row>
    <row r="10839" spans="9:10" x14ac:dyDescent="0.3">
      <c r="I10839"/>
      <c r="J10839"/>
    </row>
    <row r="10840" spans="9:10" x14ac:dyDescent="0.3">
      <c r="I10840"/>
      <c r="J10840"/>
    </row>
    <row r="10841" spans="9:10" x14ac:dyDescent="0.3">
      <c r="I10841"/>
      <c r="J10841"/>
    </row>
    <row r="10842" spans="9:10" x14ac:dyDescent="0.3">
      <c r="I10842"/>
      <c r="J10842"/>
    </row>
    <row r="10843" spans="9:10" x14ac:dyDescent="0.3">
      <c r="I10843"/>
      <c r="J10843"/>
    </row>
    <row r="10844" spans="9:10" x14ac:dyDescent="0.3">
      <c r="I10844"/>
      <c r="J10844"/>
    </row>
    <row r="10845" spans="9:10" x14ac:dyDescent="0.3">
      <c r="I10845"/>
      <c r="J10845"/>
    </row>
    <row r="10846" spans="9:10" x14ac:dyDescent="0.3">
      <c r="I10846"/>
      <c r="J10846"/>
    </row>
    <row r="10847" spans="9:10" x14ac:dyDescent="0.3">
      <c r="I10847"/>
      <c r="J10847"/>
    </row>
    <row r="10848" spans="9:10" x14ac:dyDescent="0.3">
      <c r="I10848"/>
      <c r="J10848"/>
    </row>
    <row r="10849" spans="9:10" x14ac:dyDescent="0.3">
      <c r="I10849"/>
      <c r="J10849"/>
    </row>
    <row r="10850" spans="9:10" x14ac:dyDescent="0.3">
      <c r="I10850"/>
      <c r="J10850"/>
    </row>
    <row r="10851" spans="9:10" x14ac:dyDescent="0.3">
      <c r="I10851"/>
      <c r="J10851"/>
    </row>
    <row r="10852" spans="9:10" x14ac:dyDescent="0.3">
      <c r="I10852"/>
      <c r="J10852"/>
    </row>
    <row r="10853" spans="9:10" x14ac:dyDescent="0.3">
      <c r="I10853"/>
      <c r="J10853"/>
    </row>
    <row r="10854" spans="9:10" x14ac:dyDescent="0.3">
      <c r="I10854"/>
      <c r="J10854"/>
    </row>
    <row r="10855" spans="9:10" x14ac:dyDescent="0.3">
      <c r="I10855"/>
      <c r="J10855"/>
    </row>
    <row r="10856" spans="9:10" x14ac:dyDescent="0.3">
      <c r="I10856"/>
      <c r="J10856"/>
    </row>
    <row r="10857" spans="9:10" x14ac:dyDescent="0.3">
      <c r="I10857"/>
      <c r="J10857"/>
    </row>
    <row r="10858" spans="9:10" x14ac:dyDescent="0.3">
      <c r="I10858"/>
      <c r="J10858"/>
    </row>
    <row r="10859" spans="9:10" x14ac:dyDescent="0.3">
      <c r="I10859"/>
      <c r="J10859"/>
    </row>
    <row r="10860" spans="9:10" x14ac:dyDescent="0.3">
      <c r="I10860"/>
      <c r="J10860"/>
    </row>
    <row r="10861" spans="9:10" x14ac:dyDescent="0.3">
      <c r="I10861"/>
      <c r="J10861"/>
    </row>
    <row r="10862" spans="9:10" x14ac:dyDescent="0.3">
      <c r="I10862"/>
      <c r="J10862"/>
    </row>
    <row r="10863" spans="9:10" x14ac:dyDescent="0.3">
      <c r="I10863"/>
      <c r="J10863"/>
    </row>
    <row r="10864" spans="9:10" x14ac:dyDescent="0.3">
      <c r="I10864"/>
      <c r="J10864"/>
    </row>
    <row r="10865" spans="9:10" x14ac:dyDescent="0.3">
      <c r="I10865"/>
      <c r="J10865"/>
    </row>
    <row r="10866" spans="9:10" x14ac:dyDescent="0.3">
      <c r="I10866"/>
      <c r="J10866"/>
    </row>
    <row r="10867" spans="9:10" x14ac:dyDescent="0.3">
      <c r="I10867"/>
      <c r="J10867"/>
    </row>
    <row r="10868" spans="9:10" x14ac:dyDescent="0.3">
      <c r="I10868"/>
      <c r="J10868"/>
    </row>
    <row r="10869" spans="9:10" x14ac:dyDescent="0.3">
      <c r="I10869"/>
      <c r="J10869"/>
    </row>
    <row r="10870" spans="9:10" x14ac:dyDescent="0.3">
      <c r="I10870"/>
      <c r="J10870"/>
    </row>
    <row r="10871" spans="9:10" x14ac:dyDescent="0.3">
      <c r="I10871"/>
      <c r="J10871"/>
    </row>
    <row r="10872" spans="9:10" x14ac:dyDescent="0.3">
      <c r="I10872"/>
      <c r="J10872"/>
    </row>
    <row r="10873" spans="9:10" x14ac:dyDescent="0.3">
      <c r="I10873"/>
      <c r="J10873"/>
    </row>
    <row r="10874" spans="9:10" x14ac:dyDescent="0.3">
      <c r="I10874"/>
      <c r="J10874"/>
    </row>
    <row r="10875" spans="9:10" x14ac:dyDescent="0.3">
      <c r="I10875"/>
      <c r="J10875"/>
    </row>
    <row r="10876" spans="9:10" x14ac:dyDescent="0.3">
      <c r="I10876"/>
      <c r="J10876"/>
    </row>
    <row r="10877" spans="9:10" x14ac:dyDescent="0.3">
      <c r="I10877"/>
      <c r="J10877"/>
    </row>
    <row r="10878" spans="9:10" x14ac:dyDescent="0.3">
      <c r="I10878"/>
      <c r="J10878"/>
    </row>
    <row r="10879" spans="9:10" x14ac:dyDescent="0.3">
      <c r="I10879"/>
      <c r="J10879"/>
    </row>
    <row r="10880" spans="9:10" x14ac:dyDescent="0.3">
      <c r="I10880"/>
      <c r="J10880"/>
    </row>
    <row r="10881" spans="9:10" x14ac:dyDescent="0.3">
      <c r="I10881"/>
      <c r="J10881"/>
    </row>
    <row r="10882" spans="9:10" x14ac:dyDescent="0.3">
      <c r="I10882"/>
      <c r="J10882"/>
    </row>
    <row r="10883" spans="9:10" x14ac:dyDescent="0.3">
      <c r="I10883"/>
      <c r="J10883"/>
    </row>
    <row r="10884" spans="9:10" x14ac:dyDescent="0.3">
      <c r="I10884"/>
      <c r="J10884"/>
    </row>
    <row r="10885" spans="9:10" x14ac:dyDescent="0.3">
      <c r="I10885"/>
      <c r="J10885"/>
    </row>
    <row r="10886" spans="9:10" x14ac:dyDescent="0.3">
      <c r="I10886"/>
      <c r="J10886"/>
    </row>
    <row r="10887" spans="9:10" x14ac:dyDescent="0.3">
      <c r="I10887"/>
      <c r="J10887"/>
    </row>
    <row r="10888" spans="9:10" x14ac:dyDescent="0.3">
      <c r="I10888"/>
      <c r="J10888"/>
    </row>
    <row r="10889" spans="9:10" x14ac:dyDescent="0.3">
      <c r="I10889"/>
      <c r="J10889"/>
    </row>
    <row r="10890" spans="9:10" x14ac:dyDescent="0.3">
      <c r="I10890"/>
      <c r="J10890"/>
    </row>
    <row r="10891" spans="9:10" x14ac:dyDescent="0.3">
      <c r="I10891"/>
      <c r="J10891"/>
    </row>
    <row r="10892" spans="9:10" x14ac:dyDescent="0.3">
      <c r="I10892"/>
      <c r="J10892"/>
    </row>
    <row r="10893" spans="9:10" x14ac:dyDescent="0.3">
      <c r="I10893"/>
      <c r="J10893"/>
    </row>
    <row r="10894" spans="9:10" x14ac:dyDescent="0.3">
      <c r="I10894"/>
      <c r="J10894"/>
    </row>
    <row r="10895" spans="9:10" x14ac:dyDescent="0.3">
      <c r="I10895"/>
      <c r="J10895"/>
    </row>
    <row r="10896" spans="9:10" x14ac:dyDescent="0.3">
      <c r="I10896"/>
      <c r="J10896"/>
    </row>
    <row r="10897" spans="9:10" x14ac:dyDescent="0.3">
      <c r="I10897"/>
      <c r="J10897"/>
    </row>
    <row r="10898" spans="9:10" x14ac:dyDescent="0.3">
      <c r="I10898"/>
      <c r="J10898"/>
    </row>
    <row r="10899" spans="9:10" x14ac:dyDescent="0.3">
      <c r="I10899"/>
      <c r="J10899"/>
    </row>
    <row r="10900" spans="9:10" x14ac:dyDescent="0.3">
      <c r="I10900"/>
      <c r="J10900"/>
    </row>
    <row r="10901" spans="9:10" x14ac:dyDescent="0.3">
      <c r="I10901"/>
      <c r="J10901"/>
    </row>
    <row r="10902" spans="9:10" x14ac:dyDescent="0.3">
      <c r="I10902"/>
      <c r="J10902"/>
    </row>
    <row r="10903" spans="9:10" x14ac:dyDescent="0.3">
      <c r="I10903"/>
      <c r="J10903"/>
    </row>
    <row r="10904" spans="9:10" x14ac:dyDescent="0.3">
      <c r="I10904"/>
      <c r="J10904"/>
    </row>
    <row r="10905" spans="9:10" x14ac:dyDescent="0.3">
      <c r="I10905"/>
      <c r="J10905"/>
    </row>
    <row r="10906" spans="9:10" x14ac:dyDescent="0.3">
      <c r="I10906"/>
      <c r="J10906"/>
    </row>
    <row r="10907" spans="9:10" x14ac:dyDescent="0.3">
      <c r="I10907"/>
      <c r="J10907"/>
    </row>
    <row r="10908" spans="9:10" x14ac:dyDescent="0.3">
      <c r="I10908"/>
      <c r="J10908"/>
    </row>
    <row r="10909" spans="9:10" x14ac:dyDescent="0.3">
      <c r="I10909"/>
      <c r="J10909"/>
    </row>
    <row r="10910" spans="9:10" x14ac:dyDescent="0.3">
      <c r="I10910"/>
      <c r="J10910"/>
    </row>
    <row r="10911" spans="9:10" x14ac:dyDescent="0.3">
      <c r="I10911"/>
      <c r="J10911"/>
    </row>
    <row r="10912" spans="9:10" x14ac:dyDescent="0.3">
      <c r="I10912"/>
      <c r="J10912"/>
    </row>
    <row r="10913" spans="9:10" x14ac:dyDescent="0.3">
      <c r="I10913"/>
      <c r="J10913"/>
    </row>
    <row r="10914" spans="9:10" x14ac:dyDescent="0.3">
      <c r="I10914"/>
      <c r="J10914"/>
    </row>
    <row r="10915" spans="9:10" x14ac:dyDescent="0.3">
      <c r="I10915"/>
      <c r="J10915"/>
    </row>
    <row r="10916" spans="9:10" x14ac:dyDescent="0.3">
      <c r="I10916"/>
      <c r="J10916"/>
    </row>
    <row r="10917" spans="9:10" x14ac:dyDescent="0.3">
      <c r="I10917"/>
      <c r="J10917"/>
    </row>
    <row r="10918" spans="9:10" x14ac:dyDescent="0.3">
      <c r="I10918"/>
      <c r="J10918"/>
    </row>
    <row r="10919" spans="9:10" x14ac:dyDescent="0.3">
      <c r="I10919"/>
      <c r="J10919"/>
    </row>
    <row r="10920" spans="9:10" x14ac:dyDescent="0.3">
      <c r="I10920"/>
      <c r="J10920"/>
    </row>
    <row r="10921" spans="9:10" x14ac:dyDescent="0.3">
      <c r="I10921"/>
      <c r="J10921"/>
    </row>
    <row r="10922" spans="9:10" x14ac:dyDescent="0.3">
      <c r="I10922"/>
      <c r="J10922"/>
    </row>
    <row r="10923" spans="9:10" x14ac:dyDescent="0.3">
      <c r="I10923"/>
      <c r="J10923"/>
    </row>
    <row r="10924" spans="9:10" x14ac:dyDescent="0.3">
      <c r="I10924"/>
      <c r="J10924"/>
    </row>
    <row r="10925" spans="9:10" x14ac:dyDescent="0.3">
      <c r="I10925"/>
      <c r="J10925"/>
    </row>
    <row r="10926" spans="9:10" x14ac:dyDescent="0.3">
      <c r="I10926"/>
      <c r="J10926"/>
    </row>
    <row r="10927" spans="9:10" x14ac:dyDescent="0.3">
      <c r="I10927"/>
      <c r="J10927"/>
    </row>
    <row r="10928" spans="9:10" x14ac:dyDescent="0.3">
      <c r="I10928"/>
      <c r="J10928"/>
    </row>
    <row r="10929" spans="9:10" x14ac:dyDescent="0.3">
      <c r="I10929"/>
      <c r="J10929"/>
    </row>
    <row r="10930" spans="9:10" x14ac:dyDescent="0.3">
      <c r="I10930"/>
      <c r="J10930"/>
    </row>
    <row r="10931" spans="9:10" x14ac:dyDescent="0.3">
      <c r="I10931"/>
      <c r="J10931"/>
    </row>
    <row r="10932" spans="9:10" x14ac:dyDescent="0.3">
      <c r="I10932"/>
      <c r="J10932"/>
    </row>
    <row r="10933" spans="9:10" x14ac:dyDescent="0.3">
      <c r="I10933"/>
      <c r="J10933"/>
    </row>
    <row r="10934" spans="9:10" x14ac:dyDescent="0.3">
      <c r="I10934"/>
      <c r="J10934"/>
    </row>
    <row r="10935" spans="9:10" x14ac:dyDescent="0.3">
      <c r="I10935"/>
      <c r="J10935"/>
    </row>
    <row r="10936" spans="9:10" x14ac:dyDescent="0.3">
      <c r="I10936"/>
      <c r="J10936"/>
    </row>
    <row r="10937" spans="9:10" x14ac:dyDescent="0.3">
      <c r="I10937"/>
      <c r="J10937"/>
    </row>
    <row r="10938" spans="9:10" x14ac:dyDescent="0.3">
      <c r="I10938"/>
      <c r="J10938"/>
    </row>
    <row r="10939" spans="9:10" x14ac:dyDescent="0.3">
      <c r="I10939"/>
      <c r="J10939"/>
    </row>
    <row r="10940" spans="9:10" x14ac:dyDescent="0.3">
      <c r="I10940"/>
      <c r="J10940"/>
    </row>
    <row r="10941" spans="9:10" x14ac:dyDescent="0.3">
      <c r="I10941"/>
      <c r="J10941"/>
    </row>
    <row r="10942" spans="9:10" x14ac:dyDescent="0.3">
      <c r="I10942"/>
      <c r="J10942"/>
    </row>
    <row r="10943" spans="9:10" x14ac:dyDescent="0.3">
      <c r="I10943"/>
      <c r="J10943"/>
    </row>
    <row r="10944" spans="9:10" x14ac:dyDescent="0.3">
      <c r="I10944"/>
      <c r="J10944"/>
    </row>
    <row r="10945" spans="9:10" x14ac:dyDescent="0.3">
      <c r="I10945"/>
      <c r="J10945"/>
    </row>
    <row r="10946" spans="9:10" x14ac:dyDescent="0.3">
      <c r="I10946"/>
      <c r="J10946"/>
    </row>
    <row r="10947" spans="9:10" x14ac:dyDescent="0.3">
      <c r="I10947"/>
      <c r="J10947"/>
    </row>
    <row r="10948" spans="9:10" x14ac:dyDescent="0.3">
      <c r="I10948"/>
      <c r="J10948"/>
    </row>
    <row r="10949" spans="9:10" x14ac:dyDescent="0.3">
      <c r="I10949"/>
      <c r="J10949"/>
    </row>
    <row r="10950" spans="9:10" x14ac:dyDescent="0.3">
      <c r="I10950"/>
      <c r="J10950"/>
    </row>
    <row r="10951" spans="9:10" x14ac:dyDescent="0.3">
      <c r="I10951"/>
      <c r="J10951"/>
    </row>
    <row r="10952" spans="9:10" x14ac:dyDescent="0.3">
      <c r="I10952"/>
      <c r="J10952"/>
    </row>
    <row r="10953" spans="9:10" x14ac:dyDescent="0.3">
      <c r="I10953"/>
      <c r="J10953"/>
    </row>
    <row r="10954" spans="9:10" x14ac:dyDescent="0.3">
      <c r="I10954"/>
      <c r="J10954"/>
    </row>
    <row r="10955" spans="9:10" x14ac:dyDescent="0.3">
      <c r="I10955"/>
      <c r="J10955"/>
    </row>
    <row r="10956" spans="9:10" x14ac:dyDescent="0.3">
      <c r="I10956"/>
      <c r="J10956"/>
    </row>
    <row r="10957" spans="9:10" x14ac:dyDescent="0.3">
      <c r="I10957"/>
      <c r="J10957"/>
    </row>
    <row r="10958" spans="9:10" x14ac:dyDescent="0.3">
      <c r="I10958"/>
      <c r="J10958"/>
    </row>
    <row r="10959" spans="9:10" x14ac:dyDescent="0.3">
      <c r="I10959"/>
      <c r="J10959"/>
    </row>
    <row r="10960" spans="9:10" x14ac:dyDescent="0.3">
      <c r="I10960"/>
      <c r="J10960"/>
    </row>
    <row r="10961" spans="9:10" x14ac:dyDescent="0.3">
      <c r="I10961"/>
      <c r="J10961"/>
    </row>
    <row r="10962" spans="9:10" x14ac:dyDescent="0.3">
      <c r="I10962"/>
      <c r="J10962"/>
    </row>
    <row r="10963" spans="9:10" x14ac:dyDescent="0.3">
      <c r="I10963"/>
      <c r="J10963"/>
    </row>
    <row r="10964" spans="9:10" x14ac:dyDescent="0.3">
      <c r="I10964"/>
      <c r="J10964"/>
    </row>
    <row r="10965" spans="9:10" x14ac:dyDescent="0.3">
      <c r="I10965"/>
      <c r="J10965"/>
    </row>
    <row r="10966" spans="9:10" x14ac:dyDescent="0.3">
      <c r="I10966"/>
      <c r="J10966"/>
    </row>
    <row r="10967" spans="9:10" x14ac:dyDescent="0.3">
      <c r="I10967"/>
      <c r="J10967"/>
    </row>
    <row r="10968" spans="9:10" x14ac:dyDescent="0.3">
      <c r="I10968"/>
      <c r="J10968"/>
    </row>
    <row r="10969" spans="9:10" x14ac:dyDescent="0.3">
      <c r="I10969"/>
      <c r="J10969"/>
    </row>
    <row r="10970" spans="9:10" x14ac:dyDescent="0.3">
      <c r="I10970"/>
      <c r="J10970"/>
    </row>
    <row r="10971" spans="9:10" x14ac:dyDescent="0.3">
      <c r="I10971"/>
      <c r="J10971"/>
    </row>
    <row r="10972" spans="9:10" x14ac:dyDescent="0.3">
      <c r="I10972"/>
      <c r="J10972"/>
    </row>
    <row r="10973" spans="9:10" x14ac:dyDescent="0.3">
      <c r="I10973"/>
      <c r="J10973"/>
    </row>
    <row r="10974" spans="9:10" x14ac:dyDescent="0.3">
      <c r="I10974"/>
      <c r="J10974"/>
    </row>
    <row r="10975" spans="9:10" x14ac:dyDescent="0.3">
      <c r="I10975"/>
      <c r="J10975"/>
    </row>
    <row r="10976" spans="9:10" x14ac:dyDescent="0.3">
      <c r="I10976"/>
      <c r="J10976"/>
    </row>
    <row r="10977" spans="9:10" x14ac:dyDescent="0.3">
      <c r="I10977"/>
      <c r="J10977"/>
    </row>
    <row r="10978" spans="9:10" x14ac:dyDescent="0.3">
      <c r="I10978"/>
      <c r="J10978"/>
    </row>
    <row r="10979" spans="9:10" x14ac:dyDescent="0.3">
      <c r="I10979"/>
      <c r="J10979"/>
    </row>
    <row r="10980" spans="9:10" x14ac:dyDescent="0.3">
      <c r="I10980"/>
      <c r="J10980"/>
    </row>
    <row r="10981" spans="9:10" x14ac:dyDescent="0.3">
      <c r="I10981"/>
      <c r="J10981"/>
    </row>
    <row r="10982" spans="9:10" x14ac:dyDescent="0.3">
      <c r="I10982"/>
      <c r="J10982"/>
    </row>
    <row r="10983" spans="9:10" x14ac:dyDescent="0.3">
      <c r="I10983"/>
      <c r="J10983"/>
    </row>
    <row r="10984" spans="9:10" x14ac:dyDescent="0.3">
      <c r="I10984"/>
      <c r="J10984"/>
    </row>
    <row r="10985" spans="9:10" x14ac:dyDescent="0.3">
      <c r="I10985"/>
      <c r="J10985"/>
    </row>
    <row r="10986" spans="9:10" x14ac:dyDescent="0.3">
      <c r="I10986"/>
      <c r="J10986"/>
    </row>
    <row r="10987" spans="9:10" x14ac:dyDescent="0.3">
      <c r="I10987"/>
      <c r="J10987"/>
    </row>
    <row r="10988" spans="9:10" x14ac:dyDescent="0.3">
      <c r="I10988"/>
      <c r="J10988"/>
    </row>
    <row r="10989" spans="9:10" x14ac:dyDescent="0.3">
      <c r="I10989"/>
      <c r="J10989"/>
    </row>
    <row r="10990" spans="9:10" x14ac:dyDescent="0.3">
      <c r="I10990"/>
      <c r="J10990"/>
    </row>
    <row r="10991" spans="9:10" x14ac:dyDescent="0.3">
      <c r="I10991"/>
      <c r="J10991"/>
    </row>
    <row r="10992" spans="9:10" x14ac:dyDescent="0.3">
      <c r="I10992"/>
      <c r="J10992"/>
    </row>
    <row r="10993" spans="9:10" x14ac:dyDescent="0.3">
      <c r="I10993"/>
      <c r="J10993"/>
    </row>
    <row r="10994" spans="9:10" x14ac:dyDescent="0.3">
      <c r="I10994"/>
      <c r="J10994"/>
    </row>
    <row r="10995" spans="9:10" x14ac:dyDescent="0.3">
      <c r="I10995"/>
      <c r="J10995"/>
    </row>
    <row r="10996" spans="9:10" x14ac:dyDescent="0.3">
      <c r="I10996"/>
      <c r="J10996"/>
    </row>
    <row r="10997" spans="9:10" x14ac:dyDescent="0.3">
      <c r="I10997"/>
      <c r="J10997"/>
    </row>
    <row r="10998" spans="9:10" x14ac:dyDescent="0.3">
      <c r="I10998"/>
      <c r="J10998"/>
    </row>
    <row r="10999" spans="9:10" x14ac:dyDescent="0.3">
      <c r="I10999"/>
      <c r="J10999"/>
    </row>
    <row r="11000" spans="9:10" x14ac:dyDescent="0.3">
      <c r="I11000"/>
      <c r="J11000"/>
    </row>
    <row r="11001" spans="9:10" x14ac:dyDescent="0.3">
      <c r="I11001"/>
      <c r="J11001"/>
    </row>
    <row r="11002" spans="9:10" x14ac:dyDescent="0.3">
      <c r="I11002"/>
      <c r="J11002"/>
    </row>
    <row r="11003" spans="9:10" x14ac:dyDescent="0.3">
      <c r="I11003"/>
      <c r="J11003"/>
    </row>
    <row r="11004" spans="9:10" x14ac:dyDescent="0.3">
      <c r="I11004"/>
      <c r="J11004"/>
    </row>
    <row r="11005" spans="9:10" x14ac:dyDescent="0.3">
      <c r="I11005"/>
      <c r="J11005"/>
    </row>
    <row r="11006" spans="9:10" x14ac:dyDescent="0.3">
      <c r="I11006"/>
      <c r="J11006"/>
    </row>
    <row r="11007" spans="9:10" x14ac:dyDescent="0.3">
      <c r="I11007"/>
      <c r="J11007"/>
    </row>
    <row r="11008" spans="9:10" x14ac:dyDescent="0.3">
      <c r="I11008"/>
      <c r="J11008"/>
    </row>
    <row r="11009" spans="9:10" x14ac:dyDescent="0.3">
      <c r="I11009"/>
      <c r="J11009"/>
    </row>
    <row r="11010" spans="9:10" x14ac:dyDescent="0.3">
      <c r="I11010"/>
      <c r="J11010"/>
    </row>
    <row r="11011" spans="9:10" x14ac:dyDescent="0.3">
      <c r="I11011"/>
      <c r="J11011"/>
    </row>
    <row r="11012" spans="9:10" x14ac:dyDescent="0.3">
      <c r="I11012"/>
      <c r="J11012"/>
    </row>
    <row r="11013" spans="9:10" x14ac:dyDescent="0.3">
      <c r="I11013"/>
      <c r="J11013"/>
    </row>
    <row r="11014" spans="9:10" x14ac:dyDescent="0.3">
      <c r="I11014"/>
      <c r="J11014"/>
    </row>
    <row r="11015" spans="9:10" x14ac:dyDescent="0.3">
      <c r="I11015"/>
      <c r="J11015"/>
    </row>
    <row r="11016" spans="9:10" x14ac:dyDescent="0.3">
      <c r="I11016"/>
      <c r="J11016"/>
    </row>
    <row r="11017" spans="9:10" x14ac:dyDescent="0.3">
      <c r="I11017"/>
      <c r="J11017"/>
    </row>
    <row r="11018" spans="9:10" x14ac:dyDescent="0.3">
      <c r="I11018"/>
      <c r="J11018"/>
    </row>
    <row r="11019" spans="9:10" x14ac:dyDescent="0.3">
      <c r="I11019"/>
      <c r="J11019"/>
    </row>
    <row r="11020" spans="9:10" x14ac:dyDescent="0.3">
      <c r="I11020"/>
      <c r="J11020"/>
    </row>
    <row r="11021" spans="9:10" x14ac:dyDescent="0.3">
      <c r="I11021"/>
      <c r="J11021"/>
    </row>
    <row r="11022" spans="9:10" x14ac:dyDescent="0.3">
      <c r="I11022"/>
      <c r="J11022"/>
    </row>
    <row r="11023" spans="9:10" x14ac:dyDescent="0.3">
      <c r="I11023"/>
      <c r="J11023"/>
    </row>
    <row r="11024" spans="9:10" x14ac:dyDescent="0.3">
      <c r="I11024"/>
      <c r="J11024"/>
    </row>
    <row r="11025" spans="9:10" x14ac:dyDescent="0.3">
      <c r="I11025"/>
      <c r="J11025"/>
    </row>
    <row r="11026" spans="9:10" x14ac:dyDescent="0.3">
      <c r="I11026"/>
      <c r="J11026"/>
    </row>
    <row r="11027" spans="9:10" x14ac:dyDescent="0.3">
      <c r="I11027"/>
      <c r="J11027"/>
    </row>
    <row r="11028" spans="9:10" x14ac:dyDescent="0.3">
      <c r="I11028"/>
      <c r="J11028"/>
    </row>
    <row r="11029" spans="9:10" x14ac:dyDescent="0.3">
      <c r="I11029"/>
      <c r="J11029"/>
    </row>
    <row r="11030" spans="9:10" x14ac:dyDescent="0.3">
      <c r="I11030"/>
      <c r="J11030"/>
    </row>
    <row r="11031" spans="9:10" x14ac:dyDescent="0.3">
      <c r="I11031"/>
      <c r="J11031"/>
    </row>
    <row r="11032" spans="9:10" x14ac:dyDescent="0.3">
      <c r="I11032"/>
      <c r="J11032"/>
    </row>
    <row r="11033" spans="9:10" x14ac:dyDescent="0.3">
      <c r="I11033"/>
      <c r="J11033"/>
    </row>
    <row r="11034" spans="9:10" x14ac:dyDescent="0.3">
      <c r="I11034"/>
      <c r="J11034"/>
    </row>
    <row r="11035" spans="9:10" x14ac:dyDescent="0.3">
      <c r="I11035"/>
      <c r="J11035"/>
    </row>
    <row r="11036" spans="9:10" x14ac:dyDescent="0.3">
      <c r="I11036"/>
      <c r="J11036"/>
    </row>
    <row r="11037" spans="9:10" x14ac:dyDescent="0.3">
      <c r="I11037"/>
      <c r="J11037"/>
    </row>
    <row r="11038" spans="9:10" x14ac:dyDescent="0.3">
      <c r="I11038"/>
      <c r="J11038"/>
    </row>
    <row r="11039" spans="9:10" x14ac:dyDescent="0.3">
      <c r="I11039"/>
      <c r="J11039"/>
    </row>
    <row r="11040" spans="9:10" x14ac:dyDescent="0.3">
      <c r="I11040"/>
      <c r="J11040"/>
    </row>
    <row r="11041" spans="9:10" x14ac:dyDescent="0.3">
      <c r="I11041"/>
      <c r="J11041"/>
    </row>
    <row r="11042" spans="9:10" x14ac:dyDescent="0.3">
      <c r="I11042"/>
      <c r="J11042"/>
    </row>
    <row r="11043" spans="9:10" x14ac:dyDescent="0.3">
      <c r="I11043"/>
      <c r="J11043"/>
    </row>
    <row r="11044" spans="9:10" x14ac:dyDescent="0.3">
      <c r="I11044"/>
      <c r="J11044"/>
    </row>
    <row r="11045" spans="9:10" x14ac:dyDescent="0.3">
      <c r="I11045"/>
      <c r="J11045"/>
    </row>
    <row r="11046" spans="9:10" x14ac:dyDescent="0.3">
      <c r="I11046"/>
      <c r="J11046"/>
    </row>
    <row r="11047" spans="9:10" x14ac:dyDescent="0.3">
      <c r="I11047"/>
      <c r="J11047"/>
    </row>
    <row r="11048" spans="9:10" x14ac:dyDescent="0.3">
      <c r="I11048"/>
      <c r="J11048"/>
    </row>
    <row r="11049" spans="9:10" x14ac:dyDescent="0.3">
      <c r="I11049"/>
      <c r="J11049"/>
    </row>
    <row r="11050" spans="9:10" x14ac:dyDescent="0.3">
      <c r="I11050"/>
      <c r="J11050"/>
    </row>
    <row r="11051" spans="9:10" x14ac:dyDescent="0.3">
      <c r="I11051"/>
      <c r="J11051"/>
    </row>
    <row r="11052" spans="9:10" x14ac:dyDescent="0.3">
      <c r="I11052"/>
      <c r="J11052"/>
    </row>
    <row r="11053" spans="9:10" x14ac:dyDescent="0.3">
      <c r="I11053"/>
      <c r="J11053"/>
    </row>
    <row r="11054" spans="9:10" x14ac:dyDescent="0.3">
      <c r="I11054"/>
      <c r="J11054"/>
    </row>
    <row r="11055" spans="9:10" x14ac:dyDescent="0.3">
      <c r="I11055"/>
      <c r="J11055"/>
    </row>
    <row r="11056" spans="9:10" x14ac:dyDescent="0.3">
      <c r="I11056"/>
      <c r="J11056"/>
    </row>
    <row r="11057" spans="9:10" x14ac:dyDescent="0.3">
      <c r="I11057"/>
      <c r="J11057"/>
    </row>
    <row r="11058" spans="9:10" x14ac:dyDescent="0.3">
      <c r="I11058"/>
      <c r="J11058"/>
    </row>
    <row r="11059" spans="9:10" x14ac:dyDescent="0.3">
      <c r="I11059"/>
      <c r="J11059"/>
    </row>
    <row r="11060" spans="9:10" x14ac:dyDescent="0.3">
      <c r="I11060"/>
      <c r="J11060"/>
    </row>
    <row r="11061" spans="9:10" x14ac:dyDescent="0.3">
      <c r="I11061"/>
      <c r="J11061"/>
    </row>
    <row r="11062" spans="9:10" x14ac:dyDescent="0.3">
      <c r="I11062"/>
      <c r="J11062"/>
    </row>
    <row r="11063" spans="9:10" x14ac:dyDescent="0.3">
      <c r="I11063"/>
      <c r="J11063"/>
    </row>
    <row r="11064" spans="9:10" x14ac:dyDescent="0.3">
      <c r="I11064"/>
      <c r="J11064"/>
    </row>
    <row r="11065" spans="9:10" x14ac:dyDescent="0.3">
      <c r="I11065"/>
      <c r="J11065"/>
    </row>
    <row r="11066" spans="9:10" x14ac:dyDescent="0.3">
      <c r="I11066"/>
      <c r="J11066"/>
    </row>
    <row r="11067" spans="9:10" x14ac:dyDescent="0.3">
      <c r="I11067"/>
      <c r="J11067"/>
    </row>
    <row r="11068" spans="9:10" x14ac:dyDescent="0.3">
      <c r="I11068"/>
      <c r="J11068"/>
    </row>
    <row r="11069" spans="9:10" x14ac:dyDescent="0.3">
      <c r="I11069"/>
      <c r="J11069"/>
    </row>
    <row r="11070" spans="9:10" x14ac:dyDescent="0.3">
      <c r="I11070"/>
      <c r="J11070"/>
    </row>
    <row r="11071" spans="9:10" x14ac:dyDescent="0.3">
      <c r="I11071"/>
      <c r="J11071"/>
    </row>
    <row r="11072" spans="9:10" x14ac:dyDescent="0.3">
      <c r="I11072"/>
      <c r="J11072"/>
    </row>
    <row r="11073" spans="9:10" x14ac:dyDescent="0.3">
      <c r="I11073"/>
      <c r="J11073"/>
    </row>
    <row r="11074" spans="9:10" x14ac:dyDescent="0.3">
      <c r="I11074"/>
      <c r="J11074"/>
    </row>
    <row r="11075" spans="9:10" x14ac:dyDescent="0.3">
      <c r="I11075"/>
      <c r="J11075"/>
    </row>
    <row r="11076" spans="9:10" x14ac:dyDescent="0.3">
      <c r="I11076"/>
      <c r="J11076"/>
    </row>
    <row r="11077" spans="9:10" x14ac:dyDescent="0.3">
      <c r="I11077"/>
      <c r="J11077"/>
    </row>
    <row r="11078" spans="9:10" x14ac:dyDescent="0.3">
      <c r="I11078"/>
      <c r="J11078"/>
    </row>
    <row r="11079" spans="9:10" x14ac:dyDescent="0.3">
      <c r="I11079"/>
      <c r="J11079"/>
    </row>
    <row r="11080" spans="9:10" x14ac:dyDescent="0.3">
      <c r="I11080"/>
      <c r="J11080"/>
    </row>
    <row r="11081" spans="9:10" x14ac:dyDescent="0.3">
      <c r="I11081"/>
      <c r="J11081"/>
    </row>
    <row r="11082" spans="9:10" x14ac:dyDescent="0.3">
      <c r="I11082"/>
      <c r="J11082"/>
    </row>
    <row r="11083" spans="9:10" x14ac:dyDescent="0.3">
      <c r="I11083"/>
      <c r="J11083"/>
    </row>
    <row r="11084" spans="9:10" x14ac:dyDescent="0.3">
      <c r="I11084"/>
      <c r="J11084"/>
    </row>
    <row r="11085" spans="9:10" x14ac:dyDescent="0.3">
      <c r="I11085"/>
      <c r="J11085"/>
    </row>
    <row r="11086" spans="9:10" x14ac:dyDescent="0.3">
      <c r="I11086"/>
      <c r="J11086"/>
    </row>
    <row r="11087" spans="9:10" x14ac:dyDescent="0.3">
      <c r="I11087"/>
      <c r="J11087"/>
    </row>
    <row r="11088" spans="9:10" x14ac:dyDescent="0.3">
      <c r="I11088"/>
      <c r="J11088"/>
    </row>
    <row r="11089" spans="9:10" x14ac:dyDescent="0.3">
      <c r="I11089"/>
      <c r="J11089"/>
    </row>
    <row r="11090" spans="9:10" x14ac:dyDescent="0.3">
      <c r="I11090"/>
      <c r="J11090"/>
    </row>
    <row r="11091" spans="9:10" x14ac:dyDescent="0.3">
      <c r="I11091"/>
      <c r="J11091"/>
    </row>
    <row r="11092" spans="9:10" x14ac:dyDescent="0.3">
      <c r="I11092"/>
      <c r="J11092"/>
    </row>
    <row r="11093" spans="9:10" x14ac:dyDescent="0.3">
      <c r="I11093"/>
      <c r="J11093"/>
    </row>
    <row r="11094" spans="9:10" x14ac:dyDescent="0.3">
      <c r="I11094"/>
      <c r="J11094"/>
    </row>
    <row r="11095" spans="9:10" x14ac:dyDescent="0.3">
      <c r="I11095"/>
      <c r="J11095"/>
    </row>
    <row r="11096" spans="9:10" x14ac:dyDescent="0.3">
      <c r="I11096"/>
      <c r="J11096"/>
    </row>
    <row r="11097" spans="9:10" x14ac:dyDescent="0.3">
      <c r="I11097"/>
      <c r="J11097"/>
    </row>
    <row r="11098" spans="9:10" x14ac:dyDescent="0.3">
      <c r="I11098"/>
      <c r="J11098"/>
    </row>
    <row r="11099" spans="9:10" x14ac:dyDescent="0.3">
      <c r="I11099"/>
      <c r="J11099"/>
    </row>
    <row r="11100" spans="9:10" x14ac:dyDescent="0.3">
      <c r="I11100"/>
      <c r="J11100"/>
    </row>
    <row r="11101" spans="9:10" x14ac:dyDescent="0.3">
      <c r="I11101"/>
      <c r="J11101"/>
    </row>
    <row r="11102" spans="9:10" x14ac:dyDescent="0.3">
      <c r="I11102"/>
      <c r="J11102"/>
    </row>
    <row r="11103" spans="9:10" x14ac:dyDescent="0.3">
      <c r="I11103"/>
      <c r="J11103"/>
    </row>
    <row r="11104" spans="9:10" x14ac:dyDescent="0.3">
      <c r="I11104"/>
      <c r="J11104"/>
    </row>
    <row r="11105" spans="9:10" x14ac:dyDescent="0.3">
      <c r="I11105"/>
      <c r="J11105"/>
    </row>
    <row r="11106" spans="9:10" x14ac:dyDescent="0.3">
      <c r="I11106"/>
      <c r="J11106"/>
    </row>
    <row r="11107" spans="9:10" x14ac:dyDescent="0.3">
      <c r="I11107"/>
      <c r="J11107"/>
    </row>
    <row r="11108" spans="9:10" x14ac:dyDescent="0.3">
      <c r="I11108"/>
      <c r="J11108"/>
    </row>
    <row r="11109" spans="9:10" x14ac:dyDescent="0.3">
      <c r="I11109"/>
      <c r="J11109"/>
    </row>
    <row r="11110" spans="9:10" x14ac:dyDescent="0.3">
      <c r="I11110"/>
      <c r="J11110"/>
    </row>
    <row r="11111" spans="9:10" x14ac:dyDescent="0.3">
      <c r="I11111"/>
      <c r="J11111"/>
    </row>
    <row r="11112" spans="9:10" x14ac:dyDescent="0.3">
      <c r="I11112"/>
      <c r="J11112"/>
    </row>
    <row r="11113" spans="9:10" x14ac:dyDescent="0.3">
      <c r="I11113"/>
      <c r="J11113"/>
    </row>
    <row r="11114" spans="9:10" x14ac:dyDescent="0.3">
      <c r="I11114"/>
      <c r="J11114"/>
    </row>
    <row r="11115" spans="9:10" x14ac:dyDescent="0.3">
      <c r="I11115"/>
      <c r="J11115"/>
    </row>
    <row r="11116" spans="9:10" x14ac:dyDescent="0.3">
      <c r="I11116"/>
      <c r="J11116"/>
    </row>
    <row r="11117" spans="9:10" x14ac:dyDescent="0.3">
      <c r="I11117"/>
      <c r="J11117"/>
    </row>
    <row r="11118" spans="9:10" x14ac:dyDescent="0.3">
      <c r="I11118"/>
      <c r="J11118"/>
    </row>
    <row r="11119" spans="9:10" x14ac:dyDescent="0.3">
      <c r="I11119"/>
      <c r="J11119"/>
    </row>
    <row r="11120" spans="9:10" x14ac:dyDescent="0.3">
      <c r="I11120"/>
      <c r="J11120"/>
    </row>
    <row r="11121" spans="9:10" x14ac:dyDescent="0.3">
      <c r="I11121"/>
      <c r="J11121"/>
    </row>
    <row r="11122" spans="9:10" x14ac:dyDescent="0.3">
      <c r="I11122"/>
      <c r="J11122"/>
    </row>
    <row r="11123" spans="9:10" x14ac:dyDescent="0.3">
      <c r="I11123"/>
      <c r="J11123"/>
    </row>
    <row r="11124" spans="9:10" x14ac:dyDescent="0.3">
      <c r="I11124"/>
      <c r="J11124"/>
    </row>
    <row r="11125" spans="9:10" x14ac:dyDescent="0.3">
      <c r="I11125"/>
      <c r="J11125"/>
    </row>
    <row r="11126" spans="9:10" x14ac:dyDescent="0.3">
      <c r="I11126"/>
      <c r="J11126"/>
    </row>
    <row r="11127" spans="9:10" x14ac:dyDescent="0.3">
      <c r="I11127"/>
      <c r="J11127"/>
    </row>
    <row r="11128" spans="9:10" x14ac:dyDescent="0.3">
      <c r="I11128"/>
      <c r="J11128"/>
    </row>
    <row r="11129" spans="9:10" x14ac:dyDescent="0.3">
      <c r="I11129"/>
      <c r="J11129"/>
    </row>
    <row r="11130" spans="9:10" x14ac:dyDescent="0.3">
      <c r="I11130"/>
      <c r="J11130"/>
    </row>
    <row r="11131" spans="9:10" x14ac:dyDescent="0.3">
      <c r="I11131"/>
      <c r="J11131"/>
    </row>
    <row r="11132" spans="9:10" x14ac:dyDescent="0.3">
      <c r="I11132"/>
      <c r="J11132"/>
    </row>
    <row r="11133" spans="9:10" x14ac:dyDescent="0.3">
      <c r="I11133"/>
      <c r="J11133"/>
    </row>
    <row r="11134" spans="9:10" x14ac:dyDescent="0.3">
      <c r="I11134"/>
      <c r="J11134"/>
    </row>
    <row r="11135" spans="9:10" x14ac:dyDescent="0.3">
      <c r="I11135"/>
      <c r="J11135"/>
    </row>
    <row r="11136" spans="9:10" x14ac:dyDescent="0.3">
      <c r="I11136"/>
      <c r="J11136"/>
    </row>
    <row r="11137" spans="9:10" x14ac:dyDescent="0.3">
      <c r="I11137"/>
      <c r="J11137"/>
    </row>
    <row r="11138" spans="9:10" x14ac:dyDescent="0.3">
      <c r="I11138"/>
      <c r="J11138"/>
    </row>
    <row r="11139" spans="9:10" x14ac:dyDescent="0.3">
      <c r="I11139"/>
      <c r="J11139"/>
    </row>
    <row r="11140" spans="9:10" x14ac:dyDescent="0.3">
      <c r="I11140"/>
      <c r="J11140"/>
    </row>
    <row r="11141" spans="9:10" x14ac:dyDescent="0.3">
      <c r="I11141"/>
      <c r="J11141"/>
    </row>
    <row r="11142" spans="9:10" x14ac:dyDescent="0.3">
      <c r="I11142"/>
      <c r="J11142"/>
    </row>
    <row r="11143" spans="9:10" x14ac:dyDescent="0.3">
      <c r="I11143"/>
      <c r="J11143"/>
    </row>
    <row r="11144" spans="9:10" x14ac:dyDescent="0.3">
      <c r="I11144"/>
      <c r="J11144"/>
    </row>
    <row r="11145" spans="9:10" x14ac:dyDescent="0.3">
      <c r="I11145"/>
      <c r="J11145"/>
    </row>
    <row r="11146" spans="9:10" x14ac:dyDescent="0.3">
      <c r="I11146"/>
      <c r="J11146"/>
    </row>
    <row r="11147" spans="9:10" x14ac:dyDescent="0.3">
      <c r="I11147"/>
      <c r="J11147"/>
    </row>
    <row r="11148" spans="9:10" x14ac:dyDescent="0.3">
      <c r="I11148"/>
      <c r="J11148"/>
    </row>
    <row r="11149" spans="9:10" x14ac:dyDescent="0.3">
      <c r="I11149"/>
      <c r="J11149"/>
    </row>
    <row r="11150" spans="9:10" x14ac:dyDescent="0.3">
      <c r="I11150"/>
      <c r="J11150"/>
    </row>
    <row r="11151" spans="9:10" x14ac:dyDescent="0.3">
      <c r="I11151"/>
      <c r="J11151"/>
    </row>
    <row r="11152" spans="9:10" x14ac:dyDescent="0.3">
      <c r="I11152"/>
      <c r="J11152"/>
    </row>
    <row r="11153" spans="9:10" x14ac:dyDescent="0.3">
      <c r="I11153"/>
      <c r="J11153"/>
    </row>
    <row r="11154" spans="9:10" x14ac:dyDescent="0.3">
      <c r="I11154"/>
      <c r="J11154"/>
    </row>
    <row r="11155" spans="9:10" x14ac:dyDescent="0.3">
      <c r="I11155"/>
      <c r="J11155"/>
    </row>
    <row r="11156" spans="9:10" x14ac:dyDescent="0.3">
      <c r="I11156"/>
      <c r="J11156"/>
    </row>
    <row r="11157" spans="9:10" x14ac:dyDescent="0.3">
      <c r="I11157"/>
      <c r="J11157"/>
    </row>
    <row r="11158" spans="9:10" x14ac:dyDescent="0.3">
      <c r="I11158"/>
      <c r="J11158"/>
    </row>
    <row r="11159" spans="9:10" x14ac:dyDescent="0.3">
      <c r="I11159"/>
      <c r="J11159"/>
    </row>
    <row r="11160" spans="9:10" x14ac:dyDescent="0.3">
      <c r="I11160"/>
      <c r="J11160"/>
    </row>
    <row r="11161" spans="9:10" x14ac:dyDescent="0.3">
      <c r="I11161"/>
      <c r="J11161"/>
    </row>
    <row r="11162" spans="9:10" x14ac:dyDescent="0.3">
      <c r="I11162"/>
      <c r="J11162"/>
    </row>
    <row r="11163" spans="9:10" x14ac:dyDescent="0.3">
      <c r="I11163"/>
      <c r="J11163"/>
    </row>
    <row r="11164" spans="9:10" x14ac:dyDescent="0.3">
      <c r="I11164"/>
      <c r="J11164"/>
    </row>
    <row r="11165" spans="9:10" x14ac:dyDescent="0.3">
      <c r="I11165"/>
      <c r="J11165"/>
    </row>
    <row r="11166" spans="9:10" x14ac:dyDescent="0.3">
      <c r="I11166"/>
      <c r="J11166"/>
    </row>
    <row r="11167" spans="9:10" x14ac:dyDescent="0.3">
      <c r="I11167"/>
      <c r="J11167"/>
    </row>
    <row r="11168" spans="9:10" x14ac:dyDescent="0.3">
      <c r="I11168"/>
      <c r="J11168"/>
    </row>
    <row r="11169" spans="9:10" x14ac:dyDescent="0.3">
      <c r="I11169"/>
      <c r="J11169"/>
    </row>
    <row r="11170" spans="9:10" x14ac:dyDescent="0.3">
      <c r="I11170"/>
      <c r="J11170"/>
    </row>
    <row r="11171" spans="9:10" x14ac:dyDescent="0.3">
      <c r="I11171"/>
      <c r="J11171"/>
    </row>
    <row r="11172" spans="9:10" x14ac:dyDescent="0.3">
      <c r="I11172"/>
      <c r="J11172"/>
    </row>
    <row r="11173" spans="9:10" x14ac:dyDescent="0.3">
      <c r="I11173"/>
      <c r="J11173"/>
    </row>
    <row r="11174" spans="9:10" x14ac:dyDescent="0.3">
      <c r="I11174"/>
      <c r="J11174"/>
    </row>
    <row r="11175" spans="9:10" x14ac:dyDescent="0.3">
      <c r="I11175"/>
      <c r="J11175"/>
    </row>
    <row r="11176" spans="9:10" x14ac:dyDescent="0.3">
      <c r="I11176"/>
      <c r="J11176"/>
    </row>
    <row r="11177" spans="9:10" x14ac:dyDescent="0.3">
      <c r="I11177"/>
      <c r="J11177"/>
    </row>
    <row r="11178" spans="9:10" x14ac:dyDescent="0.3">
      <c r="I11178"/>
      <c r="J11178"/>
    </row>
    <row r="11179" spans="9:10" x14ac:dyDescent="0.3">
      <c r="I11179"/>
      <c r="J11179"/>
    </row>
    <row r="11180" spans="9:10" x14ac:dyDescent="0.3">
      <c r="I11180"/>
      <c r="J11180"/>
    </row>
    <row r="11181" spans="9:10" x14ac:dyDescent="0.3">
      <c r="I11181"/>
      <c r="J11181"/>
    </row>
    <row r="11182" spans="9:10" x14ac:dyDescent="0.3">
      <c r="I11182"/>
      <c r="J11182"/>
    </row>
    <row r="11183" spans="9:10" x14ac:dyDescent="0.3">
      <c r="I11183"/>
      <c r="J11183"/>
    </row>
    <row r="11184" spans="9:10" x14ac:dyDescent="0.3">
      <c r="I11184"/>
      <c r="J11184"/>
    </row>
    <row r="11185" spans="9:10" x14ac:dyDescent="0.3">
      <c r="I11185"/>
      <c r="J11185"/>
    </row>
    <row r="11186" spans="9:10" x14ac:dyDescent="0.3">
      <c r="I11186"/>
      <c r="J11186"/>
    </row>
    <row r="11187" spans="9:10" x14ac:dyDescent="0.3">
      <c r="I11187"/>
      <c r="J11187"/>
    </row>
    <row r="11188" spans="9:10" x14ac:dyDescent="0.3">
      <c r="I11188"/>
      <c r="J11188"/>
    </row>
    <row r="11189" spans="9:10" x14ac:dyDescent="0.3">
      <c r="I11189"/>
      <c r="J11189"/>
    </row>
    <row r="11190" spans="9:10" x14ac:dyDescent="0.3">
      <c r="I11190"/>
      <c r="J11190"/>
    </row>
    <row r="11191" spans="9:10" x14ac:dyDescent="0.3">
      <c r="I11191"/>
      <c r="J11191"/>
    </row>
    <row r="11192" spans="9:10" x14ac:dyDescent="0.3">
      <c r="I11192"/>
      <c r="J11192"/>
    </row>
    <row r="11193" spans="9:10" x14ac:dyDescent="0.3">
      <c r="I11193"/>
      <c r="J11193"/>
    </row>
    <row r="11194" spans="9:10" x14ac:dyDescent="0.3">
      <c r="I11194"/>
      <c r="J11194"/>
    </row>
    <row r="11195" spans="9:10" x14ac:dyDescent="0.3">
      <c r="I11195"/>
      <c r="J11195"/>
    </row>
    <row r="11196" spans="9:10" x14ac:dyDescent="0.3">
      <c r="I11196"/>
      <c r="J11196"/>
    </row>
    <row r="11197" spans="9:10" x14ac:dyDescent="0.3">
      <c r="I11197"/>
      <c r="J11197"/>
    </row>
    <row r="11198" spans="9:10" x14ac:dyDescent="0.3">
      <c r="I11198"/>
      <c r="J11198"/>
    </row>
    <row r="11199" spans="9:10" x14ac:dyDescent="0.3">
      <c r="I11199"/>
      <c r="J11199"/>
    </row>
    <row r="11200" spans="9:10" x14ac:dyDescent="0.3">
      <c r="I11200"/>
      <c r="J11200"/>
    </row>
    <row r="11201" spans="9:10" x14ac:dyDescent="0.3">
      <c r="I11201"/>
      <c r="J11201"/>
    </row>
    <row r="11202" spans="9:10" x14ac:dyDescent="0.3">
      <c r="I11202"/>
      <c r="J11202"/>
    </row>
    <row r="11203" spans="9:10" x14ac:dyDescent="0.3">
      <c r="I11203"/>
      <c r="J11203"/>
    </row>
    <row r="11204" spans="9:10" x14ac:dyDescent="0.3">
      <c r="I11204"/>
      <c r="J11204"/>
    </row>
    <row r="11205" spans="9:10" x14ac:dyDescent="0.3">
      <c r="I11205"/>
      <c r="J11205"/>
    </row>
    <row r="11206" spans="9:10" x14ac:dyDescent="0.3">
      <c r="I11206"/>
      <c r="J11206"/>
    </row>
    <row r="11207" spans="9:10" x14ac:dyDescent="0.3">
      <c r="I11207"/>
      <c r="J11207"/>
    </row>
    <row r="11208" spans="9:10" x14ac:dyDescent="0.3">
      <c r="I11208"/>
      <c r="J11208"/>
    </row>
    <row r="11209" spans="9:10" x14ac:dyDescent="0.3">
      <c r="I11209"/>
      <c r="J11209"/>
    </row>
    <row r="11210" spans="9:10" x14ac:dyDescent="0.3">
      <c r="I11210"/>
      <c r="J11210"/>
    </row>
    <row r="11211" spans="9:10" x14ac:dyDescent="0.3">
      <c r="I11211"/>
      <c r="J11211"/>
    </row>
    <row r="11212" spans="9:10" x14ac:dyDescent="0.3">
      <c r="I11212"/>
      <c r="J11212"/>
    </row>
    <row r="11213" spans="9:10" x14ac:dyDescent="0.3">
      <c r="I11213"/>
      <c r="J11213"/>
    </row>
    <row r="11214" spans="9:10" x14ac:dyDescent="0.3">
      <c r="I11214"/>
      <c r="J11214"/>
    </row>
    <row r="11215" spans="9:10" x14ac:dyDescent="0.3">
      <c r="I11215"/>
      <c r="J11215"/>
    </row>
    <row r="11216" spans="9:10" x14ac:dyDescent="0.3">
      <c r="I11216"/>
      <c r="J11216"/>
    </row>
    <row r="11217" spans="9:10" x14ac:dyDescent="0.3">
      <c r="I11217"/>
      <c r="J11217"/>
    </row>
    <row r="11218" spans="9:10" x14ac:dyDescent="0.3">
      <c r="I11218"/>
      <c r="J11218"/>
    </row>
    <row r="11219" spans="9:10" x14ac:dyDescent="0.3">
      <c r="I11219"/>
      <c r="J11219"/>
    </row>
    <row r="11220" spans="9:10" x14ac:dyDescent="0.3">
      <c r="I11220"/>
      <c r="J11220"/>
    </row>
    <row r="11221" spans="9:10" x14ac:dyDescent="0.3">
      <c r="I11221"/>
      <c r="J11221"/>
    </row>
    <row r="11222" spans="9:10" x14ac:dyDescent="0.3">
      <c r="I11222"/>
      <c r="J11222"/>
    </row>
    <row r="11223" spans="9:10" x14ac:dyDescent="0.3">
      <c r="I11223"/>
      <c r="J11223"/>
    </row>
    <row r="11224" spans="9:10" x14ac:dyDescent="0.3">
      <c r="I11224"/>
      <c r="J11224"/>
    </row>
    <row r="11225" spans="9:10" x14ac:dyDescent="0.3">
      <c r="I11225"/>
      <c r="J11225"/>
    </row>
    <row r="11226" spans="9:10" x14ac:dyDescent="0.3">
      <c r="I11226"/>
      <c r="J11226"/>
    </row>
    <row r="11227" spans="9:10" x14ac:dyDescent="0.3">
      <c r="I11227"/>
      <c r="J11227"/>
    </row>
    <row r="11228" spans="9:10" x14ac:dyDescent="0.3">
      <c r="I11228"/>
      <c r="J11228"/>
    </row>
    <row r="11229" spans="9:10" x14ac:dyDescent="0.3">
      <c r="I11229"/>
      <c r="J11229"/>
    </row>
    <row r="11230" spans="9:10" x14ac:dyDescent="0.3">
      <c r="I11230"/>
      <c r="J11230"/>
    </row>
    <row r="11231" spans="9:10" x14ac:dyDescent="0.3">
      <c r="I11231"/>
      <c r="J11231"/>
    </row>
    <row r="11232" spans="9:10" x14ac:dyDescent="0.3">
      <c r="I11232"/>
      <c r="J11232"/>
    </row>
    <row r="11233" spans="9:10" x14ac:dyDescent="0.3">
      <c r="I11233"/>
      <c r="J11233"/>
    </row>
    <row r="11234" spans="9:10" x14ac:dyDescent="0.3">
      <c r="I11234"/>
      <c r="J11234"/>
    </row>
    <row r="11235" spans="9:10" x14ac:dyDescent="0.3">
      <c r="I11235"/>
      <c r="J11235"/>
    </row>
    <row r="11236" spans="9:10" x14ac:dyDescent="0.3">
      <c r="I11236"/>
      <c r="J11236"/>
    </row>
    <row r="11237" spans="9:10" x14ac:dyDescent="0.3">
      <c r="I11237"/>
      <c r="J11237"/>
    </row>
    <row r="11238" spans="9:10" x14ac:dyDescent="0.3">
      <c r="I11238"/>
      <c r="J11238"/>
    </row>
    <row r="11239" spans="9:10" x14ac:dyDescent="0.3">
      <c r="I11239"/>
      <c r="J11239"/>
    </row>
    <row r="11240" spans="9:10" x14ac:dyDescent="0.3">
      <c r="I11240"/>
      <c r="J11240"/>
    </row>
    <row r="11241" spans="9:10" x14ac:dyDescent="0.3">
      <c r="I11241"/>
      <c r="J11241"/>
    </row>
    <row r="11242" spans="9:10" x14ac:dyDescent="0.3">
      <c r="I11242"/>
      <c r="J11242"/>
    </row>
    <row r="11243" spans="9:10" x14ac:dyDescent="0.3">
      <c r="I11243"/>
      <c r="J11243"/>
    </row>
    <row r="11244" spans="9:10" x14ac:dyDescent="0.3">
      <c r="I11244"/>
      <c r="J11244"/>
    </row>
    <row r="11245" spans="9:10" x14ac:dyDescent="0.3">
      <c r="I11245"/>
      <c r="J11245"/>
    </row>
    <row r="11246" spans="9:10" x14ac:dyDescent="0.3">
      <c r="I11246"/>
      <c r="J11246"/>
    </row>
    <row r="11247" spans="9:10" x14ac:dyDescent="0.3">
      <c r="I11247"/>
      <c r="J11247"/>
    </row>
    <row r="11248" spans="9:10" x14ac:dyDescent="0.3">
      <c r="I11248"/>
      <c r="J11248"/>
    </row>
    <row r="11249" spans="9:10" x14ac:dyDescent="0.3">
      <c r="I11249"/>
      <c r="J11249"/>
    </row>
    <row r="11250" spans="9:10" x14ac:dyDescent="0.3">
      <c r="I11250"/>
      <c r="J11250"/>
    </row>
    <row r="11251" spans="9:10" x14ac:dyDescent="0.3">
      <c r="I11251"/>
      <c r="J11251"/>
    </row>
    <row r="11252" spans="9:10" x14ac:dyDescent="0.3">
      <c r="I11252"/>
      <c r="J11252"/>
    </row>
    <row r="11253" spans="9:10" x14ac:dyDescent="0.3">
      <c r="I11253"/>
      <c r="J11253"/>
    </row>
    <row r="11254" spans="9:10" x14ac:dyDescent="0.3">
      <c r="I11254"/>
      <c r="J11254"/>
    </row>
    <row r="11255" spans="9:10" x14ac:dyDescent="0.3">
      <c r="I11255"/>
      <c r="J11255"/>
    </row>
    <row r="11256" spans="9:10" x14ac:dyDescent="0.3">
      <c r="I11256"/>
      <c r="J11256"/>
    </row>
    <row r="11257" spans="9:10" x14ac:dyDescent="0.3">
      <c r="I11257"/>
      <c r="J11257"/>
    </row>
    <row r="11258" spans="9:10" x14ac:dyDescent="0.3">
      <c r="I11258"/>
      <c r="J11258"/>
    </row>
    <row r="11259" spans="9:10" x14ac:dyDescent="0.3">
      <c r="I11259"/>
      <c r="J11259"/>
    </row>
    <row r="11260" spans="9:10" x14ac:dyDescent="0.3">
      <c r="I11260"/>
      <c r="J11260"/>
    </row>
    <row r="11261" spans="9:10" x14ac:dyDescent="0.3">
      <c r="I11261"/>
      <c r="J11261"/>
    </row>
    <row r="11262" spans="9:10" x14ac:dyDescent="0.3">
      <c r="I11262"/>
      <c r="J11262"/>
    </row>
    <row r="11263" spans="9:10" x14ac:dyDescent="0.3">
      <c r="I11263"/>
      <c r="J11263"/>
    </row>
    <row r="11264" spans="9:10" x14ac:dyDescent="0.3">
      <c r="I11264"/>
      <c r="J11264"/>
    </row>
    <row r="11265" spans="9:10" x14ac:dyDescent="0.3">
      <c r="I11265"/>
      <c r="J11265"/>
    </row>
    <row r="11266" spans="9:10" x14ac:dyDescent="0.3">
      <c r="I11266"/>
      <c r="J11266"/>
    </row>
    <row r="11267" spans="9:10" x14ac:dyDescent="0.3">
      <c r="I11267"/>
      <c r="J11267"/>
    </row>
    <row r="11268" spans="9:10" x14ac:dyDescent="0.3">
      <c r="I11268"/>
      <c r="J11268"/>
    </row>
    <row r="11269" spans="9:10" x14ac:dyDescent="0.3">
      <c r="I11269"/>
      <c r="J11269"/>
    </row>
    <row r="11270" spans="9:10" x14ac:dyDescent="0.3">
      <c r="I11270"/>
      <c r="J11270"/>
    </row>
    <row r="11271" spans="9:10" x14ac:dyDescent="0.3">
      <c r="I11271"/>
      <c r="J11271"/>
    </row>
    <row r="11272" spans="9:10" x14ac:dyDescent="0.3">
      <c r="I11272"/>
      <c r="J11272"/>
    </row>
    <row r="11273" spans="9:10" x14ac:dyDescent="0.3">
      <c r="I11273"/>
      <c r="J11273"/>
    </row>
    <row r="11274" spans="9:10" x14ac:dyDescent="0.3">
      <c r="I11274"/>
      <c r="J11274"/>
    </row>
    <row r="11275" spans="9:10" x14ac:dyDescent="0.3">
      <c r="I11275"/>
      <c r="J11275"/>
    </row>
    <row r="11276" spans="9:10" x14ac:dyDescent="0.3">
      <c r="I11276"/>
      <c r="J11276"/>
    </row>
    <row r="11277" spans="9:10" x14ac:dyDescent="0.3">
      <c r="I11277"/>
      <c r="J11277"/>
    </row>
    <row r="11278" spans="9:10" x14ac:dyDescent="0.3">
      <c r="I11278"/>
      <c r="J11278"/>
    </row>
    <row r="11279" spans="9:10" x14ac:dyDescent="0.3">
      <c r="I11279"/>
      <c r="J11279"/>
    </row>
    <row r="11280" spans="9:10" x14ac:dyDescent="0.3">
      <c r="I11280"/>
      <c r="J11280"/>
    </row>
    <row r="11281" spans="9:10" x14ac:dyDescent="0.3">
      <c r="I11281"/>
      <c r="J11281"/>
    </row>
    <row r="11282" spans="9:10" x14ac:dyDescent="0.3">
      <c r="I11282"/>
      <c r="J11282"/>
    </row>
    <row r="11283" spans="9:10" x14ac:dyDescent="0.3">
      <c r="I11283"/>
      <c r="J11283"/>
    </row>
    <row r="11284" spans="9:10" x14ac:dyDescent="0.3">
      <c r="I11284"/>
      <c r="J11284"/>
    </row>
    <row r="11285" spans="9:10" x14ac:dyDescent="0.3">
      <c r="I11285"/>
      <c r="J11285"/>
    </row>
    <row r="11286" spans="9:10" x14ac:dyDescent="0.3">
      <c r="I11286"/>
      <c r="J11286"/>
    </row>
    <row r="11287" spans="9:10" x14ac:dyDescent="0.3">
      <c r="I11287"/>
      <c r="J11287"/>
    </row>
    <row r="11288" spans="9:10" x14ac:dyDescent="0.3">
      <c r="I11288"/>
      <c r="J11288"/>
    </row>
    <row r="11289" spans="9:10" x14ac:dyDescent="0.3">
      <c r="I11289"/>
      <c r="J11289"/>
    </row>
    <row r="11290" spans="9:10" x14ac:dyDescent="0.3">
      <c r="I11290"/>
      <c r="J11290"/>
    </row>
    <row r="11291" spans="9:10" x14ac:dyDescent="0.3">
      <c r="I11291"/>
      <c r="J11291"/>
    </row>
    <row r="11292" spans="9:10" x14ac:dyDescent="0.3">
      <c r="I11292"/>
      <c r="J11292"/>
    </row>
    <row r="11293" spans="9:10" x14ac:dyDescent="0.3">
      <c r="I11293"/>
      <c r="J11293"/>
    </row>
    <row r="11294" spans="9:10" x14ac:dyDescent="0.3">
      <c r="I11294"/>
      <c r="J11294"/>
    </row>
    <row r="11295" spans="9:10" x14ac:dyDescent="0.3">
      <c r="I11295"/>
      <c r="J11295"/>
    </row>
    <row r="11296" spans="9:10" x14ac:dyDescent="0.3">
      <c r="I11296"/>
      <c r="J11296"/>
    </row>
    <row r="11297" spans="9:10" x14ac:dyDescent="0.3">
      <c r="I11297"/>
      <c r="J11297"/>
    </row>
    <row r="11298" spans="9:10" x14ac:dyDescent="0.3">
      <c r="I11298"/>
      <c r="J11298"/>
    </row>
    <row r="11299" spans="9:10" x14ac:dyDescent="0.3">
      <c r="I11299"/>
      <c r="J11299"/>
    </row>
    <row r="11300" spans="9:10" x14ac:dyDescent="0.3">
      <c r="I11300"/>
      <c r="J11300"/>
    </row>
    <row r="11301" spans="9:10" x14ac:dyDescent="0.3">
      <c r="I11301"/>
      <c r="J11301"/>
    </row>
    <row r="11302" spans="9:10" x14ac:dyDescent="0.3">
      <c r="I11302"/>
      <c r="J11302"/>
    </row>
    <row r="11303" spans="9:10" x14ac:dyDescent="0.3">
      <c r="I11303"/>
      <c r="J11303"/>
    </row>
    <row r="11304" spans="9:10" x14ac:dyDescent="0.3">
      <c r="I11304"/>
      <c r="J11304"/>
    </row>
    <row r="11305" spans="9:10" x14ac:dyDescent="0.3">
      <c r="I11305"/>
      <c r="J11305"/>
    </row>
    <row r="11306" spans="9:10" x14ac:dyDescent="0.3">
      <c r="I11306"/>
      <c r="J11306"/>
    </row>
    <row r="11307" spans="9:10" x14ac:dyDescent="0.3">
      <c r="I11307"/>
      <c r="J11307"/>
    </row>
    <row r="11308" spans="9:10" x14ac:dyDescent="0.3">
      <c r="I11308"/>
      <c r="J11308"/>
    </row>
    <row r="11309" spans="9:10" x14ac:dyDescent="0.3">
      <c r="I11309"/>
      <c r="J11309"/>
    </row>
    <row r="11310" spans="9:10" x14ac:dyDescent="0.3">
      <c r="I11310"/>
      <c r="J11310"/>
    </row>
    <row r="11311" spans="9:10" x14ac:dyDescent="0.3">
      <c r="I11311"/>
      <c r="J11311"/>
    </row>
    <row r="11312" spans="9:10" x14ac:dyDescent="0.3">
      <c r="I11312"/>
      <c r="J11312"/>
    </row>
    <row r="11313" spans="9:10" x14ac:dyDescent="0.3">
      <c r="I11313"/>
      <c r="J11313"/>
    </row>
    <row r="11314" spans="9:10" x14ac:dyDescent="0.3">
      <c r="I11314"/>
      <c r="J11314"/>
    </row>
    <row r="11315" spans="9:10" x14ac:dyDescent="0.3">
      <c r="I11315"/>
      <c r="J11315"/>
    </row>
    <row r="11316" spans="9:10" x14ac:dyDescent="0.3">
      <c r="I11316"/>
      <c r="J11316"/>
    </row>
    <row r="11317" spans="9:10" x14ac:dyDescent="0.3">
      <c r="I11317"/>
      <c r="J11317"/>
    </row>
    <row r="11318" spans="9:10" x14ac:dyDescent="0.3">
      <c r="I11318"/>
      <c r="J11318"/>
    </row>
    <row r="11319" spans="9:10" x14ac:dyDescent="0.3">
      <c r="I11319"/>
      <c r="J11319"/>
    </row>
    <row r="11320" spans="9:10" x14ac:dyDescent="0.3">
      <c r="I11320"/>
      <c r="J11320"/>
    </row>
    <row r="11321" spans="9:10" x14ac:dyDescent="0.3">
      <c r="I11321"/>
      <c r="J11321"/>
    </row>
    <row r="11322" spans="9:10" x14ac:dyDescent="0.3">
      <c r="I11322"/>
      <c r="J11322"/>
    </row>
    <row r="11323" spans="9:10" x14ac:dyDescent="0.3">
      <c r="I11323"/>
      <c r="J11323"/>
    </row>
    <row r="11324" spans="9:10" x14ac:dyDescent="0.3">
      <c r="I11324"/>
      <c r="J11324"/>
    </row>
    <row r="11325" spans="9:10" x14ac:dyDescent="0.3">
      <c r="I11325"/>
      <c r="J11325"/>
    </row>
    <row r="11326" spans="9:10" x14ac:dyDescent="0.3">
      <c r="I11326"/>
      <c r="J11326"/>
    </row>
    <row r="11327" spans="9:10" x14ac:dyDescent="0.3">
      <c r="I11327"/>
      <c r="J11327"/>
    </row>
    <row r="11328" spans="9:10" x14ac:dyDescent="0.3">
      <c r="I11328"/>
      <c r="J11328"/>
    </row>
    <row r="11329" spans="9:10" x14ac:dyDescent="0.3">
      <c r="I11329"/>
      <c r="J11329"/>
    </row>
    <row r="11330" spans="9:10" x14ac:dyDescent="0.3">
      <c r="I11330"/>
      <c r="J11330"/>
    </row>
    <row r="11331" spans="9:10" x14ac:dyDescent="0.3">
      <c r="I11331"/>
      <c r="J11331"/>
    </row>
    <row r="11332" spans="9:10" x14ac:dyDescent="0.3">
      <c r="I11332"/>
      <c r="J11332"/>
    </row>
    <row r="11333" spans="9:10" x14ac:dyDescent="0.3">
      <c r="I11333"/>
      <c r="J11333"/>
    </row>
    <row r="11334" spans="9:10" x14ac:dyDescent="0.3">
      <c r="I11334"/>
      <c r="J11334"/>
    </row>
    <row r="11335" spans="9:10" x14ac:dyDescent="0.3">
      <c r="I11335"/>
      <c r="J11335"/>
    </row>
    <row r="11336" spans="9:10" x14ac:dyDescent="0.3">
      <c r="I11336"/>
      <c r="J11336"/>
    </row>
    <row r="11337" spans="9:10" x14ac:dyDescent="0.3">
      <c r="I11337"/>
      <c r="J11337"/>
    </row>
    <row r="11338" spans="9:10" x14ac:dyDescent="0.3">
      <c r="I11338"/>
      <c r="J11338"/>
    </row>
    <row r="11339" spans="9:10" x14ac:dyDescent="0.3">
      <c r="I11339"/>
      <c r="J11339"/>
    </row>
    <row r="11340" spans="9:10" x14ac:dyDescent="0.3">
      <c r="I11340"/>
      <c r="J11340"/>
    </row>
    <row r="11341" spans="9:10" x14ac:dyDescent="0.3">
      <c r="I11341"/>
      <c r="J11341"/>
    </row>
    <row r="11342" spans="9:10" x14ac:dyDescent="0.3">
      <c r="I11342"/>
      <c r="J11342"/>
    </row>
    <row r="11343" spans="9:10" x14ac:dyDescent="0.3">
      <c r="I11343"/>
      <c r="J11343"/>
    </row>
    <row r="11344" spans="9:10" x14ac:dyDescent="0.3">
      <c r="I11344"/>
      <c r="J11344"/>
    </row>
    <row r="11345" spans="9:10" x14ac:dyDescent="0.3">
      <c r="I11345"/>
      <c r="J11345"/>
    </row>
    <row r="11346" spans="9:10" x14ac:dyDescent="0.3">
      <c r="I11346"/>
      <c r="J11346"/>
    </row>
    <row r="11347" spans="9:10" x14ac:dyDescent="0.3">
      <c r="I11347"/>
      <c r="J11347"/>
    </row>
    <row r="11348" spans="9:10" x14ac:dyDescent="0.3">
      <c r="I11348"/>
      <c r="J11348"/>
    </row>
    <row r="11349" spans="9:10" x14ac:dyDescent="0.3">
      <c r="I11349"/>
      <c r="J11349"/>
    </row>
    <row r="11350" spans="9:10" x14ac:dyDescent="0.3">
      <c r="I11350"/>
      <c r="J11350"/>
    </row>
    <row r="11351" spans="9:10" x14ac:dyDescent="0.3">
      <c r="I11351"/>
      <c r="J11351"/>
    </row>
    <row r="11352" spans="9:10" x14ac:dyDescent="0.3">
      <c r="I11352"/>
      <c r="J11352"/>
    </row>
    <row r="11353" spans="9:10" x14ac:dyDescent="0.3">
      <c r="I11353"/>
      <c r="J11353"/>
    </row>
    <row r="11354" spans="9:10" x14ac:dyDescent="0.3">
      <c r="I11354"/>
      <c r="J11354"/>
    </row>
    <row r="11355" spans="9:10" x14ac:dyDescent="0.3">
      <c r="I11355"/>
      <c r="J11355"/>
    </row>
    <row r="11356" spans="9:10" x14ac:dyDescent="0.3">
      <c r="I11356"/>
      <c r="J11356"/>
    </row>
    <row r="11357" spans="9:10" x14ac:dyDescent="0.3">
      <c r="I11357"/>
      <c r="J11357"/>
    </row>
    <row r="11358" spans="9:10" x14ac:dyDescent="0.3">
      <c r="I11358"/>
      <c r="J11358"/>
    </row>
    <row r="11359" spans="9:10" x14ac:dyDescent="0.3">
      <c r="I11359"/>
      <c r="J11359"/>
    </row>
    <row r="11360" spans="9:10" x14ac:dyDescent="0.3">
      <c r="I11360"/>
      <c r="J11360"/>
    </row>
    <row r="11361" spans="9:10" x14ac:dyDescent="0.3">
      <c r="I11361"/>
      <c r="J11361"/>
    </row>
    <row r="11362" spans="9:10" x14ac:dyDescent="0.3">
      <c r="I11362"/>
      <c r="J11362"/>
    </row>
    <row r="11363" spans="9:10" x14ac:dyDescent="0.3">
      <c r="I11363"/>
      <c r="J11363"/>
    </row>
    <row r="11364" spans="9:10" x14ac:dyDescent="0.3">
      <c r="I11364"/>
      <c r="J11364"/>
    </row>
    <row r="11365" spans="9:10" x14ac:dyDescent="0.3">
      <c r="I11365"/>
      <c r="J11365"/>
    </row>
    <row r="11366" spans="9:10" x14ac:dyDescent="0.3">
      <c r="I11366"/>
      <c r="J11366"/>
    </row>
    <row r="11367" spans="9:10" x14ac:dyDescent="0.3">
      <c r="I11367"/>
      <c r="J11367"/>
    </row>
    <row r="11368" spans="9:10" x14ac:dyDescent="0.3">
      <c r="I11368"/>
      <c r="J11368"/>
    </row>
    <row r="11369" spans="9:10" x14ac:dyDescent="0.3">
      <c r="I11369"/>
      <c r="J11369"/>
    </row>
    <row r="11370" spans="9:10" x14ac:dyDescent="0.3">
      <c r="I11370"/>
      <c r="J11370"/>
    </row>
    <row r="11371" spans="9:10" x14ac:dyDescent="0.3">
      <c r="I11371"/>
      <c r="J11371"/>
    </row>
    <row r="11372" spans="9:10" x14ac:dyDescent="0.3">
      <c r="I11372"/>
      <c r="J11372"/>
    </row>
    <row r="11373" spans="9:10" x14ac:dyDescent="0.3">
      <c r="I11373"/>
      <c r="J11373"/>
    </row>
    <row r="11374" spans="9:10" x14ac:dyDescent="0.3">
      <c r="I11374"/>
      <c r="J11374"/>
    </row>
    <row r="11375" spans="9:10" x14ac:dyDescent="0.3">
      <c r="I11375"/>
      <c r="J11375"/>
    </row>
    <row r="11376" spans="9:10" x14ac:dyDescent="0.3">
      <c r="I11376"/>
      <c r="J11376"/>
    </row>
    <row r="11377" spans="9:10" x14ac:dyDescent="0.3">
      <c r="I11377"/>
      <c r="J11377"/>
    </row>
    <row r="11378" spans="9:10" x14ac:dyDescent="0.3">
      <c r="I11378"/>
      <c r="J11378"/>
    </row>
    <row r="11379" spans="9:10" x14ac:dyDescent="0.3">
      <c r="I11379"/>
      <c r="J11379"/>
    </row>
    <row r="11380" spans="9:10" x14ac:dyDescent="0.3">
      <c r="I11380"/>
      <c r="J11380"/>
    </row>
    <row r="11381" spans="9:10" x14ac:dyDescent="0.3">
      <c r="I11381"/>
      <c r="J11381"/>
    </row>
    <row r="11382" spans="9:10" x14ac:dyDescent="0.3">
      <c r="I11382"/>
      <c r="J11382"/>
    </row>
    <row r="11383" spans="9:10" x14ac:dyDescent="0.3">
      <c r="I11383"/>
      <c r="J11383"/>
    </row>
    <row r="11384" spans="9:10" x14ac:dyDescent="0.3">
      <c r="I11384"/>
      <c r="J11384"/>
    </row>
    <row r="11385" spans="9:10" x14ac:dyDescent="0.3">
      <c r="I11385"/>
      <c r="J11385"/>
    </row>
    <row r="11386" spans="9:10" x14ac:dyDescent="0.3">
      <c r="I11386"/>
      <c r="J11386"/>
    </row>
    <row r="11387" spans="9:10" x14ac:dyDescent="0.3">
      <c r="I11387"/>
      <c r="J11387"/>
    </row>
    <row r="11388" spans="9:10" x14ac:dyDescent="0.3">
      <c r="I11388"/>
      <c r="J11388"/>
    </row>
    <row r="11389" spans="9:10" x14ac:dyDescent="0.3">
      <c r="I11389"/>
      <c r="J11389"/>
    </row>
    <row r="11390" spans="9:10" x14ac:dyDescent="0.3">
      <c r="I11390"/>
      <c r="J11390"/>
    </row>
    <row r="11391" spans="9:10" x14ac:dyDescent="0.3">
      <c r="I11391"/>
      <c r="J11391"/>
    </row>
    <row r="11392" spans="9:10" x14ac:dyDescent="0.3">
      <c r="I11392"/>
      <c r="J11392"/>
    </row>
    <row r="11393" spans="9:10" x14ac:dyDescent="0.3">
      <c r="I11393"/>
      <c r="J11393"/>
    </row>
    <row r="11394" spans="9:10" x14ac:dyDescent="0.3">
      <c r="I11394"/>
      <c r="J11394"/>
    </row>
    <row r="11395" spans="9:10" x14ac:dyDescent="0.3">
      <c r="I11395"/>
      <c r="J11395"/>
    </row>
    <row r="11396" spans="9:10" x14ac:dyDescent="0.3">
      <c r="I11396"/>
      <c r="J11396"/>
    </row>
    <row r="11397" spans="9:10" x14ac:dyDescent="0.3">
      <c r="I11397"/>
      <c r="J11397"/>
    </row>
    <row r="11398" spans="9:10" x14ac:dyDescent="0.3">
      <c r="I11398"/>
      <c r="J11398"/>
    </row>
    <row r="11399" spans="9:10" x14ac:dyDescent="0.3">
      <c r="I11399"/>
      <c r="J11399"/>
    </row>
    <row r="11400" spans="9:10" x14ac:dyDescent="0.3">
      <c r="I11400"/>
      <c r="J11400"/>
    </row>
    <row r="11401" spans="9:10" x14ac:dyDescent="0.3">
      <c r="I11401"/>
      <c r="J11401"/>
    </row>
    <row r="11402" spans="9:10" x14ac:dyDescent="0.3">
      <c r="I11402"/>
      <c r="J11402"/>
    </row>
    <row r="11403" spans="9:10" x14ac:dyDescent="0.3">
      <c r="I11403"/>
      <c r="J11403"/>
    </row>
    <row r="11404" spans="9:10" x14ac:dyDescent="0.3">
      <c r="I11404"/>
      <c r="J11404"/>
    </row>
    <row r="11405" spans="9:10" x14ac:dyDescent="0.3">
      <c r="I11405"/>
      <c r="J11405"/>
    </row>
    <row r="11406" spans="9:10" x14ac:dyDescent="0.3">
      <c r="I11406"/>
      <c r="J11406"/>
    </row>
    <row r="11407" spans="9:10" x14ac:dyDescent="0.3">
      <c r="I11407"/>
      <c r="J11407"/>
    </row>
    <row r="11408" spans="9:10" x14ac:dyDescent="0.3">
      <c r="I11408"/>
      <c r="J11408"/>
    </row>
    <row r="11409" spans="9:10" x14ac:dyDescent="0.3">
      <c r="I11409"/>
      <c r="J11409"/>
    </row>
    <row r="11410" spans="9:10" x14ac:dyDescent="0.3">
      <c r="I11410"/>
      <c r="J11410"/>
    </row>
    <row r="11411" spans="9:10" x14ac:dyDescent="0.3">
      <c r="I11411"/>
      <c r="J11411"/>
    </row>
    <row r="11412" spans="9:10" x14ac:dyDescent="0.3">
      <c r="I11412"/>
      <c r="J11412"/>
    </row>
    <row r="11413" spans="9:10" x14ac:dyDescent="0.3">
      <c r="I11413"/>
      <c r="J11413"/>
    </row>
    <row r="11414" spans="9:10" x14ac:dyDescent="0.3">
      <c r="I11414"/>
      <c r="J11414"/>
    </row>
    <row r="11415" spans="9:10" x14ac:dyDescent="0.3">
      <c r="I11415"/>
      <c r="J11415"/>
    </row>
    <row r="11416" spans="9:10" x14ac:dyDescent="0.3">
      <c r="I11416"/>
      <c r="J11416"/>
    </row>
    <row r="11417" spans="9:10" x14ac:dyDescent="0.3">
      <c r="I11417"/>
      <c r="J11417"/>
    </row>
    <row r="11418" spans="9:10" x14ac:dyDescent="0.3">
      <c r="I11418"/>
      <c r="J11418"/>
    </row>
    <row r="11419" spans="9:10" x14ac:dyDescent="0.3">
      <c r="I11419"/>
      <c r="J11419"/>
    </row>
    <row r="11420" spans="9:10" x14ac:dyDescent="0.3">
      <c r="I11420"/>
      <c r="J11420"/>
    </row>
    <row r="11421" spans="9:10" x14ac:dyDescent="0.3">
      <c r="I11421"/>
      <c r="J11421"/>
    </row>
    <row r="11422" spans="9:10" x14ac:dyDescent="0.3">
      <c r="I11422"/>
      <c r="J11422"/>
    </row>
    <row r="11423" spans="9:10" x14ac:dyDescent="0.3">
      <c r="I11423"/>
      <c r="J11423"/>
    </row>
    <row r="11424" spans="9:10" x14ac:dyDescent="0.3">
      <c r="I11424"/>
      <c r="J11424"/>
    </row>
    <row r="11425" spans="9:10" x14ac:dyDescent="0.3">
      <c r="I11425"/>
      <c r="J11425"/>
    </row>
    <row r="11426" spans="9:10" x14ac:dyDescent="0.3">
      <c r="I11426"/>
      <c r="J11426"/>
    </row>
    <row r="11427" spans="9:10" x14ac:dyDescent="0.3">
      <c r="I11427"/>
      <c r="J11427"/>
    </row>
    <row r="11428" spans="9:10" x14ac:dyDescent="0.3">
      <c r="I11428"/>
      <c r="J11428"/>
    </row>
    <row r="11429" spans="9:10" x14ac:dyDescent="0.3">
      <c r="I11429"/>
      <c r="J11429"/>
    </row>
    <row r="11430" spans="9:10" x14ac:dyDescent="0.3">
      <c r="I11430"/>
      <c r="J11430"/>
    </row>
    <row r="11431" spans="9:10" x14ac:dyDescent="0.3">
      <c r="I11431"/>
      <c r="J11431"/>
    </row>
    <row r="11432" spans="9:10" x14ac:dyDescent="0.3">
      <c r="I11432"/>
      <c r="J11432"/>
    </row>
    <row r="11433" spans="9:10" x14ac:dyDescent="0.3">
      <c r="I11433"/>
      <c r="J11433"/>
    </row>
    <row r="11434" spans="9:10" x14ac:dyDescent="0.3">
      <c r="I11434"/>
      <c r="J11434"/>
    </row>
    <row r="11435" spans="9:10" x14ac:dyDescent="0.3">
      <c r="I11435"/>
      <c r="J11435"/>
    </row>
    <row r="11436" spans="9:10" x14ac:dyDescent="0.3">
      <c r="I11436"/>
      <c r="J11436"/>
    </row>
    <row r="11437" spans="9:10" x14ac:dyDescent="0.3">
      <c r="I11437"/>
      <c r="J11437"/>
    </row>
    <row r="11438" spans="9:10" x14ac:dyDescent="0.3">
      <c r="I11438"/>
      <c r="J11438"/>
    </row>
    <row r="11439" spans="9:10" x14ac:dyDescent="0.3">
      <c r="I11439"/>
      <c r="J11439"/>
    </row>
    <row r="11440" spans="9:10" x14ac:dyDescent="0.3">
      <c r="I11440"/>
      <c r="J11440"/>
    </row>
    <row r="11441" spans="9:10" x14ac:dyDescent="0.3">
      <c r="I11441"/>
      <c r="J11441"/>
    </row>
    <row r="11442" spans="9:10" x14ac:dyDescent="0.3">
      <c r="I11442"/>
      <c r="J11442"/>
    </row>
    <row r="11443" spans="9:10" x14ac:dyDescent="0.3">
      <c r="I11443"/>
      <c r="J11443"/>
    </row>
    <row r="11444" spans="9:10" x14ac:dyDescent="0.3">
      <c r="I11444"/>
      <c r="J11444"/>
    </row>
    <row r="11445" spans="9:10" x14ac:dyDescent="0.3">
      <c r="I11445"/>
      <c r="J11445"/>
    </row>
    <row r="11446" spans="9:10" x14ac:dyDescent="0.3">
      <c r="I11446"/>
      <c r="J11446"/>
    </row>
    <row r="11447" spans="9:10" x14ac:dyDescent="0.3">
      <c r="I11447"/>
      <c r="J11447"/>
    </row>
    <row r="11448" spans="9:10" x14ac:dyDescent="0.3">
      <c r="I11448"/>
      <c r="J11448"/>
    </row>
    <row r="11449" spans="9:10" x14ac:dyDescent="0.3">
      <c r="I11449"/>
      <c r="J11449"/>
    </row>
    <row r="11450" spans="9:10" x14ac:dyDescent="0.3">
      <c r="I11450"/>
      <c r="J11450"/>
    </row>
    <row r="11451" spans="9:10" x14ac:dyDescent="0.3">
      <c r="I11451"/>
      <c r="J11451"/>
    </row>
    <row r="11452" spans="9:10" x14ac:dyDescent="0.3">
      <c r="I11452"/>
      <c r="J11452"/>
    </row>
    <row r="11453" spans="9:10" x14ac:dyDescent="0.3">
      <c r="I11453"/>
      <c r="J11453"/>
    </row>
    <row r="11454" spans="9:10" x14ac:dyDescent="0.3">
      <c r="I11454"/>
      <c r="J11454"/>
    </row>
    <row r="11455" spans="9:10" x14ac:dyDescent="0.3">
      <c r="I11455"/>
      <c r="J11455"/>
    </row>
    <row r="11456" spans="9:10" x14ac:dyDescent="0.3">
      <c r="I11456"/>
      <c r="J11456"/>
    </row>
    <row r="11457" spans="9:10" x14ac:dyDescent="0.3">
      <c r="I11457"/>
      <c r="J11457"/>
    </row>
    <row r="11458" spans="9:10" x14ac:dyDescent="0.3">
      <c r="I11458"/>
      <c r="J11458"/>
    </row>
    <row r="11459" spans="9:10" x14ac:dyDescent="0.3">
      <c r="I11459"/>
      <c r="J11459"/>
    </row>
    <row r="11460" spans="9:10" x14ac:dyDescent="0.3">
      <c r="I11460"/>
      <c r="J11460"/>
    </row>
    <row r="11461" spans="9:10" x14ac:dyDescent="0.3">
      <c r="I11461"/>
      <c r="J11461"/>
    </row>
    <row r="11462" spans="9:10" x14ac:dyDescent="0.3">
      <c r="I11462"/>
      <c r="J11462"/>
    </row>
    <row r="11463" spans="9:10" x14ac:dyDescent="0.3">
      <c r="I11463"/>
      <c r="J11463"/>
    </row>
    <row r="11464" spans="9:10" x14ac:dyDescent="0.3">
      <c r="I11464"/>
      <c r="J11464"/>
    </row>
    <row r="11465" spans="9:10" x14ac:dyDescent="0.3">
      <c r="I11465"/>
      <c r="J11465"/>
    </row>
    <row r="11466" spans="9:10" x14ac:dyDescent="0.3">
      <c r="I11466"/>
      <c r="J11466"/>
    </row>
    <row r="11467" spans="9:10" x14ac:dyDescent="0.3">
      <c r="I11467"/>
      <c r="J11467"/>
    </row>
    <row r="11468" spans="9:10" x14ac:dyDescent="0.3">
      <c r="I11468"/>
      <c r="J11468"/>
    </row>
    <row r="11469" spans="9:10" x14ac:dyDescent="0.3">
      <c r="I11469"/>
      <c r="J11469"/>
    </row>
    <row r="11470" spans="9:10" x14ac:dyDescent="0.3">
      <c r="I11470"/>
      <c r="J11470"/>
    </row>
    <row r="11471" spans="9:10" x14ac:dyDescent="0.3">
      <c r="I11471"/>
      <c r="J11471"/>
    </row>
    <row r="11472" spans="9:10" x14ac:dyDescent="0.3">
      <c r="I11472"/>
      <c r="J11472"/>
    </row>
    <row r="11473" spans="9:10" x14ac:dyDescent="0.3">
      <c r="I11473"/>
      <c r="J11473"/>
    </row>
    <row r="11474" spans="9:10" x14ac:dyDescent="0.3">
      <c r="I11474"/>
      <c r="J11474"/>
    </row>
    <row r="11475" spans="9:10" x14ac:dyDescent="0.3">
      <c r="I11475"/>
      <c r="J11475"/>
    </row>
    <row r="11476" spans="9:10" x14ac:dyDescent="0.3">
      <c r="I11476"/>
      <c r="J11476"/>
    </row>
    <row r="11477" spans="9:10" x14ac:dyDescent="0.3">
      <c r="I11477"/>
      <c r="J11477"/>
    </row>
    <row r="11478" spans="9:10" x14ac:dyDescent="0.3">
      <c r="I11478"/>
      <c r="J11478"/>
    </row>
    <row r="11479" spans="9:10" x14ac:dyDescent="0.3">
      <c r="I11479"/>
      <c r="J11479"/>
    </row>
    <row r="11480" spans="9:10" x14ac:dyDescent="0.3">
      <c r="I11480"/>
      <c r="J11480"/>
    </row>
    <row r="11481" spans="9:10" x14ac:dyDescent="0.3">
      <c r="I11481"/>
      <c r="J11481"/>
    </row>
    <row r="11482" spans="9:10" x14ac:dyDescent="0.3">
      <c r="I11482"/>
      <c r="J11482"/>
    </row>
    <row r="11483" spans="9:10" x14ac:dyDescent="0.3">
      <c r="I11483"/>
      <c r="J11483"/>
    </row>
    <row r="11484" spans="9:10" x14ac:dyDescent="0.3">
      <c r="I11484"/>
      <c r="J11484"/>
    </row>
    <row r="11485" spans="9:10" x14ac:dyDescent="0.3">
      <c r="I11485"/>
      <c r="J11485"/>
    </row>
    <row r="11486" spans="9:10" x14ac:dyDescent="0.3">
      <c r="I11486"/>
      <c r="J11486"/>
    </row>
    <row r="11487" spans="9:10" x14ac:dyDescent="0.3">
      <c r="I11487"/>
      <c r="J11487"/>
    </row>
    <row r="11488" spans="9:10" x14ac:dyDescent="0.3">
      <c r="I11488"/>
      <c r="J11488"/>
    </row>
    <row r="11489" spans="9:10" x14ac:dyDescent="0.3">
      <c r="I11489"/>
      <c r="J11489"/>
    </row>
    <row r="11490" spans="9:10" x14ac:dyDescent="0.3">
      <c r="I11490"/>
      <c r="J11490"/>
    </row>
    <row r="11491" spans="9:10" x14ac:dyDescent="0.3">
      <c r="I11491"/>
      <c r="J11491"/>
    </row>
    <row r="11492" spans="9:10" x14ac:dyDescent="0.3">
      <c r="I11492"/>
      <c r="J11492"/>
    </row>
    <row r="11493" spans="9:10" x14ac:dyDescent="0.3">
      <c r="I11493"/>
      <c r="J11493"/>
    </row>
    <row r="11494" spans="9:10" x14ac:dyDescent="0.3">
      <c r="I11494"/>
      <c r="J11494"/>
    </row>
    <row r="11495" spans="9:10" x14ac:dyDescent="0.3">
      <c r="I11495"/>
      <c r="J11495"/>
    </row>
    <row r="11496" spans="9:10" x14ac:dyDescent="0.3">
      <c r="I11496"/>
      <c r="J11496"/>
    </row>
    <row r="11497" spans="9:10" x14ac:dyDescent="0.3">
      <c r="I11497"/>
      <c r="J11497"/>
    </row>
    <row r="11498" spans="9:10" x14ac:dyDescent="0.3">
      <c r="I11498"/>
      <c r="J11498"/>
    </row>
    <row r="11499" spans="9:10" x14ac:dyDescent="0.3">
      <c r="I11499"/>
      <c r="J11499"/>
    </row>
    <row r="11500" spans="9:10" x14ac:dyDescent="0.3">
      <c r="I11500"/>
      <c r="J11500"/>
    </row>
    <row r="11501" spans="9:10" x14ac:dyDescent="0.3">
      <c r="I11501"/>
      <c r="J11501"/>
    </row>
    <row r="11502" spans="9:10" x14ac:dyDescent="0.3">
      <c r="I11502"/>
      <c r="J11502"/>
    </row>
    <row r="11503" spans="9:10" x14ac:dyDescent="0.3">
      <c r="I11503"/>
      <c r="J11503"/>
    </row>
    <row r="11504" spans="9:10" x14ac:dyDescent="0.3">
      <c r="I11504"/>
      <c r="J11504"/>
    </row>
    <row r="11505" spans="9:10" x14ac:dyDescent="0.3">
      <c r="I11505"/>
      <c r="J11505"/>
    </row>
    <row r="11506" spans="9:10" x14ac:dyDescent="0.3">
      <c r="I11506"/>
      <c r="J11506"/>
    </row>
    <row r="11507" spans="9:10" x14ac:dyDescent="0.3">
      <c r="I11507"/>
      <c r="J11507"/>
    </row>
    <row r="11508" spans="9:10" x14ac:dyDescent="0.3">
      <c r="I11508"/>
      <c r="J11508"/>
    </row>
    <row r="11509" spans="9:10" x14ac:dyDescent="0.3">
      <c r="I11509"/>
      <c r="J11509"/>
    </row>
    <row r="11510" spans="9:10" x14ac:dyDescent="0.3">
      <c r="I11510"/>
      <c r="J11510"/>
    </row>
    <row r="11511" spans="9:10" x14ac:dyDescent="0.3">
      <c r="I11511"/>
      <c r="J11511"/>
    </row>
    <row r="11512" spans="9:10" x14ac:dyDescent="0.3">
      <c r="I11512"/>
      <c r="J11512"/>
    </row>
    <row r="11513" spans="9:10" x14ac:dyDescent="0.3">
      <c r="I11513"/>
      <c r="J11513"/>
    </row>
    <row r="11514" spans="9:10" x14ac:dyDescent="0.3">
      <c r="I11514"/>
      <c r="J11514"/>
    </row>
    <row r="11515" spans="9:10" x14ac:dyDescent="0.3">
      <c r="I11515"/>
      <c r="J11515"/>
    </row>
    <row r="11516" spans="9:10" x14ac:dyDescent="0.3">
      <c r="I11516"/>
      <c r="J11516"/>
    </row>
    <row r="11517" spans="9:10" x14ac:dyDescent="0.3">
      <c r="I11517"/>
      <c r="J11517"/>
    </row>
    <row r="11518" spans="9:10" x14ac:dyDescent="0.3">
      <c r="I11518"/>
      <c r="J11518"/>
    </row>
    <row r="11519" spans="9:10" x14ac:dyDescent="0.3">
      <c r="I11519"/>
      <c r="J11519"/>
    </row>
    <row r="11520" spans="9:10" x14ac:dyDescent="0.3">
      <c r="I11520"/>
      <c r="J11520"/>
    </row>
    <row r="11521" spans="9:10" x14ac:dyDescent="0.3">
      <c r="I11521"/>
      <c r="J11521"/>
    </row>
    <row r="11522" spans="9:10" x14ac:dyDescent="0.3">
      <c r="I11522"/>
      <c r="J11522"/>
    </row>
    <row r="11523" spans="9:10" x14ac:dyDescent="0.3">
      <c r="I11523"/>
      <c r="J11523"/>
    </row>
    <row r="11524" spans="9:10" x14ac:dyDescent="0.3">
      <c r="I11524"/>
      <c r="J11524"/>
    </row>
    <row r="11525" spans="9:10" x14ac:dyDescent="0.3">
      <c r="I11525"/>
      <c r="J11525"/>
    </row>
    <row r="11526" spans="9:10" x14ac:dyDescent="0.3">
      <c r="I11526"/>
      <c r="J11526"/>
    </row>
    <row r="11527" spans="9:10" x14ac:dyDescent="0.3">
      <c r="I11527"/>
      <c r="J11527"/>
    </row>
    <row r="11528" spans="9:10" x14ac:dyDescent="0.3">
      <c r="I11528"/>
      <c r="J11528"/>
    </row>
    <row r="11529" spans="9:10" x14ac:dyDescent="0.3">
      <c r="I11529"/>
      <c r="J11529"/>
    </row>
    <row r="11530" spans="9:10" x14ac:dyDescent="0.3">
      <c r="I11530"/>
      <c r="J11530"/>
    </row>
    <row r="11531" spans="9:10" x14ac:dyDescent="0.3">
      <c r="I11531"/>
      <c r="J11531"/>
    </row>
    <row r="11532" spans="9:10" x14ac:dyDescent="0.3">
      <c r="I11532"/>
      <c r="J11532"/>
    </row>
    <row r="11533" spans="9:10" x14ac:dyDescent="0.3">
      <c r="I11533"/>
      <c r="J11533"/>
    </row>
    <row r="11534" spans="9:10" x14ac:dyDescent="0.3">
      <c r="I11534"/>
      <c r="J11534"/>
    </row>
    <row r="11535" spans="9:10" x14ac:dyDescent="0.3">
      <c r="I11535"/>
      <c r="J11535"/>
    </row>
    <row r="11536" spans="9:10" x14ac:dyDescent="0.3">
      <c r="I11536"/>
      <c r="J11536"/>
    </row>
    <row r="11537" spans="9:10" x14ac:dyDescent="0.3">
      <c r="I11537"/>
      <c r="J11537"/>
    </row>
    <row r="11538" spans="9:10" x14ac:dyDescent="0.3">
      <c r="I11538"/>
      <c r="J11538"/>
    </row>
    <row r="11539" spans="9:10" x14ac:dyDescent="0.3">
      <c r="I11539"/>
      <c r="J11539"/>
    </row>
    <row r="11540" spans="9:10" x14ac:dyDescent="0.3">
      <c r="I11540"/>
      <c r="J11540"/>
    </row>
    <row r="11541" spans="9:10" x14ac:dyDescent="0.3">
      <c r="I11541"/>
      <c r="J11541"/>
    </row>
    <row r="11542" spans="9:10" x14ac:dyDescent="0.3">
      <c r="I11542"/>
      <c r="J11542"/>
    </row>
    <row r="11543" spans="9:10" x14ac:dyDescent="0.3">
      <c r="I11543"/>
      <c r="J11543"/>
    </row>
    <row r="11544" spans="9:10" x14ac:dyDescent="0.3">
      <c r="I11544"/>
      <c r="J11544"/>
    </row>
    <row r="11545" spans="9:10" x14ac:dyDescent="0.3">
      <c r="I11545"/>
      <c r="J11545"/>
    </row>
    <row r="11546" spans="9:10" x14ac:dyDescent="0.3">
      <c r="I11546"/>
      <c r="J11546"/>
    </row>
    <row r="11547" spans="9:10" x14ac:dyDescent="0.3">
      <c r="I11547"/>
      <c r="J11547"/>
    </row>
    <row r="11548" spans="9:10" x14ac:dyDescent="0.3">
      <c r="I11548"/>
      <c r="J11548"/>
    </row>
    <row r="11549" spans="9:10" x14ac:dyDescent="0.3">
      <c r="I11549"/>
      <c r="J11549"/>
    </row>
    <row r="11550" spans="9:10" x14ac:dyDescent="0.3">
      <c r="I11550"/>
      <c r="J11550"/>
    </row>
    <row r="11551" spans="9:10" x14ac:dyDescent="0.3">
      <c r="I11551"/>
      <c r="J11551"/>
    </row>
    <row r="11552" spans="9:10" x14ac:dyDescent="0.3">
      <c r="I11552"/>
      <c r="J11552"/>
    </row>
    <row r="11553" spans="9:10" x14ac:dyDescent="0.3">
      <c r="I11553"/>
      <c r="J11553"/>
    </row>
    <row r="11554" spans="9:10" x14ac:dyDescent="0.3">
      <c r="I11554"/>
      <c r="J11554"/>
    </row>
    <row r="11555" spans="9:10" x14ac:dyDescent="0.3">
      <c r="I11555"/>
      <c r="J11555"/>
    </row>
    <row r="11556" spans="9:10" x14ac:dyDescent="0.3">
      <c r="I11556"/>
      <c r="J11556"/>
    </row>
    <row r="11557" spans="9:10" x14ac:dyDescent="0.3">
      <c r="I11557"/>
      <c r="J11557"/>
    </row>
    <row r="11558" spans="9:10" x14ac:dyDescent="0.3">
      <c r="I11558"/>
      <c r="J11558"/>
    </row>
    <row r="11559" spans="9:10" x14ac:dyDescent="0.3">
      <c r="I11559"/>
      <c r="J11559"/>
    </row>
    <row r="11560" spans="9:10" x14ac:dyDescent="0.3">
      <c r="I11560"/>
      <c r="J11560"/>
    </row>
    <row r="11561" spans="9:10" x14ac:dyDescent="0.3">
      <c r="I11561"/>
      <c r="J11561"/>
    </row>
    <row r="11562" spans="9:10" x14ac:dyDescent="0.3">
      <c r="I11562"/>
      <c r="J11562"/>
    </row>
    <row r="11563" spans="9:10" x14ac:dyDescent="0.3">
      <c r="I11563"/>
      <c r="J11563"/>
    </row>
    <row r="11564" spans="9:10" x14ac:dyDescent="0.3">
      <c r="I11564"/>
      <c r="J11564"/>
    </row>
    <row r="11565" spans="9:10" x14ac:dyDescent="0.3">
      <c r="I11565"/>
      <c r="J11565"/>
    </row>
    <row r="11566" spans="9:10" x14ac:dyDescent="0.3">
      <c r="I11566"/>
      <c r="J11566"/>
    </row>
    <row r="11567" spans="9:10" x14ac:dyDescent="0.3">
      <c r="I11567"/>
      <c r="J11567"/>
    </row>
    <row r="11568" spans="9:10" x14ac:dyDescent="0.3">
      <c r="I11568"/>
      <c r="J11568"/>
    </row>
    <row r="11569" spans="9:10" x14ac:dyDescent="0.3">
      <c r="I11569"/>
      <c r="J11569"/>
    </row>
    <row r="11570" spans="9:10" x14ac:dyDescent="0.3">
      <c r="I11570"/>
      <c r="J11570"/>
    </row>
    <row r="11571" spans="9:10" x14ac:dyDescent="0.3">
      <c r="I11571"/>
      <c r="J11571"/>
    </row>
    <row r="11572" spans="9:10" x14ac:dyDescent="0.3">
      <c r="I11572"/>
      <c r="J11572"/>
    </row>
    <row r="11573" spans="9:10" x14ac:dyDescent="0.3">
      <c r="I11573"/>
      <c r="J11573"/>
    </row>
    <row r="11574" spans="9:10" x14ac:dyDescent="0.3">
      <c r="I11574"/>
      <c r="J11574"/>
    </row>
    <row r="11575" spans="9:10" x14ac:dyDescent="0.3">
      <c r="I11575"/>
      <c r="J11575"/>
    </row>
    <row r="11576" spans="9:10" x14ac:dyDescent="0.3">
      <c r="I11576"/>
      <c r="J11576"/>
    </row>
    <row r="11577" spans="9:10" x14ac:dyDescent="0.3">
      <c r="I11577"/>
      <c r="J11577"/>
    </row>
    <row r="11578" spans="9:10" x14ac:dyDescent="0.3">
      <c r="I11578"/>
      <c r="J11578"/>
    </row>
    <row r="11579" spans="9:10" x14ac:dyDescent="0.3">
      <c r="I11579"/>
      <c r="J11579"/>
    </row>
    <row r="11580" spans="9:10" x14ac:dyDescent="0.3">
      <c r="I11580"/>
      <c r="J11580"/>
    </row>
    <row r="11581" spans="9:10" x14ac:dyDescent="0.3">
      <c r="I11581"/>
      <c r="J11581"/>
    </row>
    <row r="11582" spans="9:10" x14ac:dyDescent="0.3">
      <c r="I11582"/>
      <c r="J11582"/>
    </row>
    <row r="11583" spans="9:10" x14ac:dyDescent="0.3">
      <c r="I11583"/>
      <c r="J11583"/>
    </row>
    <row r="11584" spans="9:10" x14ac:dyDescent="0.3">
      <c r="I11584"/>
      <c r="J11584"/>
    </row>
    <row r="11585" spans="9:10" x14ac:dyDescent="0.3">
      <c r="I11585"/>
      <c r="J11585"/>
    </row>
    <row r="11586" spans="9:10" x14ac:dyDescent="0.3">
      <c r="I11586"/>
      <c r="J11586"/>
    </row>
    <row r="11587" spans="9:10" x14ac:dyDescent="0.3">
      <c r="I11587"/>
      <c r="J11587"/>
    </row>
    <row r="11588" spans="9:10" x14ac:dyDescent="0.3">
      <c r="I11588"/>
      <c r="J11588"/>
    </row>
    <row r="11589" spans="9:10" x14ac:dyDescent="0.3">
      <c r="I11589"/>
      <c r="J11589"/>
    </row>
    <row r="11590" spans="9:10" x14ac:dyDescent="0.3">
      <c r="I11590"/>
      <c r="J11590"/>
    </row>
    <row r="11591" spans="9:10" x14ac:dyDescent="0.3">
      <c r="I11591"/>
      <c r="J11591"/>
    </row>
    <row r="11592" spans="9:10" x14ac:dyDescent="0.3">
      <c r="I11592"/>
      <c r="J11592"/>
    </row>
    <row r="11593" spans="9:10" x14ac:dyDescent="0.3">
      <c r="I11593"/>
      <c r="J11593"/>
    </row>
    <row r="11594" spans="9:10" x14ac:dyDescent="0.3">
      <c r="I11594"/>
      <c r="J11594"/>
    </row>
    <row r="11595" spans="9:10" x14ac:dyDescent="0.3">
      <c r="I11595"/>
      <c r="J11595"/>
    </row>
    <row r="11596" spans="9:10" x14ac:dyDescent="0.3">
      <c r="I11596"/>
      <c r="J11596"/>
    </row>
    <row r="11597" spans="9:10" x14ac:dyDescent="0.3">
      <c r="I11597"/>
      <c r="J11597"/>
    </row>
    <row r="11598" spans="9:10" x14ac:dyDescent="0.3">
      <c r="I11598"/>
      <c r="J11598"/>
    </row>
    <row r="11599" spans="9:10" x14ac:dyDescent="0.3">
      <c r="I11599"/>
      <c r="J11599"/>
    </row>
    <row r="11600" spans="9:10" x14ac:dyDescent="0.3">
      <c r="I11600"/>
      <c r="J11600"/>
    </row>
    <row r="11601" spans="9:10" x14ac:dyDescent="0.3">
      <c r="I11601"/>
      <c r="J11601"/>
    </row>
    <row r="11602" spans="9:10" x14ac:dyDescent="0.3">
      <c r="I11602"/>
      <c r="J11602"/>
    </row>
    <row r="11603" spans="9:10" x14ac:dyDescent="0.3">
      <c r="I11603"/>
      <c r="J11603"/>
    </row>
    <row r="11604" spans="9:10" x14ac:dyDescent="0.3">
      <c r="I11604"/>
      <c r="J11604"/>
    </row>
    <row r="11605" spans="9:10" x14ac:dyDescent="0.3">
      <c r="I11605"/>
      <c r="J11605"/>
    </row>
    <row r="11606" spans="9:10" x14ac:dyDescent="0.3">
      <c r="I11606"/>
      <c r="J11606"/>
    </row>
    <row r="11607" spans="9:10" x14ac:dyDescent="0.3">
      <c r="I11607"/>
      <c r="J11607"/>
    </row>
    <row r="11608" spans="9:10" x14ac:dyDescent="0.3">
      <c r="I11608"/>
      <c r="J11608"/>
    </row>
    <row r="11609" spans="9:10" x14ac:dyDescent="0.3">
      <c r="I11609"/>
      <c r="J11609"/>
    </row>
    <row r="11610" spans="9:10" x14ac:dyDescent="0.3">
      <c r="I11610"/>
      <c r="J11610"/>
    </row>
    <row r="11611" spans="9:10" x14ac:dyDescent="0.3">
      <c r="I11611"/>
      <c r="J11611"/>
    </row>
    <row r="11612" spans="9:10" x14ac:dyDescent="0.3">
      <c r="I11612"/>
      <c r="J11612"/>
    </row>
    <row r="11613" spans="9:10" x14ac:dyDescent="0.3">
      <c r="I11613"/>
      <c r="J11613"/>
    </row>
    <row r="11614" spans="9:10" x14ac:dyDescent="0.3">
      <c r="I11614"/>
      <c r="J11614"/>
    </row>
    <row r="11615" spans="9:10" x14ac:dyDescent="0.3">
      <c r="I11615"/>
      <c r="J11615"/>
    </row>
    <row r="11616" spans="9:10" x14ac:dyDescent="0.3">
      <c r="I11616"/>
      <c r="J11616"/>
    </row>
    <row r="11617" spans="9:10" x14ac:dyDescent="0.3">
      <c r="I11617"/>
      <c r="J11617"/>
    </row>
    <row r="11618" spans="9:10" x14ac:dyDescent="0.3">
      <c r="I11618"/>
      <c r="J11618"/>
    </row>
    <row r="11619" spans="9:10" x14ac:dyDescent="0.3">
      <c r="I11619"/>
      <c r="J11619"/>
    </row>
    <row r="11620" spans="9:10" x14ac:dyDescent="0.3">
      <c r="I11620"/>
      <c r="J11620"/>
    </row>
    <row r="11621" spans="9:10" x14ac:dyDescent="0.3">
      <c r="I11621"/>
      <c r="J11621"/>
    </row>
    <row r="11622" spans="9:10" x14ac:dyDescent="0.3">
      <c r="I11622"/>
      <c r="J11622"/>
    </row>
    <row r="11623" spans="9:10" x14ac:dyDescent="0.3">
      <c r="I11623"/>
      <c r="J11623"/>
    </row>
    <row r="11624" spans="9:10" x14ac:dyDescent="0.3">
      <c r="I11624"/>
      <c r="J11624"/>
    </row>
    <row r="11625" spans="9:10" x14ac:dyDescent="0.3">
      <c r="I11625"/>
      <c r="J11625"/>
    </row>
    <row r="11626" spans="9:10" x14ac:dyDescent="0.3">
      <c r="I11626"/>
      <c r="J11626"/>
    </row>
    <row r="11627" spans="9:10" x14ac:dyDescent="0.3">
      <c r="I11627"/>
      <c r="J11627"/>
    </row>
    <row r="11628" spans="9:10" x14ac:dyDescent="0.3">
      <c r="I11628"/>
      <c r="J11628"/>
    </row>
    <row r="11629" spans="9:10" x14ac:dyDescent="0.3">
      <c r="I11629"/>
      <c r="J11629"/>
    </row>
    <row r="11630" spans="9:10" x14ac:dyDescent="0.3">
      <c r="I11630"/>
      <c r="J11630"/>
    </row>
    <row r="11631" spans="9:10" x14ac:dyDescent="0.3">
      <c r="I11631"/>
      <c r="J11631"/>
    </row>
    <row r="11632" spans="9:10" x14ac:dyDescent="0.3">
      <c r="I11632"/>
      <c r="J11632"/>
    </row>
    <row r="11633" spans="9:10" x14ac:dyDescent="0.3">
      <c r="I11633"/>
      <c r="J11633"/>
    </row>
    <row r="11634" spans="9:10" x14ac:dyDescent="0.3">
      <c r="I11634"/>
      <c r="J11634"/>
    </row>
    <row r="11635" spans="9:10" x14ac:dyDescent="0.3">
      <c r="I11635"/>
      <c r="J11635"/>
    </row>
    <row r="11636" spans="9:10" x14ac:dyDescent="0.3">
      <c r="I11636"/>
      <c r="J11636"/>
    </row>
    <row r="11637" spans="9:10" x14ac:dyDescent="0.3">
      <c r="I11637"/>
      <c r="J11637"/>
    </row>
    <row r="11638" spans="9:10" x14ac:dyDescent="0.3">
      <c r="I11638"/>
      <c r="J11638"/>
    </row>
    <row r="11639" spans="9:10" x14ac:dyDescent="0.3">
      <c r="I11639"/>
      <c r="J11639"/>
    </row>
    <row r="11640" spans="9:10" x14ac:dyDescent="0.3">
      <c r="I11640"/>
      <c r="J11640"/>
    </row>
    <row r="11641" spans="9:10" x14ac:dyDescent="0.3">
      <c r="I11641"/>
      <c r="J11641"/>
    </row>
    <row r="11642" spans="9:10" x14ac:dyDescent="0.3">
      <c r="I11642"/>
      <c r="J11642"/>
    </row>
    <row r="11643" spans="9:10" x14ac:dyDescent="0.3">
      <c r="I11643"/>
      <c r="J11643"/>
    </row>
    <row r="11644" spans="9:10" x14ac:dyDescent="0.3">
      <c r="I11644"/>
      <c r="J11644"/>
    </row>
    <row r="11645" spans="9:10" x14ac:dyDescent="0.3">
      <c r="I11645"/>
      <c r="J11645"/>
    </row>
    <row r="11646" spans="9:10" x14ac:dyDescent="0.3">
      <c r="I11646"/>
      <c r="J11646"/>
    </row>
    <row r="11647" spans="9:10" x14ac:dyDescent="0.3">
      <c r="I11647"/>
      <c r="J11647"/>
    </row>
    <row r="11648" spans="9:10" x14ac:dyDescent="0.3">
      <c r="I11648"/>
      <c r="J11648"/>
    </row>
    <row r="11649" spans="9:10" x14ac:dyDescent="0.3">
      <c r="I11649"/>
      <c r="J11649"/>
    </row>
    <row r="11650" spans="9:10" x14ac:dyDescent="0.3">
      <c r="I11650"/>
      <c r="J11650"/>
    </row>
    <row r="11651" spans="9:10" x14ac:dyDescent="0.3">
      <c r="I11651"/>
      <c r="J11651"/>
    </row>
    <row r="11652" spans="9:10" x14ac:dyDescent="0.3">
      <c r="I11652"/>
      <c r="J11652"/>
    </row>
    <row r="11653" spans="9:10" x14ac:dyDescent="0.3">
      <c r="I11653"/>
      <c r="J11653"/>
    </row>
    <row r="11654" spans="9:10" x14ac:dyDescent="0.3">
      <c r="I11654"/>
      <c r="J11654"/>
    </row>
    <row r="11655" spans="9:10" x14ac:dyDescent="0.3">
      <c r="I11655"/>
      <c r="J11655"/>
    </row>
    <row r="11656" spans="9:10" x14ac:dyDescent="0.3">
      <c r="I11656"/>
      <c r="J11656"/>
    </row>
    <row r="11657" spans="9:10" x14ac:dyDescent="0.3">
      <c r="I11657"/>
      <c r="J11657"/>
    </row>
    <row r="11658" spans="9:10" x14ac:dyDescent="0.3">
      <c r="I11658"/>
      <c r="J11658"/>
    </row>
    <row r="11659" spans="9:10" x14ac:dyDescent="0.3">
      <c r="I11659"/>
      <c r="J11659"/>
    </row>
    <row r="11660" spans="9:10" x14ac:dyDescent="0.3">
      <c r="I11660"/>
      <c r="J11660"/>
    </row>
    <row r="11661" spans="9:10" x14ac:dyDescent="0.3">
      <c r="I11661"/>
      <c r="J11661"/>
    </row>
    <row r="11662" spans="9:10" x14ac:dyDescent="0.3">
      <c r="I11662"/>
      <c r="J11662"/>
    </row>
    <row r="11663" spans="9:10" x14ac:dyDescent="0.3">
      <c r="I11663"/>
      <c r="J11663"/>
    </row>
    <row r="11664" spans="9:10" x14ac:dyDescent="0.3">
      <c r="I11664"/>
      <c r="J11664"/>
    </row>
    <row r="11665" spans="9:10" x14ac:dyDescent="0.3">
      <c r="I11665"/>
      <c r="J11665"/>
    </row>
    <row r="11666" spans="9:10" x14ac:dyDescent="0.3">
      <c r="I11666"/>
      <c r="J11666"/>
    </row>
    <row r="11667" spans="9:10" x14ac:dyDescent="0.3">
      <c r="I11667"/>
      <c r="J11667"/>
    </row>
    <row r="11668" spans="9:10" x14ac:dyDescent="0.3">
      <c r="I11668"/>
      <c r="J11668"/>
    </row>
    <row r="11669" spans="9:10" x14ac:dyDescent="0.3">
      <c r="I11669"/>
      <c r="J11669"/>
    </row>
    <row r="11670" spans="9:10" x14ac:dyDescent="0.3">
      <c r="I11670"/>
      <c r="J11670"/>
    </row>
    <row r="11671" spans="9:10" x14ac:dyDescent="0.3">
      <c r="I11671"/>
      <c r="J11671"/>
    </row>
    <row r="11672" spans="9:10" x14ac:dyDescent="0.3">
      <c r="I11672"/>
      <c r="J11672"/>
    </row>
    <row r="11673" spans="9:10" x14ac:dyDescent="0.3">
      <c r="I11673"/>
      <c r="J11673"/>
    </row>
    <row r="11674" spans="9:10" x14ac:dyDescent="0.3">
      <c r="I11674"/>
      <c r="J11674"/>
    </row>
    <row r="11675" spans="9:10" x14ac:dyDescent="0.3">
      <c r="I11675"/>
      <c r="J11675"/>
    </row>
    <row r="11676" spans="9:10" x14ac:dyDescent="0.3">
      <c r="I11676"/>
      <c r="J11676"/>
    </row>
    <row r="11677" spans="9:10" x14ac:dyDescent="0.3">
      <c r="I11677"/>
      <c r="J11677"/>
    </row>
    <row r="11678" spans="9:10" x14ac:dyDescent="0.3">
      <c r="I11678"/>
      <c r="J11678"/>
    </row>
    <row r="11679" spans="9:10" x14ac:dyDescent="0.3">
      <c r="I11679"/>
      <c r="J11679"/>
    </row>
    <row r="11680" spans="9:10" x14ac:dyDescent="0.3">
      <c r="I11680"/>
      <c r="J11680"/>
    </row>
    <row r="11681" spans="9:10" x14ac:dyDescent="0.3">
      <c r="I11681"/>
      <c r="J11681"/>
    </row>
    <row r="11682" spans="9:10" x14ac:dyDescent="0.3">
      <c r="I11682"/>
      <c r="J11682"/>
    </row>
    <row r="11683" spans="9:10" x14ac:dyDescent="0.3">
      <c r="I11683"/>
      <c r="J11683"/>
    </row>
    <row r="11684" spans="9:10" x14ac:dyDescent="0.3">
      <c r="I11684"/>
      <c r="J11684"/>
    </row>
    <row r="11685" spans="9:10" x14ac:dyDescent="0.3">
      <c r="I11685"/>
      <c r="J11685"/>
    </row>
    <row r="11686" spans="9:10" x14ac:dyDescent="0.3">
      <c r="I11686"/>
      <c r="J11686"/>
    </row>
    <row r="11687" spans="9:10" x14ac:dyDescent="0.3">
      <c r="I11687"/>
      <c r="J11687"/>
    </row>
    <row r="11688" spans="9:10" x14ac:dyDescent="0.3">
      <c r="I11688"/>
      <c r="J11688"/>
    </row>
    <row r="11689" spans="9:10" x14ac:dyDescent="0.3">
      <c r="I11689"/>
      <c r="J11689"/>
    </row>
    <row r="11690" spans="9:10" x14ac:dyDescent="0.3">
      <c r="I11690"/>
      <c r="J11690"/>
    </row>
    <row r="11691" spans="9:10" x14ac:dyDescent="0.3">
      <c r="I11691"/>
      <c r="J11691"/>
    </row>
    <row r="11692" spans="9:10" x14ac:dyDescent="0.3">
      <c r="I11692"/>
      <c r="J11692"/>
    </row>
    <row r="11693" spans="9:10" x14ac:dyDescent="0.3">
      <c r="I11693"/>
      <c r="J11693"/>
    </row>
    <row r="11694" spans="9:10" x14ac:dyDescent="0.3">
      <c r="I11694"/>
      <c r="J11694"/>
    </row>
    <row r="11695" spans="9:10" x14ac:dyDescent="0.3">
      <c r="I11695"/>
      <c r="J11695"/>
    </row>
    <row r="11696" spans="9:10" x14ac:dyDescent="0.3">
      <c r="I11696"/>
      <c r="J11696"/>
    </row>
    <row r="11697" spans="9:10" x14ac:dyDescent="0.3">
      <c r="I11697"/>
      <c r="J11697"/>
    </row>
    <row r="11698" spans="9:10" x14ac:dyDescent="0.3">
      <c r="I11698"/>
      <c r="J11698"/>
    </row>
    <row r="11699" spans="9:10" x14ac:dyDescent="0.3">
      <c r="I11699"/>
      <c r="J11699"/>
    </row>
    <row r="11700" spans="9:10" x14ac:dyDescent="0.3">
      <c r="I11700"/>
      <c r="J11700"/>
    </row>
    <row r="11701" spans="9:10" x14ac:dyDescent="0.3">
      <c r="I11701"/>
      <c r="J11701"/>
    </row>
    <row r="11702" spans="9:10" x14ac:dyDescent="0.3">
      <c r="I11702"/>
      <c r="J11702"/>
    </row>
    <row r="11703" spans="9:10" x14ac:dyDescent="0.3">
      <c r="I11703"/>
      <c r="J11703"/>
    </row>
    <row r="11704" spans="9:10" x14ac:dyDescent="0.3">
      <c r="I11704"/>
      <c r="J11704"/>
    </row>
    <row r="11705" spans="9:10" x14ac:dyDescent="0.3">
      <c r="I11705"/>
      <c r="J11705"/>
    </row>
    <row r="11706" spans="9:10" x14ac:dyDescent="0.3">
      <c r="I11706"/>
      <c r="J11706"/>
    </row>
    <row r="11707" spans="9:10" x14ac:dyDescent="0.3">
      <c r="I11707"/>
      <c r="J11707"/>
    </row>
    <row r="11708" spans="9:10" x14ac:dyDescent="0.3">
      <c r="I11708"/>
      <c r="J11708"/>
    </row>
    <row r="11709" spans="9:10" x14ac:dyDescent="0.3">
      <c r="I11709"/>
      <c r="J11709"/>
    </row>
    <row r="11710" spans="9:10" x14ac:dyDescent="0.3">
      <c r="I11710"/>
      <c r="J11710"/>
    </row>
    <row r="11711" spans="9:10" x14ac:dyDescent="0.3">
      <c r="I11711"/>
      <c r="J11711"/>
    </row>
    <row r="11712" spans="9:10" x14ac:dyDescent="0.3">
      <c r="I11712"/>
      <c r="J11712"/>
    </row>
    <row r="11713" spans="9:10" x14ac:dyDescent="0.3">
      <c r="I11713"/>
      <c r="J11713"/>
    </row>
    <row r="11714" spans="9:10" x14ac:dyDescent="0.3">
      <c r="I11714"/>
      <c r="J11714"/>
    </row>
    <row r="11715" spans="9:10" x14ac:dyDescent="0.3">
      <c r="I11715"/>
      <c r="J11715"/>
    </row>
    <row r="11716" spans="9:10" x14ac:dyDescent="0.3">
      <c r="I11716"/>
      <c r="J11716"/>
    </row>
    <row r="11717" spans="9:10" x14ac:dyDescent="0.3">
      <c r="I11717"/>
      <c r="J11717"/>
    </row>
    <row r="11718" spans="9:10" x14ac:dyDescent="0.3">
      <c r="I11718"/>
      <c r="J11718"/>
    </row>
    <row r="11719" spans="9:10" x14ac:dyDescent="0.3">
      <c r="I11719"/>
      <c r="J11719"/>
    </row>
    <row r="11720" spans="9:10" x14ac:dyDescent="0.3">
      <c r="I11720"/>
      <c r="J11720"/>
    </row>
    <row r="11721" spans="9:10" x14ac:dyDescent="0.3">
      <c r="I11721"/>
      <c r="J11721"/>
    </row>
    <row r="11722" spans="9:10" x14ac:dyDescent="0.3">
      <c r="I11722"/>
      <c r="J11722"/>
    </row>
    <row r="11723" spans="9:10" x14ac:dyDescent="0.3">
      <c r="I11723"/>
      <c r="J11723"/>
    </row>
    <row r="11724" spans="9:10" x14ac:dyDescent="0.3">
      <c r="I11724"/>
      <c r="J11724"/>
    </row>
    <row r="11725" spans="9:10" x14ac:dyDescent="0.3">
      <c r="I11725"/>
      <c r="J11725"/>
    </row>
    <row r="11726" spans="9:10" x14ac:dyDescent="0.3">
      <c r="I11726"/>
      <c r="J11726"/>
    </row>
    <row r="11727" spans="9:10" x14ac:dyDescent="0.3">
      <c r="I11727"/>
      <c r="J11727"/>
    </row>
    <row r="11728" spans="9:10" x14ac:dyDescent="0.3">
      <c r="I11728"/>
      <c r="J11728"/>
    </row>
    <row r="11729" spans="9:10" x14ac:dyDescent="0.3">
      <c r="I11729"/>
      <c r="J11729"/>
    </row>
    <row r="11730" spans="9:10" x14ac:dyDescent="0.3">
      <c r="I11730"/>
      <c r="J11730"/>
    </row>
    <row r="11731" spans="9:10" x14ac:dyDescent="0.3">
      <c r="I11731"/>
      <c r="J11731"/>
    </row>
    <row r="11732" spans="9:10" x14ac:dyDescent="0.3">
      <c r="I11732"/>
      <c r="J11732"/>
    </row>
    <row r="11733" spans="9:10" x14ac:dyDescent="0.3">
      <c r="I11733"/>
      <c r="J11733"/>
    </row>
    <row r="11734" spans="9:10" x14ac:dyDescent="0.3">
      <c r="I11734"/>
      <c r="J11734"/>
    </row>
    <row r="11735" spans="9:10" x14ac:dyDescent="0.3">
      <c r="I11735"/>
      <c r="J11735"/>
    </row>
    <row r="11736" spans="9:10" x14ac:dyDescent="0.3">
      <c r="I11736"/>
      <c r="J11736"/>
    </row>
    <row r="11737" spans="9:10" x14ac:dyDescent="0.3">
      <c r="I11737"/>
      <c r="J11737"/>
    </row>
    <row r="11738" spans="9:10" x14ac:dyDescent="0.3">
      <c r="I11738"/>
      <c r="J11738"/>
    </row>
    <row r="11739" spans="9:10" x14ac:dyDescent="0.3">
      <c r="I11739"/>
      <c r="J11739"/>
    </row>
    <row r="11740" spans="9:10" x14ac:dyDescent="0.3">
      <c r="I11740"/>
      <c r="J11740"/>
    </row>
    <row r="11741" spans="9:10" x14ac:dyDescent="0.3">
      <c r="I11741"/>
      <c r="J11741"/>
    </row>
    <row r="11742" spans="9:10" x14ac:dyDescent="0.3">
      <c r="I11742"/>
      <c r="J11742"/>
    </row>
    <row r="11743" spans="9:10" x14ac:dyDescent="0.3">
      <c r="I11743"/>
      <c r="J11743"/>
    </row>
    <row r="11744" spans="9:10" x14ac:dyDescent="0.3">
      <c r="I11744"/>
      <c r="J11744"/>
    </row>
    <row r="11745" spans="9:10" x14ac:dyDescent="0.3">
      <c r="I11745"/>
      <c r="J11745"/>
    </row>
    <row r="11746" spans="9:10" x14ac:dyDescent="0.3">
      <c r="I11746"/>
      <c r="J11746"/>
    </row>
    <row r="11747" spans="9:10" x14ac:dyDescent="0.3">
      <c r="I11747"/>
      <c r="J11747"/>
    </row>
    <row r="11748" spans="9:10" x14ac:dyDescent="0.3">
      <c r="I11748"/>
      <c r="J11748"/>
    </row>
    <row r="11749" spans="9:10" x14ac:dyDescent="0.3">
      <c r="I11749"/>
      <c r="J11749"/>
    </row>
    <row r="11750" spans="9:10" x14ac:dyDescent="0.3">
      <c r="I11750"/>
      <c r="J11750"/>
    </row>
    <row r="11751" spans="9:10" x14ac:dyDescent="0.3">
      <c r="I11751"/>
      <c r="J11751"/>
    </row>
    <row r="11752" spans="9:10" x14ac:dyDescent="0.3">
      <c r="I11752"/>
      <c r="J11752"/>
    </row>
    <row r="11753" spans="9:10" x14ac:dyDescent="0.3">
      <c r="I11753"/>
      <c r="J11753"/>
    </row>
    <row r="11754" spans="9:10" x14ac:dyDescent="0.3">
      <c r="I11754"/>
      <c r="J11754"/>
    </row>
    <row r="11755" spans="9:10" x14ac:dyDescent="0.3">
      <c r="I11755"/>
      <c r="J11755"/>
    </row>
    <row r="11756" spans="9:10" x14ac:dyDescent="0.3">
      <c r="I11756"/>
      <c r="J11756"/>
    </row>
    <row r="11757" spans="9:10" x14ac:dyDescent="0.3">
      <c r="I11757"/>
      <c r="J11757"/>
    </row>
    <row r="11758" spans="9:10" x14ac:dyDescent="0.3">
      <c r="I11758"/>
      <c r="J11758"/>
    </row>
    <row r="11759" spans="9:10" x14ac:dyDescent="0.3">
      <c r="I11759"/>
      <c r="J11759"/>
    </row>
    <row r="11760" spans="9:10" x14ac:dyDescent="0.3">
      <c r="I11760"/>
      <c r="J11760"/>
    </row>
    <row r="11761" spans="9:10" x14ac:dyDescent="0.3">
      <c r="I11761"/>
      <c r="J11761"/>
    </row>
    <row r="11762" spans="9:10" x14ac:dyDescent="0.3">
      <c r="I11762"/>
      <c r="J11762"/>
    </row>
    <row r="11763" spans="9:10" x14ac:dyDescent="0.3">
      <c r="I11763"/>
      <c r="J11763"/>
    </row>
    <row r="11764" spans="9:10" x14ac:dyDescent="0.3">
      <c r="I11764"/>
      <c r="J11764"/>
    </row>
    <row r="11765" spans="9:10" x14ac:dyDescent="0.3">
      <c r="I11765"/>
      <c r="J11765"/>
    </row>
    <row r="11766" spans="9:10" x14ac:dyDescent="0.3">
      <c r="I11766"/>
      <c r="J11766"/>
    </row>
    <row r="11767" spans="9:10" x14ac:dyDescent="0.3">
      <c r="I11767"/>
      <c r="J11767"/>
    </row>
    <row r="11768" spans="9:10" x14ac:dyDescent="0.3">
      <c r="I11768"/>
      <c r="J11768"/>
    </row>
    <row r="11769" spans="9:10" x14ac:dyDescent="0.3">
      <c r="I11769"/>
      <c r="J11769"/>
    </row>
    <row r="11770" spans="9:10" x14ac:dyDescent="0.3">
      <c r="I11770"/>
      <c r="J11770"/>
    </row>
    <row r="11771" spans="9:10" x14ac:dyDescent="0.3">
      <c r="I11771"/>
      <c r="J11771"/>
    </row>
    <row r="11772" spans="9:10" x14ac:dyDescent="0.3">
      <c r="I11772"/>
      <c r="J11772"/>
    </row>
    <row r="11773" spans="9:10" x14ac:dyDescent="0.3">
      <c r="I11773"/>
      <c r="J11773"/>
    </row>
    <row r="11774" spans="9:10" x14ac:dyDescent="0.3">
      <c r="I11774"/>
      <c r="J11774"/>
    </row>
    <row r="11775" spans="9:10" x14ac:dyDescent="0.3">
      <c r="I11775"/>
      <c r="J11775"/>
    </row>
    <row r="11776" spans="9:10" x14ac:dyDescent="0.3">
      <c r="I11776"/>
      <c r="J11776"/>
    </row>
    <row r="11777" spans="9:10" x14ac:dyDescent="0.3">
      <c r="I11777"/>
      <c r="J11777"/>
    </row>
    <row r="11778" spans="9:10" x14ac:dyDescent="0.3">
      <c r="I11778"/>
      <c r="J11778"/>
    </row>
    <row r="11779" spans="9:10" x14ac:dyDescent="0.3">
      <c r="I11779"/>
      <c r="J11779"/>
    </row>
    <row r="11780" spans="9:10" x14ac:dyDescent="0.3">
      <c r="I11780"/>
      <c r="J11780"/>
    </row>
    <row r="11781" spans="9:10" x14ac:dyDescent="0.3">
      <c r="I11781"/>
      <c r="J11781"/>
    </row>
    <row r="11782" spans="9:10" x14ac:dyDescent="0.3">
      <c r="I11782"/>
      <c r="J11782"/>
    </row>
    <row r="11783" spans="9:10" x14ac:dyDescent="0.3">
      <c r="I11783"/>
      <c r="J11783"/>
    </row>
    <row r="11784" spans="9:10" x14ac:dyDescent="0.3">
      <c r="I11784"/>
      <c r="J11784"/>
    </row>
    <row r="11785" spans="9:10" x14ac:dyDescent="0.3">
      <c r="I11785"/>
      <c r="J11785"/>
    </row>
    <row r="11786" spans="9:10" x14ac:dyDescent="0.3">
      <c r="I11786"/>
      <c r="J11786"/>
    </row>
    <row r="11787" spans="9:10" x14ac:dyDescent="0.3">
      <c r="I11787"/>
      <c r="J11787"/>
    </row>
    <row r="11788" spans="9:10" x14ac:dyDescent="0.3">
      <c r="I11788"/>
      <c r="J11788"/>
    </row>
    <row r="11789" spans="9:10" x14ac:dyDescent="0.3">
      <c r="I11789"/>
      <c r="J11789"/>
    </row>
    <row r="11790" spans="9:10" x14ac:dyDescent="0.3">
      <c r="I11790"/>
      <c r="J11790"/>
    </row>
    <row r="11791" spans="9:10" x14ac:dyDescent="0.3">
      <c r="I11791"/>
      <c r="J11791"/>
    </row>
    <row r="11792" spans="9:10" x14ac:dyDescent="0.3">
      <c r="I11792"/>
      <c r="J11792"/>
    </row>
    <row r="11793" spans="9:10" x14ac:dyDescent="0.3">
      <c r="I11793"/>
      <c r="J11793"/>
    </row>
    <row r="11794" spans="9:10" x14ac:dyDescent="0.3">
      <c r="I11794"/>
      <c r="J11794"/>
    </row>
    <row r="11795" spans="9:10" x14ac:dyDescent="0.3">
      <c r="I11795"/>
      <c r="J11795"/>
    </row>
    <row r="11796" spans="9:10" x14ac:dyDescent="0.3">
      <c r="I11796"/>
      <c r="J11796"/>
    </row>
    <row r="11797" spans="9:10" x14ac:dyDescent="0.3">
      <c r="I11797"/>
      <c r="J11797"/>
    </row>
    <row r="11798" spans="9:10" x14ac:dyDescent="0.3">
      <c r="I11798"/>
      <c r="J11798"/>
    </row>
    <row r="11799" spans="9:10" x14ac:dyDescent="0.3">
      <c r="I11799"/>
      <c r="J11799"/>
    </row>
    <row r="11800" spans="9:10" x14ac:dyDescent="0.3">
      <c r="I11800"/>
      <c r="J11800"/>
    </row>
    <row r="11801" spans="9:10" x14ac:dyDescent="0.3">
      <c r="I11801"/>
      <c r="J11801"/>
    </row>
    <row r="11802" spans="9:10" x14ac:dyDescent="0.3">
      <c r="I11802"/>
      <c r="J11802"/>
    </row>
    <row r="11803" spans="9:10" x14ac:dyDescent="0.3">
      <c r="I11803"/>
      <c r="J11803"/>
    </row>
    <row r="11804" spans="9:10" x14ac:dyDescent="0.3">
      <c r="I11804"/>
      <c r="J11804"/>
    </row>
    <row r="11805" spans="9:10" x14ac:dyDescent="0.3">
      <c r="I11805"/>
      <c r="J11805"/>
    </row>
    <row r="11806" spans="9:10" x14ac:dyDescent="0.3">
      <c r="I11806"/>
      <c r="J11806"/>
    </row>
    <row r="11807" spans="9:10" x14ac:dyDescent="0.3">
      <c r="I11807"/>
      <c r="J11807"/>
    </row>
    <row r="11808" spans="9:10" x14ac:dyDescent="0.3">
      <c r="I11808"/>
      <c r="J11808"/>
    </row>
    <row r="11809" spans="9:10" x14ac:dyDescent="0.3">
      <c r="I11809"/>
      <c r="J11809"/>
    </row>
    <row r="11810" spans="9:10" x14ac:dyDescent="0.3">
      <c r="I11810"/>
      <c r="J11810"/>
    </row>
    <row r="11811" spans="9:10" x14ac:dyDescent="0.3">
      <c r="I11811"/>
      <c r="J11811"/>
    </row>
    <row r="11812" spans="9:10" x14ac:dyDescent="0.3">
      <c r="I11812"/>
      <c r="J11812"/>
    </row>
    <row r="11813" spans="9:10" x14ac:dyDescent="0.3">
      <c r="I11813"/>
      <c r="J11813"/>
    </row>
    <row r="11814" spans="9:10" x14ac:dyDescent="0.3">
      <c r="I11814"/>
      <c r="J11814"/>
    </row>
    <row r="11815" spans="9:10" x14ac:dyDescent="0.3">
      <c r="I11815"/>
      <c r="J11815"/>
    </row>
    <row r="11816" spans="9:10" x14ac:dyDescent="0.3">
      <c r="I11816"/>
      <c r="J11816"/>
    </row>
    <row r="11817" spans="9:10" x14ac:dyDescent="0.3">
      <c r="I11817"/>
      <c r="J11817"/>
    </row>
    <row r="11818" spans="9:10" x14ac:dyDescent="0.3">
      <c r="I11818"/>
      <c r="J11818"/>
    </row>
    <row r="11819" spans="9:10" x14ac:dyDescent="0.3">
      <c r="I11819"/>
      <c r="J11819"/>
    </row>
    <row r="11820" spans="9:10" x14ac:dyDescent="0.3">
      <c r="I11820"/>
      <c r="J11820"/>
    </row>
    <row r="11821" spans="9:10" x14ac:dyDescent="0.3">
      <c r="I11821"/>
      <c r="J11821"/>
    </row>
    <row r="11822" spans="9:10" x14ac:dyDescent="0.3">
      <c r="I11822"/>
      <c r="J11822"/>
    </row>
    <row r="11823" spans="9:10" x14ac:dyDescent="0.3">
      <c r="I11823"/>
      <c r="J11823"/>
    </row>
    <row r="11824" spans="9:10" x14ac:dyDescent="0.3">
      <c r="I11824"/>
      <c r="J11824"/>
    </row>
    <row r="11825" spans="9:10" x14ac:dyDescent="0.3">
      <c r="I11825"/>
      <c r="J11825"/>
    </row>
    <row r="11826" spans="9:10" x14ac:dyDescent="0.3">
      <c r="I11826"/>
      <c r="J11826"/>
    </row>
    <row r="11827" spans="9:10" x14ac:dyDescent="0.3">
      <c r="I11827"/>
      <c r="J11827"/>
    </row>
    <row r="11828" spans="9:10" x14ac:dyDescent="0.3">
      <c r="I11828"/>
      <c r="J11828"/>
    </row>
    <row r="11829" spans="9:10" x14ac:dyDescent="0.3">
      <c r="I11829"/>
      <c r="J11829"/>
    </row>
    <row r="11830" spans="9:10" x14ac:dyDescent="0.3">
      <c r="I11830"/>
      <c r="J11830"/>
    </row>
    <row r="11831" spans="9:10" x14ac:dyDescent="0.3">
      <c r="I11831"/>
      <c r="J11831"/>
    </row>
    <row r="11832" spans="9:10" x14ac:dyDescent="0.3">
      <c r="I11832"/>
      <c r="J11832"/>
    </row>
    <row r="11833" spans="9:10" x14ac:dyDescent="0.3">
      <c r="I11833"/>
      <c r="J11833"/>
    </row>
    <row r="11834" spans="9:10" x14ac:dyDescent="0.3">
      <c r="I11834"/>
      <c r="J11834"/>
    </row>
    <row r="11835" spans="9:10" x14ac:dyDescent="0.3">
      <c r="I11835"/>
      <c r="J11835"/>
    </row>
    <row r="11836" spans="9:10" x14ac:dyDescent="0.3">
      <c r="I11836"/>
      <c r="J11836"/>
    </row>
    <row r="11837" spans="9:10" x14ac:dyDescent="0.3">
      <c r="I11837"/>
      <c r="J11837"/>
    </row>
    <row r="11838" spans="9:10" x14ac:dyDescent="0.3">
      <c r="I11838"/>
      <c r="J11838"/>
    </row>
    <row r="11839" spans="9:10" x14ac:dyDescent="0.3">
      <c r="I11839"/>
      <c r="J11839"/>
    </row>
    <row r="11840" spans="9:10" x14ac:dyDescent="0.3">
      <c r="I11840"/>
      <c r="J11840"/>
    </row>
    <row r="11841" spans="9:10" x14ac:dyDescent="0.3">
      <c r="I11841"/>
      <c r="J11841"/>
    </row>
    <row r="11842" spans="9:10" x14ac:dyDescent="0.3">
      <c r="I11842"/>
      <c r="J11842"/>
    </row>
    <row r="11843" spans="9:10" x14ac:dyDescent="0.3">
      <c r="I11843"/>
      <c r="J11843"/>
    </row>
    <row r="11844" spans="9:10" x14ac:dyDescent="0.3">
      <c r="I11844"/>
      <c r="J11844"/>
    </row>
    <row r="11845" spans="9:10" x14ac:dyDescent="0.3">
      <c r="I11845"/>
      <c r="J11845"/>
    </row>
    <row r="11846" spans="9:10" x14ac:dyDescent="0.3">
      <c r="I11846"/>
      <c r="J11846"/>
    </row>
    <row r="11847" spans="9:10" x14ac:dyDescent="0.3">
      <c r="I11847"/>
      <c r="J11847"/>
    </row>
    <row r="11848" spans="9:10" x14ac:dyDescent="0.3">
      <c r="I11848"/>
      <c r="J11848"/>
    </row>
    <row r="11849" spans="9:10" x14ac:dyDescent="0.3">
      <c r="I11849"/>
      <c r="J11849"/>
    </row>
    <row r="11850" spans="9:10" x14ac:dyDescent="0.3">
      <c r="I11850"/>
      <c r="J11850"/>
    </row>
    <row r="11851" spans="9:10" x14ac:dyDescent="0.3">
      <c r="I11851"/>
      <c r="J11851"/>
    </row>
    <row r="11852" spans="9:10" x14ac:dyDescent="0.3">
      <c r="I11852"/>
      <c r="J11852"/>
    </row>
    <row r="11853" spans="9:10" x14ac:dyDescent="0.3">
      <c r="I11853"/>
      <c r="J11853"/>
    </row>
    <row r="11854" spans="9:10" x14ac:dyDescent="0.3">
      <c r="I11854"/>
      <c r="J11854"/>
    </row>
    <row r="11855" spans="9:10" x14ac:dyDescent="0.3">
      <c r="I11855"/>
      <c r="J11855"/>
    </row>
    <row r="11856" spans="9:10" x14ac:dyDescent="0.3">
      <c r="I11856"/>
      <c r="J11856"/>
    </row>
    <row r="11857" spans="9:10" x14ac:dyDescent="0.3">
      <c r="I11857"/>
      <c r="J11857"/>
    </row>
    <row r="11858" spans="9:10" x14ac:dyDescent="0.3">
      <c r="I11858"/>
      <c r="J11858"/>
    </row>
    <row r="11859" spans="9:10" x14ac:dyDescent="0.3">
      <c r="I11859"/>
      <c r="J11859"/>
    </row>
    <row r="11860" spans="9:10" x14ac:dyDescent="0.3">
      <c r="I11860"/>
      <c r="J11860"/>
    </row>
    <row r="11861" spans="9:10" x14ac:dyDescent="0.3">
      <c r="I11861"/>
      <c r="J11861"/>
    </row>
    <row r="11862" spans="9:10" x14ac:dyDescent="0.3">
      <c r="I11862"/>
      <c r="J11862"/>
    </row>
    <row r="11863" spans="9:10" x14ac:dyDescent="0.3">
      <c r="I11863"/>
      <c r="J11863"/>
    </row>
    <row r="11864" spans="9:10" x14ac:dyDescent="0.3">
      <c r="I11864"/>
      <c r="J11864"/>
    </row>
    <row r="11865" spans="9:10" x14ac:dyDescent="0.3">
      <c r="I11865"/>
      <c r="J11865"/>
    </row>
    <row r="11866" spans="9:10" x14ac:dyDescent="0.3">
      <c r="I11866"/>
      <c r="J11866"/>
    </row>
    <row r="11867" spans="9:10" x14ac:dyDescent="0.3">
      <c r="I11867"/>
      <c r="J11867"/>
    </row>
    <row r="11868" spans="9:10" x14ac:dyDescent="0.3">
      <c r="I11868"/>
      <c r="J11868"/>
    </row>
    <row r="11869" spans="9:10" x14ac:dyDescent="0.3">
      <c r="I11869"/>
      <c r="J11869"/>
    </row>
    <row r="11870" spans="9:10" x14ac:dyDescent="0.3">
      <c r="I11870"/>
      <c r="J11870"/>
    </row>
    <row r="11871" spans="9:10" x14ac:dyDescent="0.3">
      <c r="I11871"/>
      <c r="J11871"/>
    </row>
    <row r="11872" spans="9:10" x14ac:dyDescent="0.3">
      <c r="I11872"/>
      <c r="J11872"/>
    </row>
    <row r="11873" spans="9:10" x14ac:dyDescent="0.3">
      <c r="I11873"/>
      <c r="J11873"/>
    </row>
    <row r="11874" spans="9:10" x14ac:dyDescent="0.3">
      <c r="I11874"/>
      <c r="J11874"/>
    </row>
    <row r="11875" spans="9:10" x14ac:dyDescent="0.3">
      <c r="I11875"/>
      <c r="J11875"/>
    </row>
    <row r="11876" spans="9:10" x14ac:dyDescent="0.3">
      <c r="I11876"/>
      <c r="J11876"/>
    </row>
    <row r="11877" spans="9:10" x14ac:dyDescent="0.3">
      <c r="I11877"/>
      <c r="J11877"/>
    </row>
    <row r="11878" spans="9:10" x14ac:dyDescent="0.3">
      <c r="I11878"/>
      <c r="J11878"/>
    </row>
    <row r="11879" spans="9:10" x14ac:dyDescent="0.3">
      <c r="I11879"/>
      <c r="J11879"/>
    </row>
    <row r="11880" spans="9:10" x14ac:dyDescent="0.3">
      <c r="I11880"/>
      <c r="J11880"/>
    </row>
    <row r="11881" spans="9:10" x14ac:dyDescent="0.3">
      <c r="I11881"/>
      <c r="J11881"/>
    </row>
    <row r="11882" spans="9:10" x14ac:dyDescent="0.3">
      <c r="I11882"/>
      <c r="J11882"/>
    </row>
    <row r="11883" spans="9:10" x14ac:dyDescent="0.3">
      <c r="I11883"/>
      <c r="J11883"/>
    </row>
    <row r="11884" spans="9:10" x14ac:dyDescent="0.3">
      <c r="I11884"/>
      <c r="J11884"/>
    </row>
    <row r="11885" spans="9:10" x14ac:dyDescent="0.3">
      <c r="I11885"/>
      <c r="J11885"/>
    </row>
    <row r="11886" spans="9:10" x14ac:dyDescent="0.3">
      <c r="I11886"/>
      <c r="J11886"/>
    </row>
    <row r="11887" spans="9:10" x14ac:dyDescent="0.3">
      <c r="I11887"/>
      <c r="J11887"/>
    </row>
    <row r="11888" spans="9:10" x14ac:dyDescent="0.3">
      <c r="I11888"/>
      <c r="J11888"/>
    </row>
    <row r="11889" spans="9:10" x14ac:dyDescent="0.3">
      <c r="I11889"/>
      <c r="J11889"/>
    </row>
    <row r="11890" spans="9:10" x14ac:dyDescent="0.3">
      <c r="I11890"/>
      <c r="J11890"/>
    </row>
    <row r="11891" spans="9:10" x14ac:dyDescent="0.3">
      <c r="I11891"/>
      <c r="J11891"/>
    </row>
    <row r="11892" spans="9:10" x14ac:dyDescent="0.3">
      <c r="I11892"/>
      <c r="J11892"/>
    </row>
    <row r="11893" spans="9:10" x14ac:dyDescent="0.3">
      <c r="I11893"/>
      <c r="J11893"/>
    </row>
    <row r="11894" spans="9:10" x14ac:dyDescent="0.3">
      <c r="I11894"/>
      <c r="J11894"/>
    </row>
    <row r="11895" spans="9:10" x14ac:dyDescent="0.3">
      <c r="I11895"/>
      <c r="J11895"/>
    </row>
    <row r="11896" spans="9:10" x14ac:dyDescent="0.3">
      <c r="I11896"/>
      <c r="J11896"/>
    </row>
    <row r="11897" spans="9:10" x14ac:dyDescent="0.3">
      <c r="I11897"/>
      <c r="J11897"/>
    </row>
    <row r="11898" spans="9:10" x14ac:dyDescent="0.3">
      <c r="I11898"/>
      <c r="J11898"/>
    </row>
    <row r="11899" spans="9:10" x14ac:dyDescent="0.3">
      <c r="I11899"/>
      <c r="J11899"/>
    </row>
    <row r="11900" spans="9:10" x14ac:dyDescent="0.3">
      <c r="I11900"/>
      <c r="J11900"/>
    </row>
    <row r="11901" spans="9:10" x14ac:dyDescent="0.3">
      <c r="I11901"/>
      <c r="J11901"/>
    </row>
    <row r="11902" spans="9:10" x14ac:dyDescent="0.3">
      <c r="I11902"/>
      <c r="J11902"/>
    </row>
    <row r="11903" spans="9:10" x14ac:dyDescent="0.3">
      <c r="I11903"/>
      <c r="J11903"/>
    </row>
    <row r="11904" spans="9:10" x14ac:dyDescent="0.3">
      <c r="I11904"/>
      <c r="J11904"/>
    </row>
    <row r="11905" spans="9:10" x14ac:dyDescent="0.3">
      <c r="I11905"/>
      <c r="J11905"/>
    </row>
    <row r="11906" spans="9:10" x14ac:dyDescent="0.3">
      <c r="I11906"/>
      <c r="J11906"/>
    </row>
    <row r="11907" spans="9:10" x14ac:dyDescent="0.3">
      <c r="I11907"/>
      <c r="J11907"/>
    </row>
    <row r="11908" spans="9:10" x14ac:dyDescent="0.3">
      <c r="I11908"/>
      <c r="J11908"/>
    </row>
    <row r="11909" spans="9:10" x14ac:dyDescent="0.3">
      <c r="I11909"/>
      <c r="J11909"/>
    </row>
    <row r="11910" spans="9:10" x14ac:dyDescent="0.3">
      <c r="I11910"/>
      <c r="J11910"/>
    </row>
    <row r="11911" spans="9:10" x14ac:dyDescent="0.3">
      <c r="I11911"/>
      <c r="J11911"/>
    </row>
    <row r="11912" spans="9:10" x14ac:dyDescent="0.3">
      <c r="I11912"/>
      <c r="J11912"/>
    </row>
    <row r="11913" spans="9:10" x14ac:dyDescent="0.3">
      <c r="I11913"/>
      <c r="J11913"/>
    </row>
    <row r="11914" spans="9:10" x14ac:dyDescent="0.3">
      <c r="I11914"/>
      <c r="J11914"/>
    </row>
    <row r="11915" spans="9:10" x14ac:dyDescent="0.3">
      <c r="I11915"/>
      <c r="J11915"/>
    </row>
    <row r="11916" spans="9:10" x14ac:dyDescent="0.3">
      <c r="I11916"/>
      <c r="J11916"/>
    </row>
    <row r="11917" spans="9:10" x14ac:dyDescent="0.3">
      <c r="I11917"/>
      <c r="J11917"/>
    </row>
    <row r="11918" spans="9:10" x14ac:dyDescent="0.3">
      <c r="I11918"/>
      <c r="J11918"/>
    </row>
    <row r="11919" spans="9:10" x14ac:dyDescent="0.3">
      <c r="I11919"/>
      <c r="J11919"/>
    </row>
    <row r="11920" spans="9:10" x14ac:dyDescent="0.3">
      <c r="I11920"/>
      <c r="J11920"/>
    </row>
    <row r="11921" spans="9:10" x14ac:dyDescent="0.3">
      <c r="I11921"/>
      <c r="J11921"/>
    </row>
    <row r="11922" spans="9:10" x14ac:dyDescent="0.3">
      <c r="I11922"/>
      <c r="J11922"/>
    </row>
    <row r="11923" spans="9:10" x14ac:dyDescent="0.3">
      <c r="I11923"/>
      <c r="J11923"/>
    </row>
    <row r="11924" spans="9:10" x14ac:dyDescent="0.3">
      <c r="I11924"/>
      <c r="J11924"/>
    </row>
    <row r="11925" spans="9:10" x14ac:dyDescent="0.3">
      <c r="I11925"/>
      <c r="J11925"/>
    </row>
    <row r="11926" spans="9:10" x14ac:dyDescent="0.3">
      <c r="I11926"/>
      <c r="J11926"/>
    </row>
    <row r="11927" spans="9:10" x14ac:dyDescent="0.3">
      <c r="I11927"/>
      <c r="J11927"/>
    </row>
    <row r="11928" spans="9:10" x14ac:dyDescent="0.3">
      <c r="I11928"/>
      <c r="J11928"/>
    </row>
    <row r="11929" spans="9:10" x14ac:dyDescent="0.3">
      <c r="I11929"/>
      <c r="J11929"/>
    </row>
    <row r="11930" spans="9:10" x14ac:dyDescent="0.3">
      <c r="I11930"/>
      <c r="J11930"/>
    </row>
    <row r="11931" spans="9:10" x14ac:dyDescent="0.3">
      <c r="I11931"/>
      <c r="J11931"/>
    </row>
    <row r="11932" spans="9:10" x14ac:dyDescent="0.3">
      <c r="I11932"/>
      <c r="J11932"/>
    </row>
    <row r="11933" spans="9:10" x14ac:dyDescent="0.3">
      <c r="I11933"/>
      <c r="J11933"/>
    </row>
    <row r="11934" spans="9:10" x14ac:dyDescent="0.3">
      <c r="I11934"/>
      <c r="J11934"/>
    </row>
    <row r="11935" spans="9:10" x14ac:dyDescent="0.3">
      <c r="I11935"/>
      <c r="J11935"/>
    </row>
    <row r="11936" spans="9:10" x14ac:dyDescent="0.3">
      <c r="I11936"/>
      <c r="J11936"/>
    </row>
    <row r="11937" spans="9:10" x14ac:dyDescent="0.3">
      <c r="I11937"/>
      <c r="J11937"/>
    </row>
    <row r="11938" spans="9:10" x14ac:dyDescent="0.3">
      <c r="I11938"/>
      <c r="J11938"/>
    </row>
    <row r="11939" spans="9:10" x14ac:dyDescent="0.3">
      <c r="I11939"/>
      <c r="J11939"/>
    </row>
    <row r="11940" spans="9:10" x14ac:dyDescent="0.3">
      <c r="I11940"/>
      <c r="J11940"/>
    </row>
    <row r="11941" spans="9:10" x14ac:dyDescent="0.3">
      <c r="I11941"/>
      <c r="J11941"/>
    </row>
    <row r="11942" spans="9:10" x14ac:dyDescent="0.3">
      <c r="I11942"/>
      <c r="J11942"/>
    </row>
    <row r="11943" spans="9:10" x14ac:dyDescent="0.3">
      <c r="I11943"/>
      <c r="J11943"/>
    </row>
    <row r="11944" spans="9:10" x14ac:dyDescent="0.3">
      <c r="I11944"/>
      <c r="J11944"/>
    </row>
    <row r="11945" spans="9:10" x14ac:dyDescent="0.3">
      <c r="I11945"/>
      <c r="J11945"/>
    </row>
    <row r="11946" spans="9:10" x14ac:dyDescent="0.3">
      <c r="I11946"/>
      <c r="J11946"/>
    </row>
    <row r="11947" spans="9:10" x14ac:dyDescent="0.3">
      <c r="I11947"/>
      <c r="J11947"/>
    </row>
    <row r="11948" spans="9:10" x14ac:dyDescent="0.3">
      <c r="I11948"/>
      <c r="J11948"/>
    </row>
    <row r="11949" spans="9:10" x14ac:dyDescent="0.3">
      <c r="I11949"/>
      <c r="J11949"/>
    </row>
    <row r="11950" spans="9:10" x14ac:dyDescent="0.3">
      <c r="I11950"/>
      <c r="J11950"/>
    </row>
    <row r="11951" spans="9:10" x14ac:dyDescent="0.3">
      <c r="I11951"/>
      <c r="J11951"/>
    </row>
    <row r="11952" spans="9:10" x14ac:dyDescent="0.3">
      <c r="I11952"/>
      <c r="J11952"/>
    </row>
    <row r="11953" spans="9:10" x14ac:dyDescent="0.3">
      <c r="I11953"/>
      <c r="J11953"/>
    </row>
    <row r="11954" spans="9:10" x14ac:dyDescent="0.3">
      <c r="I11954"/>
      <c r="J11954"/>
    </row>
    <row r="11955" spans="9:10" x14ac:dyDescent="0.3">
      <c r="I11955"/>
      <c r="J11955"/>
    </row>
    <row r="11956" spans="9:10" x14ac:dyDescent="0.3">
      <c r="I11956"/>
      <c r="J11956"/>
    </row>
    <row r="11957" spans="9:10" x14ac:dyDescent="0.3">
      <c r="I11957"/>
      <c r="J11957"/>
    </row>
    <row r="11958" spans="9:10" x14ac:dyDescent="0.3">
      <c r="I11958"/>
      <c r="J11958"/>
    </row>
    <row r="11959" spans="9:10" x14ac:dyDescent="0.3">
      <c r="I11959"/>
      <c r="J11959"/>
    </row>
    <row r="11960" spans="9:10" x14ac:dyDescent="0.3">
      <c r="I11960"/>
      <c r="J11960"/>
    </row>
    <row r="11961" spans="9:10" x14ac:dyDescent="0.3">
      <c r="I11961"/>
      <c r="J11961"/>
    </row>
    <row r="11962" spans="9:10" x14ac:dyDescent="0.3">
      <c r="I11962"/>
      <c r="J11962"/>
    </row>
    <row r="11963" spans="9:10" x14ac:dyDescent="0.3">
      <c r="I11963"/>
      <c r="J11963"/>
    </row>
    <row r="11964" spans="9:10" x14ac:dyDescent="0.3">
      <c r="I11964"/>
      <c r="J11964"/>
    </row>
    <row r="11965" spans="9:10" x14ac:dyDescent="0.3">
      <c r="I11965"/>
      <c r="J11965"/>
    </row>
    <row r="11966" spans="9:10" x14ac:dyDescent="0.3">
      <c r="I11966"/>
      <c r="J11966"/>
    </row>
    <row r="11967" spans="9:10" x14ac:dyDescent="0.3">
      <c r="I11967"/>
      <c r="J11967"/>
    </row>
    <row r="11968" spans="9:10" x14ac:dyDescent="0.3">
      <c r="I11968"/>
      <c r="J11968"/>
    </row>
    <row r="11969" spans="9:10" x14ac:dyDescent="0.3">
      <c r="I11969"/>
      <c r="J11969"/>
    </row>
    <row r="11970" spans="9:10" x14ac:dyDescent="0.3">
      <c r="I11970"/>
      <c r="J11970"/>
    </row>
    <row r="11971" spans="9:10" x14ac:dyDescent="0.3">
      <c r="I11971"/>
      <c r="J11971"/>
    </row>
    <row r="11972" spans="9:10" x14ac:dyDescent="0.3">
      <c r="I11972"/>
      <c r="J11972"/>
    </row>
    <row r="11973" spans="9:10" x14ac:dyDescent="0.3">
      <c r="I11973"/>
      <c r="J11973"/>
    </row>
    <row r="11974" spans="9:10" x14ac:dyDescent="0.3">
      <c r="I11974"/>
      <c r="J11974"/>
    </row>
    <row r="11975" spans="9:10" x14ac:dyDescent="0.3">
      <c r="I11975"/>
      <c r="J11975"/>
    </row>
    <row r="11976" spans="9:10" x14ac:dyDescent="0.3">
      <c r="I11976"/>
      <c r="J11976"/>
    </row>
    <row r="11977" spans="9:10" x14ac:dyDescent="0.3">
      <c r="I11977"/>
      <c r="J11977"/>
    </row>
    <row r="11978" spans="9:10" x14ac:dyDescent="0.3">
      <c r="I11978"/>
      <c r="J11978"/>
    </row>
    <row r="11979" spans="9:10" x14ac:dyDescent="0.3">
      <c r="I11979"/>
      <c r="J11979"/>
    </row>
    <row r="11980" spans="9:10" x14ac:dyDescent="0.3">
      <c r="I11980"/>
      <c r="J11980"/>
    </row>
    <row r="11981" spans="9:10" x14ac:dyDescent="0.3">
      <c r="I11981"/>
      <c r="J11981"/>
    </row>
    <row r="11982" spans="9:10" x14ac:dyDescent="0.3">
      <c r="I11982"/>
      <c r="J11982"/>
    </row>
    <row r="11983" spans="9:10" x14ac:dyDescent="0.3">
      <c r="I11983"/>
      <c r="J11983"/>
    </row>
    <row r="11984" spans="9:10" x14ac:dyDescent="0.3">
      <c r="I11984"/>
      <c r="J11984"/>
    </row>
    <row r="11985" spans="9:10" x14ac:dyDescent="0.3">
      <c r="I11985"/>
      <c r="J11985"/>
    </row>
    <row r="11986" spans="9:10" x14ac:dyDescent="0.3">
      <c r="I11986"/>
      <c r="J11986"/>
    </row>
    <row r="11987" spans="9:10" x14ac:dyDescent="0.3">
      <c r="I11987"/>
      <c r="J11987"/>
    </row>
    <row r="11988" spans="9:10" x14ac:dyDescent="0.3">
      <c r="I11988"/>
      <c r="J11988"/>
    </row>
    <row r="11989" spans="9:10" x14ac:dyDescent="0.3">
      <c r="I11989"/>
      <c r="J11989"/>
    </row>
    <row r="11990" spans="9:10" x14ac:dyDescent="0.3">
      <c r="I11990"/>
      <c r="J11990"/>
    </row>
    <row r="11991" spans="9:10" x14ac:dyDescent="0.3">
      <c r="I11991"/>
      <c r="J11991"/>
    </row>
    <row r="11992" spans="9:10" x14ac:dyDescent="0.3">
      <c r="I11992"/>
      <c r="J11992"/>
    </row>
    <row r="11993" spans="9:10" x14ac:dyDescent="0.3">
      <c r="I11993"/>
      <c r="J11993"/>
    </row>
    <row r="11994" spans="9:10" x14ac:dyDescent="0.3">
      <c r="I11994"/>
      <c r="J11994"/>
    </row>
    <row r="11995" spans="9:10" x14ac:dyDescent="0.3">
      <c r="I11995"/>
      <c r="J11995"/>
    </row>
    <row r="11996" spans="9:10" x14ac:dyDescent="0.3">
      <c r="I11996"/>
      <c r="J11996"/>
    </row>
    <row r="11997" spans="9:10" x14ac:dyDescent="0.3">
      <c r="I11997"/>
      <c r="J11997"/>
    </row>
    <row r="11998" spans="9:10" x14ac:dyDescent="0.3">
      <c r="I11998"/>
      <c r="J11998"/>
    </row>
    <row r="11999" spans="9:10" x14ac:dyDescent="0.3">
      <c r="I11999"/>
      <c r="J11999"/>
    </row>
    <row r="12000" spans="9:10" x14ac:dyDescent="0.3">
      <c r="I12000"/>
      <c r="J12000"/>
    </row>
    <row r="12001" spans="9:10" x14ac:dyDescent="0.3">
      <c r="I12001"/>
      <c r="J12001"/>
    </row>
    <row r="12002" spans="9:10" x14ac:dyDescent="0.3">
      <c r="I12002"/>
      <c r="J12002"/>
    </row>
    <row r="12003" spans="9:10" x14ac:dyDescent="0.3">
      <c r="I12003"/>
      <c r="J12003"/>
    </row>
    <row r="12004" spans="9:10" x14ac:dyDescent="0.3">
      <c r="I12004"/>
      <c r="J12004"/>
    </row>
    <row r="12005" spans="9:10" x14ac:dyDescent="0.3">
      <c r="I12005"/>
      <c r="J12005"/>
    </row>
    <row r="12006" spans="9:10" x14ac:dyDescent="0.3">
      <c r="I12006"/>
      <c r="J12006"/>
    </row>
    <row r="12007" spans="9:10" x14ac:dyDescent="0.3">
      <c r="I12007"/>
      <c r="J12007"/>
    </row>
    <row r="12008" spans="9:10" x14ac:dyDescent="0.3">
      <c r="I12008"/>
      <c r="J12008"/>
    </row>
    <row r="12009" spans="9:10" x14ac:dyDescent="0.3">
      <c r="I12009"/>
      <c r="J12009"/>
    </row>
    <row r="12010" spans="9:10" x14ac:dyDescent="0.3">
      <c r="I12010"/>
      <c r="J12010"/>
    </row>
    <row r="12011" spans="9:10" x14ac:dyDescent="0.3">
      <c r="I12011"/>
      <c r="J12011"/>
    </row>
    <row r="12012" spans="9:10" x14ac:dyDescent="0.3">
      <c r="I12012"/>
      <c r="J12012"/>
    </row>
    <row r="12013" spans="9:10" x14ac:dyDescent="0.3">
      <c r="I12013"/>
      <c r="J12013"/>
    </row>
    <row r="12014" spans="9:10" x14ac:dyDescent="0.3">
      <c r="I12014"/>
      <c r="J12014"/>
    </row>
    <row r="12015" spans="9:10" x14ac:dyDescent="0.3">
      <c r="I12015"/>
      <c r="J12015"/>
    </row>
    <row r="12016" spans="9:10" x14ac:dyDescent="0.3">
      <c r="I12016"/>
      <c r="J12016"/>
    </row>
    <row r="12017" spans="9:10" x14ac:dyDescent="0.3">
      <c r="I12017"/>
      <c r="J12017"/>
    </row>
    <row r="12018" spans="9:10" x14ac:dyDescent="0.3">
      <c r="I12018"/>
      <c r="J12018"/>
    </row>
    <row r="12019" spans="9:10" x14ac:dyDescent="0.3">
      <c r="I12019"/>
      <c r="J12019"/>
    </row>
    <row r="12020" spans="9:10" x14ac:dyDescent="0.3">
      <c r="I12020"/>
      <c r="J12020"/>
    </row>
    <row r="12021" spans="9:10" x14ac:dyDescent="0.3">
      <c r="I12021"/>
      <c r="J12021"/>
    </row>
    <row r="12022" spans="9:10" x14ac:dyDescent="0.3">
      <c r="I12022"/>
      <c r="J12022"/>
    </row>
    <row r="12023" spans="9:10" x14ac:dyDescent="0.3">
      <c r="I12023"/>
      <c r="J12023"/>
    </row>
    <row r="12024" spans="9:10" x14ac:dyDescent="0.3">
      <c r="I12024"/>
      <c r="J12024"/>
    </row>
    <row r="12025" spans="9:10" x14ac:dyDescent="0.3">
      <c r="I12025"/>
      <c r="J12025"/>
    </row>
    <row r="12026" spans="9:10" x14ac:dyDescent="0.3">
      <c r="I12026"/>
      <c r="J12026"/>
    </row>
    <row r="12027" spans="9:10" x14ac:dyDescent="0.3">
      <c r="I12027"/>
      <c r="J12027"/>
    </row>
    <row r="12028" spans="9:10" x14ac:dyDescent="0.3">
      <c r="I12028"/>
      <c r="J12028"/>
    </row>
    <row r="12029" spans="9:10" x14ac:dyDescent="0.3">
      <c r="I12029"/>
      <c r="J12029"/>
    </row>
    <row r="12030" spans="9:10" x14ac:dyDescent="0.3">
      <c r="I12030"/>
      <c r="J12030"/>
    </row>
    <row r="12031" spans="9:10" x14ac:dyDescent="0.3">
      <c r="I12031"/>
      <c r="J12031"/>
    </row>
    <row r="12032" spans="9:10" x14ac:dyDescent="0.3">
      <c r="I12032"/>
      <c r="J12032"/>
    </row>
    <row r="12033" spans="9:10" x14ac:dyDescent="0.3">
      <c r="I12033"/>
      <c r="J12033"/>
    </row>
    <row r="12034" spans="9:10" x14ac:dyDescent="0.3">
      <c r="I12034"/>
      <c r="J12034"/>
    </row>
    <row r="12035" spans="9:10" x14ac:dyDescent="0.3">
      <c r="I12035"/>
      <c r="J12035"/>
    </row>
    <row r="12036" spans="9:10" x14ac:dyDescent="0.3">
      <c r="I12036"/>
      <c r="J12036"/>
    </row>
    <row r="12037" spans="9:10" x14ac:dyDescent="0.3">
      <c r="I12037"/>
      <c r="J12037"/>
    </row>
    <row r="12038" spans="9:10" x14ac:dyDescent="0.3">
      <c r="I12038"/>
      <c r="J12038"/>
    </row>
    <row r="12039" spans="9:10" x14ac:dyDescent="0.3">
      <c r="I12039"/>
      <c r="J12039"/>
    </row>
    <row r="12040" spans="9:10" x14ac:dyDescent="0.3">
      <c r="I12040"/>
      <c r="J12040"/>
    </row>
    <row r="12041" spans="9:10" x14ac:dyDescent="0.3">
      <c r="I12041"/>
      <c r="J12041"/>
    </row>
    <row r="12042" spans="9:10" x14ac:dyDescent="0.3">
      <c r="I12042"/>
      <c r="J12042"/>
    </row>
    <row r="12043" spans="9:10" x14ac:dyDescent="0.3">
      <c r="I12043"/>
      <c r="J12043"/>
    </row>
    <row r="12044" spans="9:10" x14ac:dyDescent="0.3">
      <c r="I12044"/>
      <c r="J12044"/>
    </row>
    <row r="12045" spans="9:10" x14ac:dyDescent="0.3">
      <c r="I12045"/>
      <c r="J12045"/>
    </row>
    <row r="12046" spans="9:10" x14ac:dyDescent="0.3">
      <c r="I12046"/>
      <c r="J12046"/>
    </row>
    <row r="12047" spans="9:10" x14ac:dyDescent="0.3">
      <c r="I12047"/>
      <c r="J12047"/>
    </row>
    <row r="12048" spans="9:10" x14ac:dyDescent="0.3">
      <c r="I12048"/>
      <c r="J12048"/>
    </row>
    <row r="12049" spans="9:10" x14ac:dyDescent="0.3">
      <c r="I12049"/>
      <c r="J12049"/>
    </row>
    <row r="12050" spans="9:10" x14ac:dyDescent="0.3">
      <c r="I12050"/>
      <c r="J12050"/>
    </row>
    <row r="12051" spans="9:10" x14ac:dyDescent="0.3">
      <c r="I12051"/>
      <c r="J12051"/>
    </row>
    <row r="12052" spans="9:10" x14ac:dyDescent="0.3">
      <c r="I12052"/>
      <c r="J12052"/>
    </row>
    <row r="12053" spans="9:10" x14ac:dyDescent="0.3">
      <c r="I12053"/>
      <c r="J12053"/>
    </row>
    <row r="12054" spans="9:10" x14ac:dyDescent="0.3">
      <c r="I12054"/>
      <c r="J12054"/>
    </row>
    <row r="12055" spans="9:10" x14ac:dyDescent="0.3">
      <c r="I12055"/>
      <c r="J12055"/>
    </row>
    <row r="12056" spans="9:10" x14ac:dyDescent="0.3">
      <c r="I12056"/>
      <c r="J12056"/>
    </row>
    <row r="12057" spans="9:10" x14ac:dyDescent="0.3">
      <c r="I12057"/>
      <c r="J12057"/>
    </row>
    <row r="12058" spans="9:10" x14ac:dyDescent="0.3">
      <c r="I12058"/>
      <c r="J12058"/>
    </row>
    <row r="12059" spans="9:10" x14ac:dyDescent="0.3">
      <c r="I12059"/>
      <c r="J12059"/>
    </row>
    <row r="12060" spans="9:10" x14ac:dyDescent="0.3">
      <c r="I12060"/>
      <c r="J12060"/>
    </row>
    <row r="12061" spans="9:10" x14ac:dyDescent="0.3">
      <c r="I12061"/>
      <c r="J12061"/>
    </row>
    <row r="12062" spans="9:10" x14ac:dyDescent="0.3">
      <c r="I12062"/>
      <c r="J12062"/>
    </row>
    <row r="12063" spans="9:10" x14ac:dyDescent="0.3">
      <c r="I12063"/>
      <c r="J12063"/>
    </row>
    <row r="12064" spans="9:10" x14ac:dyDescent="0.3">
      <c r="I12064"/>
      <c r="J12064"/>
    </row>
    <row r="12065" spans="9:10" x14ac:dyDescent="0.3">
      <c r="I12065"/>
      <c r="J12065"/>
    </row>
    <row r="12066" spans="9:10" x14ac:dyDescent="0.3">
      <c r="I12066"/>
      <c r="J12066"/>
    </row>
    <row r="12067" spans="9:10" x14ac:dyDescent="0.3">
      <c r="I12067"/>
      <c r="J12067"/>
    </row>
    <row r="12068" spans="9:10" x14ac:dyDescent="0.3">
      <c r="I12068"/>
      <c r="J12068"/>
    </row>
    <row r="12069" spans="9:10" x14ac:dyDescent="0.3">
      <c r="I12069"/>
      <c r="J12069"/>
    </row>
    <row r="12070" spans="9:10" x14ac:dyDescent="0.3">
      <c r="I12070"/>
      <c r="J12070"/>
    </row>
    <row r="12071" spans="9:10" x14ac:dyDescent="0.3">
      <c r="I12071"/>
      <c r="J12071"/>
    </row>
    <row r="12072" spans="9:10" x14ac:dyDescent="0.3">
      <c r="I12072"/>
      <c r="J12072"/>
    </row>
    <row r="12073" spans="9:10" x14ac:dyDescent="0.3">
      <c r="I12073"/>
      <c r="J12073"/>
    </row>
    <row r="12074" spans="9:10" x14ac:dyDescent="0.3">
      <c r="I12074"/>
      <c r="J12074"/>
    </row>
    <row r="12075" spans="9:10" x14ac:dyDescent="0.3">
      <c r="I12075"/>
      <c r="J12075"/>
    </row>
    <row r="12076" spans="9:10" x14ac:dyDescent="0.3">
      <c r="I12076"/>
      <c r="J12076"/>
    </row>
    <row r="12077" spans="9:10" x14ac:dyDescent="0.3">
      <c r="I12077"/>
      <c r="J12077"/>
    </row>
    <row r="12078" spans="9:10" x14ac:dyDescent="0.3">
      <c r="I12078"/>
      <c r="J12078"/>
    </row>
    <row r="12079" spans="9:10" x14ac:dyDescent="0.3">
      <c r="I12079"/>
      <c r="J12079"/>
    </row>
    <row r="12080" spans="9:10" x14ac:dyDescent="0.3">
      <c r="I12080"/>
      <c r="J12080"/>
    </row>
    <row r="12081" spans="9:10" x14ac:dyDescent="0.3">
      <c r="I12081"/>
      <c r="J12081"/>
    </row>
    <row r="12082" spans="9:10" x14ac:dyDescent="0.3">
      <c r="I12082"/>
      <c r="J12082"/>
    </row>
    <row r="12083" spans="9:10" x14ac:dyDescent="0.3">
      <c r="I12083"/>
      <c r="J12083"/>
    </row>
    <row r="12084" spans="9:10" x14ac:dyDescent="0.3">
      <c r="I12084"/>
      <c r="J12084"/>
    </row>
    <row r="12085" spans="9:10" x14ac:dyDescent="0.3">
      <c r="I12085"/>
      <c r="J12085"/>
    </row>
    <row r="12086" spans="9:10" x14ac:dyDescent="0.3">
      <c r="I12086"/>
      <c r="J12086"/>
    </row>
    <row r="12087" spans="9:10" x14ac:dyDescent="0.3">
      <c r="I12087"/>
      <c r="J12087"/>
    </row>
    <row r="12088" spans="9:10" x14ac:dyDescent="0.3">
      <c r="I12088"/>
      <c r="J12088"/>
    </row>
    <row r="12089" spans="9:10" x14ac:dyDescent="0.3">
      <c r="I12089"/>
      <c r="J12089"/>
    </row>
    <row r="12090" spans="9:10" x14ac:dyDescent="0.3">
      <c r="I12090"/>
      <c r="J12090"/>
    </row>
    <row r="12091" spans="9:10" x14ac:dyDescent="0.3">
      <c r="I12091"/>
      <c r="J12091"/>
    </row>
    <row r="12092" spans="9:10" x14ac:dyDescent="0.3">
      <c r="I12092"/>
      <c r="J12092"/>
    </row>
    <row r="12093" spans="9:10" x14ac:dyDescent="0.3">
      <c r="I12093"/>
      <c r="J12093"/>
    </row>
    <row r="12094" spans="9:10" x14ac:dyDescent="0.3">
      <c r="I12094"/>
      <c r="J12094"/>
    </row>
    <row r="12095" spans="9:10" x14ac:dyDescent="0.3">
      <c r="I12095"/>
      <c r="J12095"/>
    </row>
    <row r="12096" spans="9:10" x14ac:dyDescent="0.3">
      <c r="I12096"/>
      <c r="J12096"/>
    </row>
    <row r="12097" spans="9:10" x14ac:dyDescent="0.3">
      <c r="I12097"/>
      <c r="J12097"/>
    </row>
    <row r="12098" spans="9:10" x14ac:dyDescent="0.3">
      <c r="I12098"/>
      <c r="J12098"/>
    </row>
    <row r="12099" spans="9:10" x14ac:dyDescent="0.3">
      <c r="I12099"/>
      <c r="J12099"/>
    </row>
    <row r="12100" spans="9:10" x14ac:dyDescent="0.3">
      <c r="I12100"/>
      <c r="J12100"/>
    </row>
    <row r="12101" spans="9:10" x14ac:dyDescent="0.3">
      <c r="I12101"/>
      <c r="J12101"/>
    </row>
    <row r="12102" spans="9:10" x14ac:dyDescent="0.3">
      <c r="I12102"/>
      <c r="J12102"/>
    </row>
    <row r="12103" spans="9:10" x14ac:dyDescent="0.3">
      <c r="I12103"/>
      <c r="J12103"/>
    </row>
    <row r="12104" spans="9:10" x14ac:dyDescent="0.3">
      <c r="I12104"/>
      <c r="J12104"/>
    </row>
    <row r="12105" spans="9:10" x14ac:dyDescent="0.3">
      <c r="I12105"/>
      <c r="J12105"/>
    </row>
    <row r="12106" spans="9:10" x14ac:dyDescent="0.3">
      <c r="I12106"/>
      <c r="J12106"/>
    </row>
    <row r="12107" spans="9:10" x14ac:dyDescent="0.3">
      <c r="I12107"/>
      <c r="J12107"/>
    </row>
    <row r="12108" spans="9:10" x14ac:dyDescent="0.3">
      <c r="I12108"/>
      <c r="J12108"/>
    </row>
    <row r="12109" spans="9:10" x14ac:dyDescent="0.3">
      <c r="I12109"/>
      <c r="J12109"/>
    </row>
    <row r="12110" spans="9:10" x14ac:dyDescent="0.3">
      <c r="I12110"/>
      <c r="J12110"/>
    </row>
    <row r="12111" spans="9:10" x14ac:dyDescent="0.3">
      <c r="I12111"/>
      <c r="J12111"/>
    </row>
    <row r="12112" spans="9:10" x14ac:dyDescent="0.3">
      <c r="I12112"/>
      <c r="J12112"/>
    </row>
    <row r="12113" spans="9:10" x14ac:dyDescent="0.3">
      <c r="I12113"/>
      <c r="J12113"/>
    </row>
    <row r="12114" spans="9:10" x14ac:dyDescent="0.3">
      <c r="I12114"/>
      <c r="J12114"/>
    </row>
    <row r="12115" spans="9:10" x14ac:dyDescent="0.3">
      <c r="I12115"/>
      <c r="J12115"/>
    </row>
    <row r="12116" spans="9:10" x14ac:dyDescent="0.3">
      <c r="I12116"/>
      <c r="J12116"/>
    </row>
    <row r="12117" spans="9:10" x14ac:dyDescent="0.3">
      <c r="I12117"/>
      <c r="J12117"/>
    </row>
    <row r="12118" spans="9:10" x14ac:dyDescent="0.3">
      <c r="I12118"/>
      <c r="J12118"/>
    </row>
    <row r="12119" spans="9:10" x14ac:dyDescent="0.3">
      <c r="I12119"/>
      <c r="J12119"/>
    </row>
    <row r="12120" spans="9:10" x14ac:dyDescent="0.3">
      <c r="I12120"/>
      <c r="J12120"/>
    </row>
    <row r="12121" spans="9:10" x14ac:dyDescent="0.3">
      <c r="I12121"/>
      <c r="J12121"/>
    </row>
    <row r="12122" spans="9:10" x14ac:dyDescent="0.3">
      <c r="I12122"/>
      <c r="J12122"/>
    </row>
    <row r="12123" spans="9:10" x14ac:dyDescent="0.3">
      <c r="I12123"/>
      <c r="J12123"/>
    </row>
    <row r="12124" spans="9:10" x14ac:dyDescent="0.3">
      <c r="I12124"/>
      <c r="J12124"/>
    </row>
    <row r="12125" spans="9:10" x14ac:dyDescent="0.3">
      <c r="I12125"/>
      <c r="J12125"/>
    </row>
    <row r="12126" spans="9:10" x14ac:dyDescent="0.3">
      <c r="I12126"/>
      <c r="J12126"/>
    </row>
    <row r="12127" spans="9:10" x14ac:dyDescent="0.3">
      <c r="I12127"/>
      <c r="J12127"/>
    </row>
    <row r="12128" spans="9:10" x14ac:dyDescent="0.3">
      <c r="I12128"/>
      <c r="J12128"/>
    </row>
    <row r="12129" spans="9:10" x14ac:dyDescent="0.3">
      <c r="I12129"/>
      <c r="J12129"/>
    </row>
    <row r="12130" spans="9:10" x14ac:dyDescent="0.3">
      <c r="I12130"/>
      <c r="J12130"/>
    </row>
    <row r="12131" spans="9:10" x14ac:dyDescent="0.3">
      <c r="I12131"/>
      <c r="J12131"/>
    </row>
    <row r="12132" spans="9:10" x14ac:dyDescent="0.3">
      <c r="I12132"/>
      <c r="J12132"/>
    </row>
    <row r="12133" spans="9:10" x14ac:dyDescent="0.3">
      <c r="I12133"/>
      <c r="J12133"/>
    </row>
    <row r="12134" spans="9:10" x14ac:dyDescent="0.3">
      <c r="I12134"/>
      <c r="J12134"/>
    </row>
    <row r="12135" spans="9:10" x14ac:dyDescent="0.3">
      <c r="I12135"/>
      <c r="J12135"/>
    </row>
    <row r="12136" spans="9:10" x14ac:dyDescent="0.3">
      <c r="I12136"/>
      <c r="J12136"/>
    </row>
    <row r="12137" spans="9:10" x14ac:dyDescent="0.3">
      <c r="I12137"/>
      <c r="J12137"/>
    </row>
    <row r="12138" spans="9:10" x14ac:dyDescent="0.3">
      <c r="I12138"/>
      <c r="J12138"/>
    </row>
    <row r="12139" spans="9:10" x14ac:dyDescent="0.3">
      <c r="I12139"/>
      <c r="J12139"/>
    </row>
    <row r="12140" spans="9:10" x14ac:dyDescent="0.3">
      <c r="I12140"/>
      <c r="J12140"/>
    </row>
    <row r="12141" spans="9:10" x14ac:dyDescent="0.3">
      <c r="I12141"/>
      <c r="J12141"/>
    </row>
    <row r="12142" spans="9:10" x14ac:dyDescent="0.3">
      <c r="I12142"/>
      <c r="J12142"/>
    </row>
    <row r="12143" spans="9:10" x14ac:dyDescent="0.3">
      <c r="I12143"/>
      <c r="J12143"/>
    </row>
    <row r="12144" spans="9:10" x14ac:dyDescent="0.3">
      <c r="I12144"/>
      <c r="J12144"/>
    </row>
    <row r="12145" spans="9:10" x14ac:dyDescent="0.3">
      <c r="I12145"/>
      <c r="J12145"/>
    </row>
    <row r="12146" spans="9:10" x14ac:dyDescent="0.3">
      <c r="I12146"/>
      <c r="J12146"/>
    </row>
    <row r="12147" spans="9:10" x14ac:dyDescent="0.3">
      <c r="I12147"/>
      <c r="J12147"/>
    </row>
    <row r="12148" spans="9:10" x14ac:dyDescent="0.3">
      <c r="I12148"/>
      <c r="J12148"/>
    </row>
    <row r="12149" spans="9:10" x14ac:dyDescent="0.3">
      <c r="I12149"/>
      <c r="J12149"/>
    </row>
    <row r="12150" spans="9:10" x14ac:dyDescent="0.3">
      <c r="I12150"/>
      <c r="J12150"/>
    </row>
    <row r="12151" spans="9:10" x14ac:dyDescent="0.3">
      <c r="I12151"/>
      <c r="J12151"/>
    </row>
    <row r="12152" spans="9:10" x14ac:dyDescent="0.3">
      <c r="I12152"/>
      <c r="J12152"/>
    </row>
    <row r="12153" spans="9:10" x14ac:dyDescent="0.3">
      <c r="I12153"/>
      <c r="J12153"/>
    </row>
    <row r="12154" spans="9:10" x14ac:dyDescent="0.3">
      <c r="I12154"/>
      <c r="J12154"/>
    </row>
    <row r="12155" spans="9:10" x14ac:dyDescent="0.3">
      <c r="I12155"/>
      <c r="J12155"/>
    </row>
    <row r="12156" spans="9:10" x14ac:dyDescent="0.3">
      <c r="I12156"/>
      <c r="J12156"/>
    </row>
    <row r="12157" spans="9:10" x14ac:dyDescent="0.3">
      <c r="I12157"/>
      <c r="J12157"/>
    </row>
    <row r="12158" spans="9:10" x14ac:dyDescent="0.3">
      <c r="I12158"/>
      <c r="J12158"/>
    </row>
    <row r="12159" spans="9:10" x14ac:dyDescent="0.3">
      <c r="I12159"/>
      <c r="J12159"/>
    </row>
    <row r="12160" spans="9:10" x14ac:dyDescent="0.3">
      <c r="I12160"/>
      <c r="J12160"/>
    </row>
    <row r="12161" spans="9:10" x14ac:dyDescent="0.3">
      <c r="I12161"/>
      <c r="J12161"/>
    </row>
    <row r="12162" spans="9:10" x14ac:dyDescent="0.3">
      <c r="I12162"/>
      <c r="J12162"/>
    </row>
    <row r="12163" spans="9:10" x14ac:dyDescent="0.3">
      <c r="I12163"/>
      <c r="J12163"/>
    </row>
    <row r="12164" spans="9:10" x14ac:dyDescent="0.3">
      <c r="I12164"/>
      <c r="J12164"/>
    </row>
    <row r="12165" spans="9:10" x14ac:dyDescent="0.3">
      <c r="I12165"/>
      <c r="J12165"/>
    </row>
    <row r="12166" spans="9:10" x14ac:dyDescent="0.3">
      <c r="I12166"/>
      <c r="J12166"/>
    </row>
    <row r="12167" spans="9:10" x14ac:dyDescent="0.3">
      <c r="I12167"/>
      <c r="J12167"/>
    </row>
    <row r="12168" spans="9:10" x14ac:dyDescent="0.3">
      <c r="I12168"/>
      <c r="J12168"/>
    </row>
    <row r="12169" spans="9:10" x14ac:dyDescent="0.3">
      <c r="I12169"/>
      <c r="J12169"/>
    </row>
    <row r="12170" spans="9:10" x14ac:dyDescent="0.3">
      <c r="I12170"/>
      <c r="J12170"/>
    </row>
    <row r="12171" spans="9:10" x14ac:dyDescent="0.3">
      <c r="I12171"/>
      <c r="J12171"/>
    </row>
    <row r="12172" spans="9:10" x14ac:dyDescent="0.3">
      <c r="I12172"/>
      <c r="J12172"/>
    </row>
    <row r="12173" spans="9:10" x14ac:dyDescent="0.3">
      <c r="I12173"/>
      <c r="J12173"/>
    </row>
    <row r="12174" spans="9:10" x14ac:dyDescent="0.3">
      <c r="I12174"/>
      <c r="J12174"/>
    </row>
    <row r="12175" spans="9:10" x14ac:dyDescent="0.3">
      <c r="I12175"/>
      <c r="J12175"/>
    </row>
    <row r="12176" spans="9:10" x14ac:dyDescent="0.3">
      <c r="I12176"/>
      <c r="J12176"/>
    </row>
    <row r="12177" spans="9:10" x14ac:dyDescent="0.3">
      <c r="I12177"/>
      <c r="J12177"/>
    </row>
    <row r="12178" spans="9:10" x14ac:dyDescent="0.3">
      <c r="I12178"/>
      <c r="J12178"/>
    </row>
    <row r="12179" spans="9:10" x14ac:dyDescent="0.3">
      <c r="I12179"/>
      <c r="J12179"/>
    </row>
    <row r="12180" spans="9:10" x14ac:dyDescent="0.3">
      <c r="I12180"/>
      <c r="J12180"/>
    </row>
    <row r="12181" spans="9:10" x14ac:dyDescent="0.3">
      <c r="I12181"/>
      <c r="J12181"/>
    </row>
    <row r="12182" spans="9:10" x14ac:dyDescent="0.3">
      <c r="I12182"/>
      <c r="J12182"/>
    </row>
    <row r="12183" spans="9:10" x14ac:dyDescent="0.3">
      <c r="I12183"/>
      <c r="J12183"/>
    </row>
    <row r="12184" spans="9:10" x14ac:dyDescent="0.3">
      <c r="I12184"/>
      <c r="J12184"/>
    </row>
    <row r="12185" spans="9:10" x14ac:dyDescent="0.3">
      <c r="I12185"/>
      <c r="J12185"/>
    </row>
    <row r="12186" spans="9:10" x14ac:dyDescent="0.3">
      <c r="I12186"/>
      <c r="J12186"/>
    </row>
    <row r="12187" spans="9:10" x14ac:dyDescent="0.3">
      <c r="I12187"/>
      <c r="J12187"/>
    </row>
    <row r="12188" spans="9:10" x14ac:dyDescent="0.3">
      <c r="I12188"/>
      <c r="J12188"/>
    </row>
    <row r="12189" spans="9:10" x14ac:dyDescent="0.3">
      <c r="I12189"/>
      <c r="J12189"/>
    </row>
    <row r="12190" spans="9:10" x14ac:dyDescent="0.3">
      <c r="I12190"/>
      <c r="J12190"/>
    </row>
    <row r="12191" spans="9:10" x14ac:dyDescent="0.3">
      <c r="I12191"/>
      <c r="J12191"/>
    </row>
    <row r="12192" spans="9:10" x14ac:dyDescent="0.3">
      <c r="I12192"/>
      <c r="J12192"/>
    </row>
    <row r="12193" spans="9:10" x14ac:dyDescent="0.3">
      <c r="I12193"/>
      <c r="J12193"/>
    </row>
    <row r="12194" spans="9:10" x14ac:dyDescent="0.3">
      <c r="I12194"/>
      <c r="J12194"/>
    </row>
    <row r="12195" spans="9:10" x14ac:dyDescent="0.3">
      <c r="I12195"/>
      <c r="J12195"/>
    </row>
    <row r="12196" spans="9:10" x14ac:dyDescent="0.3">
      <c r="I12196"/>
      <c r="J12196"/>
    </row>
    <row r="12197" spans="9:10" x14ac:dyDescent="0.3">
      <c r="I12197"/>
      <c r="J12197"/>
    </row>
    <row r="12198" spans="9:10" x14ac:dyDescent="0.3">
      <c r="I12198"/>
      <c r="J12198"/>
    </row>
    <row r="12199" spans="9:10" x14ac:dyDescent="0.3">
      <c r="I12199"/>
      <c r="J12199"/>
    </row>
    <row r="12200" spans="9:10" x14ac:dyDescent="0.3">
      <c r="I12200"/>
      <c r="J12200"/>
    </row>
    <row r="12201" spans="9:10" x14ac:dyDescent="0.3">
      <c r="I12201"/>
      <c r="J12201"/>
    </row>
    <row r="12202" spans="9:10" x14ac:dyDescent="0.3">
      <c r="I12202"/>
      <c r="J12202"/>
    </row>
    <row r="12203" spans="9:10" x14ac:dyDescent="0.3">
      <c r="I12203"/>
      <c r="J12203"/>
    </row>
    <row r="12204" spans="9:10" x14ac:dyDescent="0.3">
      <c r="I12204"/>
      <c r="J12204"/>
    </row>
    <row r="12205" spans="9:10" x14ac:dyDescent="0.3">
      <c r="I12205"/>
      <c r="J12205"/>
    </row>
    <row r="12206" spans="9:10" x14ac:dyDescent="0.3">
      <c r="I12206"/>
      <c r="J12206"/>
    </row>
    <row r="12207" spans="9:10" x14ac:dyDescent="0.3">
      <c r="I12207"/>
      <c r="J12207"/>
    </row>
    <row r="12208" spans="9:10" x14ac:dyDescent="0.3">
      <c r="I12208"/>
      <c r="J12208"/>
    </row>
    <row r="12209" spans="9:10" x14ac:dyDescent="0.3">
      <c r="I12209"/>
      <c r="J12209"/>
    </row>
    <row r="12210" spans="9:10" x14ac:dyDescent="0.3">
      <c r="I12210"/>
      <c r="J12210"/>
    </row>
    <row r="12211" spans="9:10" x14ac:dyDescent="0.3">
      <c r="I12211"/>
      <c r="J12211"/>
    </row>
    <row r="12212" spans="9:10" x14ac:dyDescent="0.3">
      <c r="I12212"/>
      <c r="J12212"/>
    </row>
    <row r="12213" spans="9:10" x14ac:dyDescent="0.3">
      <c r="I12213"/>
      <c r="J12213"/>
    </row>
    <row r="12214" spans="9:10" x14ac:dyDescent="0.3">
      <c r="I12214"/>
      <c r="J12214"/>
    </row>
    <row r="12215" spans="9:10" x14ac:dyDescent="0.3">
      <c r="I12215"/>
      <c r="J12215"/>
    </row>
    <row r="12216" spans="9:10" x14ac:dyDescent="0.3">
      <c r="I12216"/>
      <c r="J12216"/>
    </row>
    <row r="12217" spans="9:10" x14ac:dyDescent="0.3">
      <c r="I12217"/>
      <c r="J12217"/>
    </row>
    <row r="12218" spans="9:10" x14ac:dyDescent="0.3">
      <c r="I12218"/>
      <c r="J12218"/>
    </row>
    <row r="12219" spans="9:10" x14ac:dyDescent="0.3">
      <c r="I12219"/>
      <c r="J12219"/>
    </row>
    <row r="12220" spans="9:10" x14ac:dyDescent="0.3">
      <c r="I12220"/>
      <c r="J12220"/>
    </row>
    <row r="12221" spans="9:10" x14ac:dyDescent="0.3">
      <c r="I12221"/>
      <c r="J12221"/>
    </row>
    <row r="12222" spans="9:10" x14ac:dyDescent="0.3">
      <c r="I12222"/>
      <c r="J12222"/>
    </row>
    <row r="12223" spans="9:10" x14ac:dyDescent="0.3">
      <c r="I12223"/>
      <c r="J12223"/>
    </row>
    <row r="12224" spans="9:10" x14ac:dyDescent="0.3">
      <c r="I12224"/>
      <c r="J12224"/>
    </row>
    <row r="12225" spans="9:10" x14ac:dyDescent="0.3">
      <c r="I12225"/>
      <c r="J12225"/>
    </row>
    <row r="12226" spans="9:10" x14ac:dyDescent="0.3">
      <c r="I12226"/>
      <c r="J12226"/>
    </row>
    <row r="12227" spans="9:10" x14ac:dyDescent="0.3">
      <c r="I12227"/>
      <c r="J12227"/>
    </row>
    <row r="12228" spans="9:10" x14ac:dyDescent="0.3">
      <c r="I12228"/>
      <c r="J12228"/>
    </row>
    <row r="12229" spans="9:10" x14ac:dyDescent="0.3">
      <c r="I12229"/>
      <c r="J12229"/>
    </row>
    <row r="12230" spans="9:10" x14ac:dyDescent="0.3">
      <c r="I12230"/>
      <c r="J12230"/>
    </row>
    <row r="12231" spans="9:10" x14ac:dyDescent="0.3">
      <c r="I12231"/>
      <c r="J12231"/>
    </row>
    <row r="12232" spans="9:10" x14ac:dyDescent="0.3">
      <c r="I12232"/>
      <c r="J12232"/>
    </row>
    <row r="12233" spans="9:10" x14ac:dyDescent="0.3">
      <c r="I12233"/>
      <c r="J12233"/>
    </row>
    <row r="12234" spans="9:10" x14ac:dyDescent="0.3">
      <c r="I12234"/>
      <c r="J12234"/>
    </row>
    <row r="12235" spans="9:10" x14ac:dyDescent="0.3">
      <c r="I12235"/>
      <c r="J12235"/>
    </row>
    <row r="12236" spans="9:10" x14ac:dyDescent="0.3">
      <c r="I12236"/>
      <c r="J12236"/>
    </row>
    <row r="12237" spans="9:10" x14ac:dyDescent="0.3">
      <c r="I12237"/>
      <c r="J12237"/>
    </row>
    <row r="12238" spans="9:10" x14ac:dyDescent="0.3">
      <c r="I12238"/>
      <c r="J12238"/>
    </row>
    <row r="12239" spans="9:10" x14ac:dyDescent="0.3">
      <c r="I12239"/>
      <c r="J12239"/>
    </row>
    <row r="12240" spans="9:10" x14ac:dyDescent="0.3">
      <c r="I12240"/>
      <c r="J12240"/>
    </row>
    <row r="12241" spans="9:10" x14ac:dyDescent="0.3">
      <c r="I12241"/>
      <c r="J12241"/>
    </row>
    <row r="12242" spans="9:10" x14ac:dyDescent="0.3">
      <c r="I12242"/>
      <c r="J12242"/>
    </row>
    <row r="12243" spans="9:10" x14ac:dyDescent="0.3">
      <c r="I12243"/>
      <c r="J12243"/>
    </row>
    <row r="12244" spans="9:10" x14ac:dyDescent="0.3">
      <c r="I12244"/>
      <c r="J12244"/>
    </row>
    <row r="12245" spans="9:10" x14ac:dyDescent="0.3">
      <c r="I12245"/>
      <c r="J12245"/>
    </row>
    <row r="12246" spans="9:10" x14ac:dyDescent="0.3">
      <c r="I12246"/>
      <c r="J12246"/>
    </row>
    <row r="12247" spans="9:10" x14ac:dyDescent="0.3">
      <c r="I12247"/>
      <c r="J12247"/>
    </row>
    <row r="12248" spans="9:10" x14ac:dyDescent="0.3">
      <c r="I12248"/>
      <c r="J12248"/>
    </row>
    <row r="12249" spans="9:10" x14ac:dyDescent="0.3">
      <c r="I12249"/>
      <c r="J12249"/>
    </row>
    <row r="12250" spans="9:10" x14ac:dyDescent="0.3">
      <c r="I12250"/>
      <c r="J12250"/>
    </row>
    <row r="12251" spans="9:10" x14ac:dyDescent="0.3">
      <c r="I12251"/>
      <c r="J12251"/>
    </row>
    <row r="12252" spans="9:10" x14ac:dyDescent="0.3">
      <c r="I12252"/>
      <c r="J12252"/>
    </row>
    <row r="12253" spans="9:10" x14ac:dyDescent="0.3">
      <c r="I12253"/>
      <c r="J12253"/>
    </row>
    <row r="12254" spans="9:10" x14ac:dyDescent="0.3">
      <c r="I12254"/>
      <c r="J12254"/>
    </row>
    <row r="12255" spans="9:10" x14ac:dyDescent="0.3">
      <c r="I12255"/>
      <c r="J12255"/>
    </row>
    <row r="12256" spans="9:10" x14ac:dyDescent="0.3">
      <c r="I12256"/>
      <c r="J12256"/>
    </row>
    <row r="12257" spans="9:10" x14ac:dyDescent="0.3">
      <c r="I12257"/>
      <c r="J12257"/>
    </row>
    <row r="12258" spans="9:10" x14ac:dyDescent="0.3">
      <c r="I12258"/>
      <c r="J12258"/>
    </row>
    <row r="12259" spans="9:10" x14ac:dyDescent="0.3">
      <c r="I12259"/>
      <c r="J12259"/>
    </row>
    <row r="12260" spans="9:10" x14ac:dyDescent="0.3">
      <c r="I12260"/>
      <c r="J12260"/>
    </row>
    <row r="12261" spans="9:10" x14ac:dyDescent="0.3">
      <c r="I12261"/>
      <c r="J12261"/>
    </row>
    <row r="12262" spans="9:10" x14ac:dyDescent="0.3">
      <c r="I12262"/>
      <c r="J12262"/>
    </row>
    <row r="12263" spans="9:10" x14ac:dyDescent="0.3">
      <c r="I12263"/>
      <c r="J12263"/>
    </row>
    <row r="12264" spans="9:10" x14ac:dyDescent="0.3">
      <c r="I12264"/>
      <c r="J12264"/>
    </row>
    <row r="12265" spans="9:10" x14ac:dyDescent="0.3">
      <c r="I12265"/>
      <c r="J12265"/>
    </row>
    <row r="12266" spans="9:10" x14ac:dyDescent="0.3">
      <c r="I12266"/>
      <c r="J12266"/>
    </row>
    <row r="12267" spans="9:10" x14ac:dyDescent="0.3">
      <c r="I12267"/>
      <c r="J12267"/>
    </row>
    <row r="12268" spans="9:10" x14ac:dyDescent="0.3">
      <c r="I12268"/>
      <c r="J12268"/>
    </row>
    <row r="12269" spans="9:10" x14ac:dyDescent="0.3">
      <c r="I12269"/>
      <c r="J12269"/>
    </row>
    <row r="12270" spans="9:10" x14ac:dyDescent="0.3">
      <c r="I12270"/>
      <c r="J12270"/>
    </row>
    <row r="12271" spans="9:10" x14ac:dyDescent="0.3">
      <c r="I12271"/>
      <c r="J12271"/>
    </row>
    <row r="12272" spans="9:10" x14ac:dyDescent="0.3">
      <c r="I12272"/>
      <c r="J12272"/>
    </row>
    <row r="12273" spans="9:10" x14ac:dyDescent="0.3">
      <c r="I12273"/>
      <c r="J12273"/>
    </row>
    <row r="12274" spans="9:10" x14ac:dyDescent="0.3">
      <c r="I12274"/>
      <c r="J12274"/>
    </row>
    <row r="12275" spans="9:10" x14ac:dyDescent="0.3">
      <c r="I12275"/>
      <c r="J12275"/>
    </row>
    <row r="12276" spans="9:10" x14ac:dyDescent="0.3">
      <c r="I12276"/>
      <c r="J12276"/>
    </row>
    <row r="12277" spans="9:10" x14ac:dyDescent="0.3">
      <c r="I12277"/>
      <c r="J12277"/>
    </row>
    <row r="12278" spans="9:10" x14ac:dyDescent="0.3">
      <c r="I12278"/>
      <c r="J12278"/>
    </row>
    <row r="12279" spans="9:10" x14ac:dyDescent="0.3">
      <c r="I12279"/>
      <c r="J12279"/>
    </row>
    <row r="12280" spans="9:10" x14ac:dyDescent="0.3">
      <c r="I12280"/>
      <c r="J12280"/>
    </row>
    <row r="12281" spans="9:10" x14ac:dyDescent="0.3">
      <c r="I12281"/>
      <c r="J12281"/>
    </row>
    <row r="12282" spans="9:10" x14ac:dyDescent="0.3">
      <c r="I12282"/>
      <c r="J12282"/>
    </row>
    <row r="12283" spans="9:10" x14ac:dyDescent="0.3">
      <c r="I12283"/>
      <c r="J12283"/>
    </row>
    <row r="12284" spans="9:10" x14ac:dyDescent="0.3">
      <c r="I12284"/>
      <c r="J12284"/>
    </row>
    <row r="12285" spans="9:10" x14ac:dyDescent="0.3">
      <c r="I12285"/>
      <c r="J12285"/>
    </row>
    <row r="12286" spans="9:10" x14ac:dyDescent="0.3">
      <c r="I12286"/>
      <c r="J12286"/>
    </row>
    <row r="12287" spans="9:10" x14ac:dyDescent="0.3">
      <c r="I12287"/>
      <c r="J12287"/>
    </row>
    <row r="12288" spans="9:10" x14ac:dyDescent="0.3">
      <c r="I12288"/>
      <c r="J12288"/>
    </row>
    <row r="12289" spans="9:10" x14ac:dyDescent="0.3">
      <c r="I12289"/>
      <c r="J12289"/>
    </row>
    <row r="12290" spans="9:10" x14ac:dyDescent="0.3">
      <c r="I12290"/>
      <c r="J12290"/>
    </row>
    <row r="12291" spans="9:10" x14ac:dyDescent="0.3">
      <c r="I12291"/>
      <c r="J12291"/>
    </row>
    <row r="12292" spans="9:10" x14ac:dyDescent="0.3">
      <c r="I12292"/>
      <c r="J12292"/>
    </row>
    <row r="12293" spans="9:10" x14ac:dyDescent="0.3">
      <c r="I12293"/>
      <c r="J12293"/>
    </row>
    <row r="12294" spans="9:10" x14ac:dyDescent="0.3">
      <c r="I12294"/>
      <c r="J12294"/>
    </row>
    <row r="12295" spans="9:10" x14ac:dyDescent="0.3">
      <c r="I12295"/>
      <c r="J12295"/>
    </row>
    <row r="12296" spans="9:10" x14ac:dyDescent="0.3">
      <c r="I12296"/>
      <c r="J12296"/>
    </row>
    <row r="12297" spans="9:10" x14ac:dyDescent="0.3">
      <c r="I12297"/>
      <c r="J12297"/>
    </row>
    <row r="12298" spans="9:10" x14ac:dyDescent="0.3">
      <c r="I12298"/>
      <c r="J12298"/>
    </row>
    <row r="12299" spans="9:10" x14ac:dyDescent="0.3">
      <c r="I12299"/>
      <c r="J12299"/>
    </row>
    <row r="12300" spans="9:10" x14ac:dyDescent="0.3">
      <c r="I12300"/>
      <c r="J12300"/>
    </row>
    <row r="12301" spans="9:10" x14ac:dyDescent="0.3">
      <c r="I12301"/>
      <c r="J12301"/>
    </row>
    <row r="12302" spans="9:10" x14ac:dyDescent="0.3">
      <c r="I12302"/>
      <c r="J12302"/>
    </row>
    <row r="12303" spans="9:10" x14ac:dyDescent="0.3">
      <c r="I12303"/>
      <c r="J12303"/>
    </row>
    <row r="12304" spans="9:10" x14ac:dyDescent="0.3">
      <c r="I12304"/>
      <c r="J12304"/>
    </row>
    <row r="12305" spans="9:10" x14ac:dyDescent="0.3">
      <c r="I12305"/>
      <c r="J12305"/>
    </row>
    <row r="12306" spans="9:10" x14ac:dyDescent="0.3">
      <c r="I12306"/>
      <c r="J12306"/>
    </row>
    <row r="12307" spans="9:10" x14ac:dyDescent="0.3">
      <c r="I12307"/>
      <c r="J12307"/>
    </row>
    <row r="12308" spans="9:10" x14ac:dyDescent="0.3">
      <c r="I12308"/>
      <c r="J12308"/>
    </row>
    <row r="12309" spans="9:10" x14ac:dyDescent="0.3">
      <c r="I12309"/>
      <c r="J12309"/>
    </row>
    <row r="12310" spans="9:10" x14ac:dyDescent="0.3">
      <c r="I12310"/>
      <c r="J12310"/>
    </row>
    <row r="12311" spans="9:10" x14ac:dyDescent="0.3">
      <c r="I12311"/>
      <c r="J12311"/>
    </row>
    <row r="12312" spans="9:10" x14ac:dyDescent="0.3">
      <c r="I12312"/>
      <c r="J12312"/>
    </row>
    <row r="12313" spans="9:10" x14ac:dyDescent="0.3">
      <c r="I12313"/>
      <c r="J12313"/>
    </row>
    <row r="12314" spans="9:10" x14ac:dyDescent="0.3">
      <c r="I12314"/>
      <c r="J12314"/>
    </row>
    <row r="12315" spans="9:10" x14ac:dyDescent="0.3">
      <c r="I12315"/>
      <c r="J12315"/>
    </row>
    <row r="12316" spans="9:10" x14ac:dyDescent="0.3">
      <c r="I12316"/>
      <c r="J12316"/>
    </row>
    <row r="12317" spans="9:10" x14ac:dyDescent="0.3">
      <c r="I12317"/>
      <c r="J12317"/>
    </row>
    <row r="12318" spans="9:10" x14ac:dyDescent="0.3">
      <c r="I12318"/>
      <c r="J12318"/>
    </row>
    <row r="12319" spans="9:10" x14ac:dyDescent="0.3">
      <c r="I12319"/>
      <c r="J12319"/>
    </row>
    <row r="12320" spans="9:10" x14ac:dyDescent="0.3">
      <c r="I12320"/>
      <c r="J12320"/>
    </row>
    <row r="12321" spans="9:10" x14ac:dyDescent="0.3">
      <c r="I12321"/>
      <c r="J12321"/>
    </row>
    <row r="12322" spans="9:10" x14ac:dyDescent="0.3">
      <c r="I12322"/>
      <c r="J12322"/>
    </row>
    <row r="12323" spans="9:10" x14ac:dyDescent="0.3">
      <c r="I12323"/>
      <c r="J12323"/>
    </row>
    <row r="12324" spans="9:10" x14ac:dyDescent="0.3">
      <c r="I12324"/>
      <c r="J12324"/>
    </row>
    <row r="12325" spans="9:10" x14ac:dyDescent="0.3">
      <c r="I12325"/>
      <c r="J12325"/>
    </row>
    <row r="12326" spans="9:10" x14ac:dyDescent="0.3">
      <c r="I12326"/>
      <c r="J12326"/>
    </row>
    <row r="12327" spans="9:10" x14ac:dyDescent="0.3">
      <c r="I12327"/>
      <c r="J12327"/>
    </row>
    <row r="12328" spans="9:10" x14ac:dyDescent="0.3">
      <c r="I12328"/>
      <c r="J12328"/>
    </row>
    <row r="12329" spans="9:10" x14ac:dyDescent="0.3">
      <c r="I12329"/>
      <c r="J12329"/>
    </row>
    <row r="12330" spans="9:10" x14ac:dyDescent="0.3">
      <c r="I12330"/>
      <c r="J12330"/>
    </row>
    <row r="12331" spans="9:10" x14ac:dyDescent="0.3">
      <c r="I12331"/>
      <c r="J12331"/>
    </row>
    <row r="12332" spans="9:10" x14ac:dyDescent="0.3">
      <c r="I12332"/>
      <c r="J12332"/>
    </row>
    <row r="12333" spans="9:10" x14ac:dyDescent="0.3">
      <c r="I12333"/>
      <c r="J12333"/>
    </row>
    <row r="12334" spans="9:10" x14ac:dyDescent="0.3">
      <c r="I12334"/>
      <c r="J12334"/>
    </row>
    <row r="12335" spans="9:10" x14ac:dyDescent="0.3">
      <c r="I12335"/>
      <c r="J12335"/>
    </row>
    <row r="12336" spans="9:10" x14ac:dyDescent="0.3">
      <c r="I12336"/>
      <c r="J12336"/>
    </row>
    <row r="12337" spans="9:10" x14ac:dyDescent="0.3">
      <c r="I12337"/>
      <c r="J12337"/>
    </row>
    <row r="12338" spans="9:10" x14ac:dyDescent="0.3">
      <c r="I12338"/>
      <c r="J12338"/>
    </row>
    <row r="12339" spans="9:10" x14ac:dyDescent="0.3">
      <c r="I12339"/>
      <c r="J12339"/>
    </row>
    <row r="12340" spans="9:10" x14ac:dyDescent="0.3">
      <c r="I12340"/>
      <c r="J12340"/>
    </row>
    <row r="12341" spans="9:10" x14ac:dyDescent="0.3">
      <c r="I12341"/>
      <c r="J12341"/>
    </row>
    <row r="12342" spans="9:10" x14ac:dyDescent="0.3">
      <c r="I12342"/>
      <c r="J12342"/>
    </row>
    <row r="12343" spans="9:10" x14ac:dyDescent="0.3">
      <c r="I12343"/>
      <c r="J12343"/>
    </row>
    <row r="12344" spans="9:10" x14ac:dyDescent="0.3">
      <c r="I12344"/>
      <c r="J12344"/>
    </row>
    <row r="12345" spans="9:10" x14ac:dyDescent="0.3">
      <c r="I12345"/>
      <c r="J12345"/>
    </row>
    <row r="12346" spans="9:10" x14ac:dyDescent="0.3">
      <c r="I12346"/>
      <c r="J12346"/>
    </row>
    <row r="12347" spans="9:10" x14ac:dyDescent="0.3">
      <c r="I12347"/>
      <c r="J12347"/>
    </row>
    <row r="12348" spans="9:10" x14ac:dyDescent="0.3">
      <c r="I12348"/>
      <c r="J12348"/>
    </row>
    <row r="12349" spans="9:10" x14ac:dyDescent="0.3">
      <c r="I12349"/>
      <c r="J12349"/>
    </row>
    <row r="12350" spans="9:10" x14ac:dyDescent="0.3">
      <c r="I12350"/>
      <c r="J12350"/>
    </row>
    <row r="12351" spans="9:10" x14ac:dyDescent="0.3">
      <c r="I12351"/>
      <c r="J12351"/>
    </row>
    <row r="12352" spans="9:10" x14ac:dyDescent="0.3">
      <c r="I12352"/>
      <c r="J12352"/>
    </row>
    <row r="12353" spans="9:10" x14ac:dyDescent="0.3">
      <c r="I12353"/>
      <c r="J12353"/>
    </row>
    <row r="12354" spans="9:10" x14ac:dyDescent="0.3">
      <c r="I12354"/>
      <c r="J12354"/>
    </row>
    <row r="12355" spans="9:10" x14ac:dyDescent="0.3">
      <c r="I12355"/>
      <c r="J12355"/>
    </row>
    <row r="12356" spans="9:10" x14ac:dyDescent="0.3">
      <c r="I12356"/>
      <c r="J12356"/>
    </row>
    <row r="12357" spans="9:10" x14ac:dyDescent="0.3">
      <c r="I12357"/>
      <c r="J12357"/>
    </row>
    <row r="12358" spans="9:10" x14ac:dyDescent="0.3">
      <c r="I12358"/>
      <c r="J12358"/>
    </row>
    <row r="12359" spans="9:10" x14ac:dyDescent="0.3">
      <c r="I12359"/>
      <c r="J12359"/>
    </row>
    <row r="12360" spans="9:10" x14ac:dyDescent="0.3">
      <c r="I12360"/>
      <c r="J12360"/>
    </row>
    <row r="12361" spans="9:10" x14ac:dyDescent="0.3">
      <c r="I12361"/>
      <c r="J12361"/>
    </row>
    <row r="12362" spans="9:10" x14ac:dyDescent="0.3">
      <c r="I12362"/>
      <c r="J12362"/>
    </row>
    <row r="12363" spans="9:10" x14ac:dyDescent="0.3">
      <c r="I12363"/>
      <c r="J12363"/>
    </row>
    <row r="12364" spans="9:10" x14ac:dyDescent="0.3">
      <c r="I12364"/>
      <c r="J12364"/>
    </row>
    <row r="12365" spans="9:10" x14ac:dyDescent="0.3">
      <c r="I12365"/>
      <c r="J12365"/>
    </row>
    <row r="12366" spans="9:10" x14ac:dyDescent="0.3">
      <c r="I12366"/>
      <c r="J12366"/>
    </row>
    <row r="12367" spans="9:10" x14ac:dyDescent="0.3">
      <c r="I12367"/>
      <c r="J12367"/>
    </row>
    <row r="12368" spans="9:10" x14ac:dyDescent="0.3">
      <c r="I12368"/>
      <c r="J12368"/>
    </row>
    <row r="12369" spans="9:10" x14ac:dyDescent="0.3">
      <c r="I12369"/>
      <c r="J12369"/>
    </row>
    <row r="12370" spans="9:10" x14ac:dyDescent="0.3">
      <c r="I12370"/>
      <c r="J12370"/>
    </row>
    <row r="12371" spans="9:10" x14ac:dyDescent="0.3">
      <c r="I12371"/>
      <c r="J12371"/>
    </row>
    <row r="12372" spans="9:10" x14ac:dyDescent="0.3">
      <c r="I12372"/>
      <c r="J12372"/>
    </row>
    <row r="12373" spans="9:10" x14ac:dyDescent="0.3">
      <c r="I12373"/>
      <c r="J12373"/>
    </row>
    <row r="12374" spans="9:10" x14ac:dyDescent="0.3">
      <c r="I12374"/>
      <c r="J12374"/>
    </row>
    <row r="12375" spans="9:10" x14ac:dyDescent="0.3">
      <c r="I12375"/>
      <c r="J12375"/>
    </row>
    <row r="12376" spans="9:10" x14ac:dyDescent="0.3">
      <c r="I12376"/>
      <c r="J12376"/>
    </row>
    <row r="12377" spans="9:10" x14ac:dyDescent="0.3">
      <c r="I12377"/>
      <c r="J12377"/>
    </row>
    <row r="12378" spans="9:10" x14ac:dyDescent="0.3">
      <c r="I12378"/>
      <c r="J12378"/>
    </row>
    <row r="12379" spans="9:10" x14ac:dyDescent="0.3">
      <c r="I12379"/>
      <c r="J12379"/>
    </row>
    <row r="12380" spans="9:10" x14ac:dyDescent="0.3">
      <c r="I12380"/>
      <c r="J12380"/>
    </row>
    <row r="12381" spans="9:10" x14ac:dyDescent="0.3">
      <c r="I12381"/>
      <c r="J12381"/>
    </row>
    <row r="12382" spans="9:10" x14ac:dyDescent="0.3">
      <c r="I12382"/>
      <c r="J12382"/>
    </row>
    <row r="12383" spans="9:10" x14ac:dyDescent="0.3">
      <c r="I12383"/>
      <c r="J12383"/>
    </row>
    <row r="12384" spans="9:10" x14ac:dyDescent="0.3">
      <c r="I12384"/>
      <c r="J12384"/>
    </row>
    <row r="12385" spans="9:10" x14ac:dyDescent="0.3">
      <c r="I12385"/>
      <c r="J12385"/>
    </row>
    <row r="12386" spans="9:10" x14ac:dyDescent="0.3">
      <c r="I12386"/>
      <c r="J12386"/>
    </row>
    <row r="12387" spans="9:10" x14ac:dyDescent="0.3">
      <c r="I12387"/>
      <c r="J12387"/>
    </row>
    <row r="12388" spans="9:10" x14ac:dyDescent="0.3">
      <c r="I12388"/>
      <c r="J12388"/>
    </row>
    <row r="12389" spans="9:10" x14ac:dyDescent="0.3">
      <c r="I12389"/>
      <c r="J12389"/>
    </row>
    <row r="12390" spans="9:10" x14ac:dyDescent="0.3">
      <c r="I12390"/>
      <c r="J12390"/>
    </row>
    <row r="12391" spans="9:10" x14ac:dyDescent="0.3">
      <c r="I12391"/>
      <c r="J12391"/>
    </row>
    <row r="12392" spans="9:10" x14ac:dyDescent="0.3">
      <c r="I12392"/>
      <c r="J12392"/>
    </row>
    <row r="12393" spans="9:10" x14ac:dyDescent="0.3">
      <c r="I12393"/>
      <c r="J12393"/>
    </row>
    <row r="12394" spans="9:10" x14ac:dyDescent="0.3">
      <c r="I12394"/>
      <c r="J12394"/>
    </row>
    <row r="12395" spans="9:10" x14ac:dyDescent="0.3">
      <c r="I12395"/>
      <c r="J12395"/>
    </row>
    <row r="12396" spans="9:10" x14ac:dyDescent="0.3">
      <c r="I12396"/>
      <c r="J12396"/>
    </row>
    <row r="12397" spans="9:10" x14ac:dyDescent="0.3">
      <c r="I12397"/>
      <c r="J12397"/>
    </row>
    <row r="12398" spans="9:10" x14ac:dyDescent="0.3">
      <c r="I12398"/>
      <c r="J12398"/>
    </row>
    <row r="12399" spans="9:10" x14ac:dyDescent="0.3">
      <c r="I12399"/>
      <c r="J12399"/>
    </row>
    <row r="12400" spans="9:10" x14ac:dyDescent="0.3">
      <c r="I12400"/>
      <c r="J12400"/>
    </row>
    <row r="12401" spans="9:10" x14ac:dyDescent="0.3">
      <c r="I12401"/>
      <c r="J12401"/>
    </row>
    <row r="12402" spans="9:10" x14ac:dyDescent="0.3">
      <c r="I12402"/>
      <c r="J12402"/>
    </row>
    <row r="12403" spans="9:10" x14ac:dyDescent="0.3">
      <c r="I12403"/>
      <c r="J12403"/>
    </row>
    <row r="12404" spans="9:10" x14ac:dyDescent="0.3">
      <c r="I12404"/>
      <c r="J12404"/>
    </row>
    <row r="12405" spans="9:10" x14ac:dyDescent="0.3">
      <c r="I12405"/>
      <c r="J12405"/>
    </row>
    <row r="12406" spans="9:10" x14ac:dyDescent="0.3">
      <c r="I12406"/>
      <c r="J12406"/>
    </row>
    <row r="12407" spans="9:10" x14ac:dyDescent="0.3">
      <c r="I12407"/>
      <c r="J12407"/>
    </row>
    <row r="12408" spans="9:10" x14ac:dyDescent="0.3">
      <c r="I12408"/>
      <c r="J12408"/>
    </row>
    <row r="12409" spans="9:10" x14ac:dyDescent="0.3">
      <c r="I12409"/>
      <c r="J12409"/>
    </row>
    <row r="12410" spans="9:10" x14ac:dyDescent="0.3">
      <c r="I12410"/>
      <c r="J12410"/>
    </row>
    <row r="12411" spans="9:10" x14ac:dyDescent="0.3">
      <c r="I12411"/>
      <c r="J12411"/>
    </row>
    <row r="12412" spans="9:10" x14ac:dyDescent="0.3">
      <c r="I12412"/>
      <c r="J12412"/>
    </row>
    <row r="12413" spans="9:10" x14ac:dyDescent="0.3">
      <c r="I12413"/>
      <c r="J12413"/>
    </row>
    <row r="12414" spans="9:10" x14ac:dyDescent="0.3">
      <c r="I12414"/>
      <c r="J12414"/>
    </row>
    <row r="12415" spans="9:10" x14ac:dyDescent="0.3">
      <c r="I12415"/>
      <c r="J12415"/>
    </row>
    <row r="12416" spans="9:10" x14ac:dyDescent="0.3">
      <c r="I12416"/>
      <c r="J12416"/>
    </row>
    <row r="12417" spans="9:10" x14ac:dyDescent="0.3">
      <c r="I12417"/>
      <c r="J12417"/>
    </row>
    <row r="12418" spans="9:10" x14ac:dyDescent="0.3">
      <c r="I12418"/>
      <c r="J12418"/>
    </row>
    <row r="12419" spans="9:10" x14ac:dyDescent="0.3">
      <c r="I12419"/>
      <c r="J12419"/>
    </row>
    <row r="12420" spans="9:10" x14ac:dyDescent="0.3">
      <c r="I12420"/>
      <c r="J12420"/>
    </row>
    <row r="12421" spans="9:10" x14ac:dyDescent="0.3">
      <c r="I12421"/>
      <c r="J12421"/>
    </row>
    <row r="12422" spans="9:10" x14ac:dyDescent="0.3">
      <c r="I12422"/>
      <c r="J12422"/>
    </row>
    <row r="12423" spans="9:10" x14ac:dyDescent="0.3">
      <c r="I12423"/>
      <c r="J12423"/>
    </row>
    <row r="12424" spans="9:10" x14ac:dyDescent="0.3">
      <c r="I12424"/>
      <c r="J12424"/>
    </row>
    <row r="12425" spans="9:10" x14ac:dyDescent="0.3">
      <c r="I12425"/>
      <c r="J12425"/>
    </row>
    <row r="12426" spans="9:10" x14ac:dyDescent="0.3">
      <c r="I12426"/>
      <c r="J12426"/>
    </row>
    <row r="12427" spans="9:10" x14ac:dyDescent="0.3">
      <c r="I12427"/>
      <c r="J12427"/>
    </row>
    <row r="12428" spans="9:10" x14ac:dyDescent="0.3">
      <c r="I12428"/>
      <c r="J12428"/>
    </row>
    <row r="12429" spans="9:10" x14ac:dyDescent="0.3">
      <c r="I12429"/>
      <c r="J12429"/>
    </row>
    <row r="12430" spans="9:10" x14ac:dyDescent="0.3">
      <c r="I12430"/>
      <c r="J12430"/>
    </row>
    <row r="12431" spans="9:10" x14ac:dyDescent="0.3">
      <c r="I12431"/>
      <c r="J12431"/>
    </row>
    <row r="12432" spans="9:10" x14ac:dyDescent="0.3">
      <c r="I12432"/>
      <c r="J12432"/>
    </row>
    <row r="12433" spans="9:10" x14ac:dyDescent="0.3">
      <c r="I12433"/>
      <c r="J12433"/>
    </row>
    <row r="12434" spans="9:10" x14ac:dyDescent="0.3">
      <c r="I12434"/>
      <c r="J12434"/>
    </row>
    <row r="12435" spans="9:10" x14ac:dyDescent="0.3">
      <c r="I12435"/>
      <c r="J12435"/>
    </row>
    <row r="12436" spans="9:10" x14ac:dyDescent="0.3">
      <c r="I12436"/>
      <c r="J12436"/>
    </row>
    <row r="12437" spans="9:10" x14ac:dyDescent="0.3">
      <c r="I12437"/>
      <c r="J12437"/>
    </row>
    <row r="12438" spans="9:10" x14ac:dyDescent="0.3">
      <c r="I12438"/>
      <c r="J12438"/>
    </row>
    <row r="12439" spans="9:10" x14ac:dyDescent="0.3">
      <c r="I12439"/>
      <c r="J12439"/>
    </row>
    <row r="12440" spans="9:10" x14ac:dyDescent="0.3">
      <c r="I12440"/>
      <c r="J12440"/>
    </row>
    <row r="12441" spans="9:10" x14ac:dyDescent="0.3">
      <c r="I12441"/>
      <c r="J12441"/>
    </row>
    <row r="12442" spans="9:10" x14ac:dyDescent="0.3">
      <c r="I12442"/>
      <c r="J12442"/>
    </row>
    <row r="12443" spans="9:10" x14ac:dyDescent="0.3">
      <c r="I12443"/>
      <c r="J12443"/>
    </row>
    <row r="12444" spans="9:10" x14ac:dyDescent="0.3">
      <c r="I12444"/>
      <c r="J12444"/>
    </row>
    <row r="12445" spans="9:10" x14ac:dyDescent="0.3">
      <c r="I12445"/>
      <c r="J12445"/>
    </row>
    <row r="12446" spans="9:10" x14ac:dyDescent="0.3">
      <c r="I12446"/>
      <c r="J12446"/>
    </row>
    <row r="12447" spans="9:10" x14ac:dyDescent="0.3">
      <c r="I12447"/>
      <c r="J12447"/>
    </row>
    <row r="12448" spans="9:10" x14ac:dyDescent="0.3">
      <c r="I12448"/>
      <c r="J12448"/>
    </row>
    <row r="12449" spans="9:10" x14ac:dyDescent="0.3">
      <c r="I12449"/>
      <c r="J12449"/>
    </row>
    <row r="12450" spans="9:10" x14ac:dyDescent="0.3">
      <c r="I12450"/>
      <c r="J12450"/>
    </row>
    <row r="12451" spans="9:10" x14ac:dyDescent="0.3">
      <c r="I12451"/>
      <c r="J12451"/>
    </row>
    <row r="12452" spans="9:10" x14ac:dyDescent="0.3">
      <c r="I12452"/>
      <c r="J12452"/>
    </row>
    <row r="12453" spans="9:10" x14ac:dyDescent="0.3">
      <c r="I12453"/>
      <c r="J12453"/>
    </row>
    <row r="12454" spans="9:10" x14ac:dyDescent="0.3">
      <c r="I12454"/>
      <c r="J12454"/>
    </row>
    <row r="12455" spans="9:10" x14ac:dyDescent="0.3">
      <c r="I12455"/>
      <c r="J12455"/>
    </row>
    <row r="12456" spans="9:10" x14ac:dyDescent="0.3">
      <c r="I12456"/>
      <c r="J12456"/>
    </row>
    <row r="12457" spans="9:10" x14ac:dyDescent="0.3">
      <c r="I12457"/>
      <c r="J12457"/>
    </row>
    <row r="12458" spans="9:10" x14ac:dyDescent="0.3">
      <c r="I12458"/>
      <c r="J12458"/>
    </row>
    <row r="12459" spans="9:10" x14ac:dyDescent="0.3">
      <c r="I12459"/>
      <c r="J12459"/>
    </row>
    <row r="12460" spans="9:10" x14ac:dyDescent="0.3">
      <c r="I12460"/>
      <c r="J12460"/>
    </row>
    <row r="12461" spans="9:10" x14ac:dyDescent="0.3">
      <c r="I12461"/>
      <c r="J12461"/>
    </row>
    <row r="12462" spans="9:10" x14ac:dyDescent="0.3">
      <c r="I12462"/>
      <c r="J12462"/>
    </row>
    <row r="12463" spans="9:10" x14ac:dyDescent="0.3">
      <c r="I12463"/>
      <c r="J12463"/>
    </row>
    <row r="12464" spans="9:10" x14ac:dyDescent="0.3">
      <c r="I12464"/>
      <c r="J12464"/>
    </row>
    <row r="12465" spans="9:10" x14ac:dyDescent="0.3">
      <c r="I12465"/>
      <c r="J12465"/>
    </row>
    <row r="12466" spans="9:10" x14ac:dyDescent="0.3">
      <c r="I12466"/>
      <c r="J12466"/>
    </row>
    <row r="12467" spans="9:10" x14ac:dyDescent="0.3">
      <c r="I12467"/>
      <c r="J12467"/>
    </row>
    <row r="12468" spans="9:10" x14ac:dyDescent="0.3">
      <c r="I12468"/>
      <c r="J12468"/>
    </row>
    <row r="12469" spans="9:10" x14ac:dyDescent="0.3">
      <c r="I12469"/>
      <c r="J12469"/>
    </row>
    <row r="12470" spans="9:10" x14ac:dyDescent="0.3">
      <c r="I12470"/>
      <c r="J12470"/>
    </row>
    <row r="12471" spans="9:10" x14ac:dyDescent="0.3">
      <c r="I12471"/>
      <c r="J12471"/>
    </row>
    <row r="12472" spans="9:10" x14ac:dyDescent="0.3">
      <c r="I12472"/>
      <c r="J12472"/>
    </row>
    <row r="12473" spans="9:10" x14ac:dyDescent="0.3">
      <c r="I12473"/>
      <c r="J12473"/>
    </row>
    <row r="12474" spans="9:10" x14ac:dyDescent="0.3">
      <c r="I12474"/>
      <c r="J12474"/>
    </row>
    <row r="12475" spans="9:10" x14ac:dyDescent="0.3">
      <c r="I12475"/>
      <c r="J12475"/>
    </row>
    <row r="12476" spans="9:10" x14ac:dyDescent="0.3">
      <c r="I12476"/>
      <c r="J12476"/>
    </row>
    <row r="12477" spans="9:10" x14ac:dyDescent="0.3">
      <c r="I12477"/>
      <c r="J12477"/>
    </row>
    <row r="12478" spans="9:10" x14ac:dyDescent="0.3">
      <c r="I12478"/>
      <c r="J12478"/>
    </row>
    <row r="12479" spans="9:10" x14ac:dyDescent="0.3">
      <c r="I12479"/>
      <c r="J12479"/>
    </row>
    <row r="12480" spans="9:10" x14ac:dyDescent="0.3">
      <c r="I12480"/>
      <c r="J12480"/>
    </row>
    <row r="12481" spans="9:10" x14ac:dyDescent="0.3">
      <c r="I12481"/>
      <c r="J12481"/>
    </row>
    <row r="12482" spans="9:10" x14ac:dyDescent="0.3">
      <c r="I12482"/>
      <c r="J12482"/>
    </row>
    <row r="12483" spans="9:10" x14ac:dyDescent="0.3">
      <c r="I12483"/>
      <c r="J12483"/>
    </row>
    <row r="12484" spans="9:10" x14ac:dyDescent="0.3">
      <c r="I12484"/>
      <c r="J12484"/>
    </row>
    <row r="12485" spans="9:10" x14ac:dyDescent="0.3">
      <c r="I12485"/>
      <c r="J12485"/>
    </row>
    <row r="12486" spans="9:10" x14ac:dyDescent="0.3">
      <c r="I12486"/>
      <c r="J12486"/>
    </row>
    <row r="12487" spans="9:10" x14ac:dyDescent="0.3">
      <c r="I12487"/>
      <c r="J12487"/>
    </row>
    <row r="12488" spans="9:10" x14ac:dyDescent="0.3">
      <c r="I12488"/>
      <c r="J12488"/>
    </row>
    <row r="12489" spans="9:10" x14ac:dyDescent="0.3">
      <c r="I12489"/>
      <c r="J12489"/>
    </row>
    <row r="12490" spans="9:10" x14ac:dyDescent="0.3">
      <c r="I12490"/>
      <c r="J12490"/>
    </row>
    <row r="12491" spans="9:10" x14ac:dyDescent="0.3">
      <c r="I12491"/>
      <c r="J12491"/>
    </row>
    <row r="12492" spans="9:10" x14ac:dyDescent="0.3">
      <c r="I12492"/>
      <c r="J12492"/>
    </row>
    <row r="12493" spans="9:10" x14ac:dyDescent="0.3">
      <c r="I12493"/>
      <c r="J12493"/>
    </row>
    <row r="12494" spans="9:10" x14ac:dyDescent="0.3">
      <c r="I12494"/>
      <c r="J12494"/>
    </row>
    <row r="12495" spans="9:10" x14ac:dyDescent="0.3">
      <c r="I12495"/>
      <c r="J12495"/>
    </row>
    <row r="12496" spans="9:10" x14ac:dyDescent="0.3">
      <c r="I12496"/>
      <c r="J12496"/>
    </row>
    <row r="12497" spans="9:10" x14ac:dyDescent="0.3">
      <c r="I12497"/>
      <c r="J12497"/>
    </row>
    <row r="12498" spans="9:10" x14ac:dyDescent="0.3">
      <c r="I12498"/>
      <c r="J12498"/>
    </row>
    <row r="12499" spans="9:10" x14ac:dyDescent="0.3">
      <c r="I12499"/>
      <c r="J12499"/>
    </row>
    <row r="12500" spans="9:10" x14ac:dyDescent="0.3">
      <c r="I12500"/>
      <c r="J12500"/>
    </row>
    <row r="12501" spans="9:10" x14ac:dyDescent="0.3">
      <c r="I12501"/>
      <c r="J12501"/>
    </row>
    <row r="12502" spans="9:10" x14ac:dyDescent="0.3">
      <c r="I12502"/>
      <c r="J12502"/>
    </row>
    <row r="12503" spans="9:10" x14ac:dyDescent="0.3">
      <c r="I12503"/>
      <c r="J12503"/>
    </row>
    <row r="12504" spans="9:10" x14ac:dyDescent="0.3">
      <c r="I12504"/>
      <c r="J12504"/>
    </row>
    <row r="12505" spans="9:10" x14ac:dyDescent="0.3">
      <c r="I12505"/>
      <c r="J12505"/>
    </row>
    <row r="12506" spans="9:10" x14ac:dyDescent="0.3">
      <c r="I12506"/>
      <c r="J12506"/>
    </row>
    <row r="12507" spans="9:10" x14ac:dyDescent="0.3">
      <c r="I12507"/>
      <c r="J12507"/>
    </row>
    <row r="12508" spans="9:10" x14ac:dyDescent="0.3">
      <c r="I12508"/>
      <c r="J12508"/>
    </row>
    <row r="12509" spans="9:10" x14ac:dyDescent="0.3">
      <c r="I12509"/>
      <c r="J12509"/>
    </row>
    <row r="12510" spans="9:10" x14ac:dyDescent="0.3">
      <c r="I12510"/>
      <c r="J12510"/>
    </row>
    <row r="12511" spans="9:10" x14ac:dyDescent="0.3">
      <c r="I12511"/>
      <c r="J12511"/>
    </row>
    <row r="12512" spans="9:10" x14ac:dyDescent="0.3">
      <c r="I12512"/>
      <c r="J12512"/>
    </row>
    <row r="12513" spans="9:10" x14ac:dyDescent="0.3">
      <c r="I12513"/>
      <c r="J12513"/>
    </row>
    <row r="12514" spans="9:10" x14ac:dyDescent="0.3">
      <c r="I12514"/>
      <c r="J12514"/>
    </row>
    <row r="12515" spans="9:10" x14ac:dyDescent="0.3">
      <c r="I12515"/>
      <c r="J12515"/>
    </row>
    <row r="12516" spans="9:10" x14ac:dyDescent="0.3">
      <c r="I12516"/>
      <c r="J12516"/>
    </row>
    <row r="12517" spans="9:10" x14ac:dyDescent="0.3">
      <c r="I12517"/>
      <c r="J12517"/>
    </row>
    <row r="12518" spans="9:10" x14ac:dyDescent="0.3">
      <c r="I12518"/>
      <c r="J12518"/>
    </row>
    <row r="12519" spans="9:10" x14ac:dyDescent="0.3">
      <c r="I12519"/>
      <c r="J12519"/>
    </row>
    <row r="12520" spans="9:10" x14ac:dyDescent="0.3">
      <c r="I12520"/>
      <c r="J12520"/>
    </row>
    <row r="12521" spans="9:10" x14ac:dyDescent="0.3">
      <c r="I12521"/>
      <c r="J12521"/>
    </row>
    <row r="12522" spans="9:10" x14ac:dyDescent="0.3">
      <c r="I12522"/>
      <c r="J12522"/>
    </row>
    <row r="12523" spans="9:10" x14ac:dyDescent="0.3">
      <c r="I12523"/>
      <c r="J12523"/>
    </row>
    <row r="12524" spans="9:10" x14ac:dyDescent="0.3">
      <c r="I12524"/>
      <c r="J12524"/>
    </row>
    <row r="12525" spans="9:10" x14ac:dyDescent="0.3">
      <c r="I12525"/>
      <c r="J12525"/>
    </row>
    <row r="12526" spans="9:10" x14ac:dyDescent="0.3">
      <c r="I12526"/>
      <c r="J12526"/>
    </row>
    <row r="12527" spans="9:10" x14ac:dyDescent="0.3">
      <c r="I12527"/>
      <c r="J12527"/>
    </row>
    <row r="12528" spans="9:10" x14ac:dyDescent="0.3">
      <c r="I12528"/>
      <c r="J12528"/>
    </row>
    <row r="12529" spans="9:10" x14ac:dyDescent="0.3">
      <c r="I12529"/>
      <c r="J12529"/>
    </row>
    <row r="12530" spans="9:10" x14ac:dyDescent="0.3">
      <c r="I12530"/>
      <c r="J12530"/>
    </row>
    <row r="12531" spans="9:10" x14ac:dyDescent="0.3">
      <c r="I12531"/>
      <c r="J12531"/>
    </row>
    <row r="12532" spans="9:10" x14ac:dyDescent="0.3">
      <c r="I12532"/>
      <c r="J12532"/>
    </row>
    <row r="12533" spans="9:10" x14ac:dyDescent="0.3">
      <c r="I12533"/>
      <c r="J12533"/>
    </row>
    <row r="12534" spans="9:10" x14ac:dyDescent="0.3">
      <c r="I12534"/>
      <c r="J12534"/>
    </row>
    <row r="12535" spans="9:10" x14ac:dyDescent="0.3">
      <c r="I12535"/>
      <c r="J12535"/>
    </row>
    <row r="12536" spans="9:10" x14ac:dyDescent="0.3">
      <c r="I12536"/>
      <c r="J12536"/>
    </row>
    <row r="12537" spans="9:10" x14ac:dyDescent="0.3">
      <c r="I12537"/>
      <c r="J12537"/>
    </row>
    <row r="12538" spans="9:10" x14ac:dyDescent="0.3">
      <c r="I12538"/>
      <c r="J12538"/>
    </row>
    <row r="12539" spans="9:10" x14ac:dyDescent="0.3">
      <c r="I12539"/>
      <c r="J12539"/>
    </row>
    <row r="12540" spans="9:10" x14ac:dyDescent="0.3">
      <c r="I12540"/>
      <c r="J12540"/>
    </row>
    <row r="12541" spans="9:10" x14ac:dyDescent="0.3">
      <c r="I12541"/>
      <c r="J12541"/>
    </row>
    <row r="12542" spans="9:10" x14ac:dyDescent="0.3">
      <c r="I12542"/>
      <c r="J12542"/>
    </row>
    <row r="12543" spans="9:10" x14ac:dyDescent="0.3">
      <c r="I12543"/>
      <c r="J12543"/>
    </row>
    <row r="12544" spans="9:10" x14ac:dyDescent="0.3">
      <c r="I12544"/>
      <c r="J12544"/>
    </row>
    <row r="12545" spans="9:10" x14ac:dyDescent="0.3">
      <c r="I12545"/>
      <c r="J12545"/>
    </row>
    <row r="12546" spans="9:10" x14ac:dyDescent="0.3">
      <c r="I12546"/>
      <c r="J12546"/>
    </row>
    <row r="12547" spans="9:10" x14ac:dyDescent="0.3">
      <c r="I12547"/>
      <c r="J12547"/>
    </row>
    <row r="12548" spans="9:10" x14ac:dyDescent="0.3">
      <c r="I12548"/>
      <c r="J12548"/>
    </row>
    <row r="12549" spans="9:10" x14ac:dyDescent="0.3">
      <c r="I12549"/>
      <c r="J12549"/>
    </row>
    <row r="12550" spans="9:10" x14ac:dyDescent="0.3">
      <c r="I12550"/>
      <c r="J12550"/>
    </row>
    <row r="12551" spans="9:10" x14ac:dyDescent="0.3">
      <c r="I12551"/>
      <c r="J12551"/>
    </row>
    <row r="12552" spans="9:10" x14ac:dyDescent="0.3">
      <c r="I12552"/>
      <c r="J12552"/>
    </row>
    <row r="12553" spans="9:10" x14ac:dyDescent="0.3">
      <c r="I12553"/>
      <c r="J12553"/>
    </row>
    <row r="12554" spans="9:10" x14ac:dyDescent="0.3">
      <c r="I12554"/>
      <c r="J12554"/>
    </row>
    <row r="12555" spans="9:10" x14ac:dyDescent="0.3">
      <c r="I12555"/>
      <c r="J12555"/>
    </row>
    <row r="12556" spans="9:10" x14ac:dyDescent="0.3">
      <c r="I12556"/>
      <c r="J12556"/>
    </row>
    <row r="12557" spans="9:10" x14ac:dyDescent="0.3">
      <c r="I12557"/>
      <c r="J12557"/>
    </row>
    <row r="12558" spans="9:10" x14ac:dyDescent="0.3">
      <c r="I12558"/>
      <c r="J12558"/>
    </row>
    <row r="12559" spans="9:10" x14ac:dyDescent="0.3">
      <c r="I12559"/>
      <c r="J12559"/>
    </row>
    <row r="12560" spans="9:10" x14ac:dyDescent="0.3">
      <c r="I12560"/>
      <c r="J12560"/>
    </row>
    <row r="12561" spans="9:10" x14ac:dyDescent="0.3">
      <c r="I12561"/>
      <c r="J12561"/>
    </row>
    <row r="12562" spans="9:10" x14ac:dyDescent="0.3">
      <c r="I12562"/>
      <c r="J12562"/>
    </row>
    <row r="12563" spans="9:10" x14ac:dyDescent="0.3">
      <c r="I12563"/>
      <c r="J12563"/>
    </row>
    <row r="12564" spans="9:10" x14ac:dyDescent="0.3">
      <c r="I12564"/>
      <c r="J12564"/>
    </row>
    <row r="12565" spans="9:10" x14ac:dyDescent="0.3">
      <c r="I12565"/>
      <c r="J12565"/>
    </row>
    <row r="12566" spans="9:10" x14ac:dyDescent="0.3">
      <c r="I12566"/>
      <c r="J12566"/>
    </row>
    <row r="12567" spans="9:10" x14ac:dyDescent="0.3">
      <c r="I12567"/>
      <c r="J12567"/>
    </row>
    <row r="12568" spans="9:10" x14ac:dyDescent="0.3">
      <c r="I12568"/>
      <c r="J12568"/>
    </row>
    <row r="12569" spans="9:10" x14ac:dyDescent="0.3">
      <c r="I12569"/>
      <c r="J12569"/>
    </row>
    <row r="12570" spans="9:10" x14ac:dyDescent="0.3">
      <c r="I12570"/>
      <c r="J12570"/>
    </row>
    <row r="12571" spans="9:10" x14ac:dyDescent="0.3">
      <c r="I12571"/>
      <c r="J12571"/>
    </row>
    <row r="12572" spans="9:10" x14ac:dyDescent="0.3">
      <c r="I12572"/>
      <c r="J12572"/>
    </row>
    <row r="12573" spans="9:10" x14ac:dyDescent="0.3">
      <c r="I12573"/>
      <c r="J12573"/>
    </row>
    <row r="12574" spans="9:10" x14ac:dyDescent="0.3">
      <c r="I12574"/>
      <c r="J12574"/>
    </row>
    <row r="12575" spans="9:10" x14ac:dyDescent="0.3">
      <c r="I12575"/>
      <c r="J12575"/>
    </row>
    <row r="12576" spans="9:10" x14ac:dyDescent="0.3">
      <c r="I12576"/>
      <c r="J12576"/>
    </row>
    <row r="12577" spans="9:10" x14ac:dyDescent="0.3">
      <c r="I12577"/>
      <c r="J12577"/>
    </row>
    <row r="12578" spans="9:10" x14ac:dyDescent="0.3">
      <c r="I12578"/>
      <c r="J12578"/>
    </row>
    <row r="12579" spans="9:10" x14ac:dyDescent="0.3">
      <c r="I12579"/>
      <c r="J12579"/>
    </row>
    <row r="12580" spans="9:10" x14ac:dyDescent="0.3">
      <c r="I12580"/>
      <c r="J12580"/>
    </row>
    <row r="12581" spans="9:10" x14ac:dyDescent="0.3">
      <c r="I12581"/>
      <c r="J12581"/>
    </row>
    <row r="12582" spans="9:10" x14ac:dyDescent="0.3">
      <c r="I12582"/>
      <c r="J12582"/>
    </row>
    <row r="12583" spans="9:10" x14ac:dyDescent="0.3">
      <c r="I12583"/>
      <c r="J12583"/>
    </row>
    <row r="12584" spans="9:10" x14ac:dyDescent="0.3">
      <c r="I12584"/>
      <c r="J12584"/>
    </row>
    <row r="12585" spans="9:10" x14ac:dyDescent="0.3">
      <c r="I12585"/>
      <c r="J12585"/>
    </row>
    <row r="12586" spans="9:10" x14ac:dyDescent="0.3">
      <c r="I12586"/>
      <c r="J12586"/>
    </row>
    <row r="12587" spans="9:10" x14ac:dyDescent="0.3">
      <c r="I12587"/>
      <c r="J12587"/>
    </row>
    <row r="12588" spans="9:10" x14ac:dyDescent="0.3">
      <c r="I12588"/>
      <c r="J12588"/>
    </row>
    <row r="12589" spans="9:10" x14ac:dyDescent="0.3">
      <c r="I12589"/>
      <c r="J12589"/>
    </row>
    <row r="12590" spans="9:10" x14ac:dyDescent="0.3">
      <c r="I12590"/>
      <c r="J12590"/>
    </row>
    <row r="12591" spans="9:10" x14ac:dyDescent="0.3">
      <c r="I12591"/>
      <c r="J12591"/>
    </row>
    <row r="12592" spans="9:10" x14ac:dyDescent="0.3">
      <c r="I12592"/>
      <c r="J12592"/>
    </row>
    <row r="12593" spans="9:10" x14ac:dyDescent="0.3">
      <c r="I12593"/>
      <c r="J12593"/>
    </row>
    <row r="12594" spans="9:10" x14ac:dyDescent="0.3">
      <c r="I12594"/>
      <c r="J12594"/>
    </row>
    <row r="12595" spans="9:10" x14ac:dyDescent="0.3">
      <c r="I12595"/>
      <c r="J12595"/>
    </row>
    <row r="12596" spans="9:10" x14ac:dyDescent="0.3">
      <c r="I12596"/>
      <c r="J12596"/>
    </row>
    <row r="12597" spans="9:10" x14ac:dyDescent="0.3">
      <c r="I12597"/>
      <c r="J12597"/>
    </row>
    <row r="12598" spans="9:10" x14ac:dyDescent="0.3">
      <c r="I12598"/>
      <c r="J12598"/>
    </row>
    <row r="12599" spans="9:10" x14ac:dyDescent="0.3">
      <c r="I12599"/>
      <c r="J12599"/>
    </row>
    <row r="12600" spans="9:10" x14ac:dyDescent="0.3">
      <c r="I12600"/>
      <c r="J12600"/>
    </row>
    <row r="12601" spans="9:10" x14ac:dyDescent="0.3">
      <c r="I12601"/>
      <c r="J12601"/>
    </row>
    <row r="12602" spans="9:10" x14ac:dyDescent="0.3">
      <c r="I12602"/>
      <c r="J12602"/>
    </row>
    <row r="12603" spans="9:10" x14ac:dyDescent="0.3">
      <c r="I12603"/>
      <c r="J12603"/>
    </row>
    <row r="12604" spans="9:10" x14ac:dyDescent="0.3">
      <c r="I12604"/>
      <c r="J12604"/>
    </row>
    <row r="12605" spans="9:10" x14ac:dyDescent="0.3">
      <c r="I12605"/>
      <c r="J12605"/>
    </row>
    <row r="12606" spans="9:10" x14ac:dyDescent="0.3">
      <c r="I12606"/>
      <c r="J12606"/>
    </row>
    <row r="12607" spans="9:10" x14ac:dyDescent="0.3">
      <c r="I12607"/>
      <c r="J12607"/>
    </row>
    <row r="12608" spans="9:10" x14ac:dyDescent="0.3">
      <c r="I12608"/>
      <c r="J12608"/>
    </row>
    <row r="12609" spans="9:10" x14ac:dyDescent="0.3">
      <c r="I12609"/>
      <c r="J12609"/>
    </row>
    <row r="12610" spans="9:10" x14ac:dyDescent="0.3">
      <c r="I12610"/>
      <c r="J12610"/>
    </row>
    <row r="12611" spans="9:10" x14ac:dyDescent="0.3">
      <c r="I12611"/>
      <c r="J12611"/>
    </row>
    <row r="12612" spans="9:10" x14ac:dyDescent="0.3">
      <c r="I12612"/>
      <c r="J12612"/>
    </row>
    <row r="12613" spans="9:10" x14ac:dyDescent="0.3">
      <c r="I12613"/>
      <c r="J12613"/>
    </row>
    <row r="12614" spans="9:10" x14ac:dyDescent="0.3">
      <c r="I12614"/>
      <c r="J12614"/>
    </row>
    <row r="12615" spans="9:10" x14ac:dyDescent="0.3">
      <c r="I12615"/>
      <c r="J12615"/>
    </row>
    <row r="12616" spans="9:10" x14ac:dyDescent="0.3">
      <c r="I12616"/>
      <c r="J12616"/>
    </row>
    <row r="12617" spans="9:10" x14ac:dyDescent="0.3">
      <c r="I12617"/>
      <c r="J12617"/>
    </row>
    <row r="12618" spans="9:10" x14ac:dyDescent="0.3">
      <c r="I12618"/>
      <c r="J12618"/>
    </row>
    <row r="12619" spans="9:10" x14ac:dyDescent="0.3">
      <c r="I12619"/>
      <c r="J12619"/>
    </row>
    <row r="12620" spans="9:10" x14ac:dyDescent="0.3">
      <c r="I12620"/>
      <c r="J12620"/>
    </row>
    <row r="12621" spans="9:10" x14ac:dyDescent="0.3">
      <c r="I12621"/>
      <c r="J12621"/>
    </row>
    <row r="12622" spans="9:10" x14ac:dyDescent="0.3">
      <c r="I12622"/>
      <c r="J12622"/>
    </row>
    <row r="12623" spans="9:10" x14ac:dyDescent="0.3">
      <c r="I12623"/>
      <c r="J12623"/>
    </row>
    <row r="12624" spans="9:10" x14ac:dyDescent="0.3">
      <c r="I12624"/>
      <c r="J12624"/>
    </row>
    <row r="12625" spans="9:10" x14ac:dyDescent="0.3">
      <c r="I12625"/>
      <c r="J12625"/>
    </row>
    <row r="12626" spans="9:10" x14ac:dyDescent="0.3">
      <c r="I12626"/>
      <c r="J12626"/>
    </row>
    <row r="12627" spans="9:10" x14ac:dyDescent="0.3">
      <c r="I12627"/>
      <c r="J12627"/>
    </row>
    <row r="12628" spans="9:10" x14ac:dyDescent="0.3">
      <c r="I12628"/>
      <c r="J12628"/>
    </row>
    <row r="12629" spans="9:10" x14ac:dyDescent="0.3">
      <c r="I12629"/>
      <c r="J12629"/>
    </row>
    <row r="12630" spans="9:10" x14ac:dyDescent="0.3">
      <c r="I12630"/>
      <c r="J12630"/>
    </row>
    <row r="12631" spans="9:10" x14ac:dyDescent="0.3">
      <c r="I12631"/>
      <c r="J12631"/>
    </row>
    <row r="12632" spans="9:10" x14ac:dyDescent="0.3">
      <c r="I12632"/>
      <c r="J12632"/>
    </row>
    <row r="12633" spans="9:10" x14ac:dyDescent="0.3">
      <c r="I12633"/>
      <c r="J12633"/>
    </row>
    <row r="12634" spans="9:10" x14ac:dyDescent="0.3">
      <c r="I12634"/>
      <c r="J12634"/>
    </row>
    <row r="12635" spans="9:10" x14ac:dyDescent="0.3">
      <c r="I12635"/>
      <c r="J12635"/>
    </row>
    <row r="12636" spans="9:10" x14ac:dyDescent="0.3">
      <c r="I12636"/>
      <c r="J12636"/>
    </row>
    <row r="12637" spans="9:10" x14ac:dyDescent="0.3">
      <c r="I12637"/>
      <c r="J12637"/>
    </row>
    <row r="12638" spans="9:10" x14ac:dyDescent="0.3">
      <c r="I12638"/>
      <c r="J12638"/>
    </row>
    <row r="12639" spans="9:10" x14ac:dyDescent="0.3">
      <c r="I12639"/>
      <c r="J12639"/>
    </row>
    <row r="12640" spans="9:10" x14ac:dyDescent="0.3">
      <c r="I12640"/>
      <c r="J12640"/>
    </row>
    <row r="12641" spans="9:10" x14ac:dyDescent="0.3">
      <c r="I12641"/>
      <c r="J12641"/>
    </row>
    <row r="12642" spans="9:10" x14ac:dyDescent="0.3">
      <c r="I12642"/>
      <c r="J12642"/>
    </row>
    <row r="12643" spans="9:10" x14ac:dyDescent="0.3">
      <c r="I12643"/>
      <c r="J12643"/>
    </row>
    <row r="12644" spans="9:10" x14ac:dyDescent="0.3">
      <c r="I12644"/>
      <c r="J12644"/>
    </row>
    <row r="12645" spans="9:10" x14ac:dyDescent="0.3">
      <c r="I12645"/>
      <c r="J12645"/>
    </row>
    <row r="12646" spans="9:10" x14ac:dyDescent="0.3">
      <c r="I12646"/>
      <c r="J12646"/>
    </row>
    <row r="12647" spans="9:10" x14ac:dyDescent="0.3">
      <c r="I12647"/>
      <c r="J12647"/>
    </row>
    <row r="12648" spans="9:10" x14ac:dyDescent="0.3">
      <c r="I12648"/>
      <c r="J12648"/>
    </row>
    <row r="12649" spans="9:10" x14ac:dyDescent="0.3">
      <c r="I12649"/>
      <c r="J12649"/>
    </row>
    <row r="12650" spans="9:10" x14ac:dyDescent="0.3">
      <c r="I12650"/>
      <c r="J12650"/>
    </row>
    <row r="12651" spans="9:10" x14ac:dyDescent="0.3">
      <c r="I12651"/>
      <c r="J12651"/>
    </row>
    <row r="12652" spans="9:10" x14ac:dyDescent="0.3">
      <c r="I12652"/>
      <c r="J12652"/>
    </row>
    <row r="12653" spans="9:10" x14ac:dyDescent="0.3">
      <c r="I12653"/>
      <c r="J12653"/>
    </row>
    <row r="12654" spans="9:10" x14ac:dyDescent="0.3">
      <c r="I12654"/>
      <c r="J12654"/>
    </row>
    <row r="12655" spans="9:10" x14ac:dyDescent="0.3">
      <c r="I12655"/>
      <c r="J12655"/>
    </row>
    <row r="12656" spans="9:10" x14ac:dyDescent="0.3">
      <c r="I12656"/>
      <c r="J12656"/>
    </row>
    <row r="12657" spans="9:10" x14ac:dyDescent="0.3">
      <c r="I12657"/>
      <c r="J12657"/>
    </row>
    <row r="12658" spans="9:10" x14ac:dyDescent="0.3">
      <c r="I12658"/>
      <c r="J12658"/>
    </row>
    <row r="12659" spans="9:10" x14ac:dyDescent="0.3">
      <c r="I12659"/>
      <c r="J12659"/>
    </row>
    <row r="12660" spans="9:10" x14ac:dyDescent="0.3">
      <c r="I12660"/>
      <c r="J12660"/>
    </row>
    <row r="12661" spans="9:10" x14ac:dyDescent="0.3">
      <c r="I12661"/>
      <c r="J12661"/>
    </row>
    <row r="12662" spans="9:10" x14ac:dyDescent="0.3">
      <c r="I12662"/>
      <c r="J12662"/>
    </row>
    <row r="12663" spans="9:10" x14ac:dyDescent="0.3">
      <c r="I12663"/>
      <c r="J12663"/>
    </row>
    <row r="12664" spans="9:10" x14ac:dyDescent="0.3">
      <c r="I12664"/>
      <c r="J12664"/>
    </row>
    <row r="12665" spans="9:10" x14ac:dyDescent="0.3">
      <c r="I12665"/>
      <c r="J12665"/>
    </row>
    <row r="12666" spans="9:10" x14ac:dyDescent="0.3">
      <c r="I12666"/>
      <c r="J12666"/>
    </row>
    <row r="12667" spans="9:10" x14ac:dyDescent="0.3">
      <c r="I12667"/>
      <c r="J12667"/>
    </row>
    <row r="12668" spans="9:10" x14ac:dyDescent="0.3">
      <c r="I12668"/>
      <c r="J12668"/>
    </row>
    <row r="12669" spans="9:10" x14ac:dyDescent="0.3">
      <c r="I12669"/>
      <c r="J12669"/>
    </row>
    <row r="12670" spans="9:10" x14ac:dyDescent="0.3">
      <c r="I12670"/>
      <c r="J12670"/>
    </row>
    <row r="12671" spans="9:10" x14ac:dyDescent="0.3">
      <c r="I12671"/>
      <c r="J12671"/>
    </row>
    <row r="12672" spans="9:10" x14ac:dyDescent="0.3">
      <c r="I12672"/>
      <c r="J12672"/>
    </row>
    <row r="12673" spans="9:10" x14ac:dyDescent="0.3">
      <c r="I12673"/>
      <c r="J12673"/>
    </row>
    <row r="12674" spans="9:10" x14ac:dyDescent="0.3">
      <c r="I12674"/>
      <c r="J12674"/>
    </row>
    <row r="12675" spans="9:10" x14ac:dyDescent="0.3">
      <c r="I12675"/>
      <c r="J12675"/>
    </row>
    <row r="12676" spans="9:10" x14ac:dyDescent="0.3">
      <c r="I12676"/>
      <c r="J12676"/>
    </row>
    <row r="12677" spans="9:10" x14ac:dyDescent="0.3">
      <c r="I12677"/>
      <c r="J12677"/>
    </row>
    <row r="12678" spans="9:10" x14ac:dyDescent="0.3">
      <c r="I12678"/>
      <c r="J12678"/>
    </row>
    <row r="12679" spans="9:10" x14ac:dyDescent="0.3">
      <c r="I12679"/>
      <c r="J12679"/>
    </row>
    <row r="12680" spans="9:10" x14ac:dyDescent="0.3">
      <c r="I12680"/>
      <c r="J12680"/>
    </row>
    <row r="12681" spans="9:10" x14ac:dyDescent="0.3">
      <c r="I12681"/>
      <c r="J12681"/>
    </row>
    <row r="12682" spans="9:10" x14ac:dyDescent="0.3">
      <c r="I12682"/>
      <c r="J12682"/>
    </row>
    <row r="12683" spans="9:10" x14ac:dyDescent="0.3">
      <c r="I12683"/>
      <c r="J12683"/>
    </row>
    <row r="12684" spans="9:10" x14ac:dyDescent="0.3">
      <c r="I12684"/>
      <c r="J12684"/>
    </row>
    <row r="12685" spans="9:10" x14ac:dyDescent="0.3">
      <c r="I12685"/>
      <c r="J12685"/>
    </row>
    <row r="12686" spans="9:10" x14ac:dyDescent="0.3">
      <c r="I12686"/>
      <c r="J12686"/>
    </row>
    <row r="12687" spans="9:10" x14ac:dyDescent="0.3">
      <c r="I12687"/>
      <c r="J12687"/>
    </row>
    <row r="12688" spans="9:10" x14ac:dyDescent="0.3">
      <c r="I12688"/>
      <c r="J12688"/>
    </row>
    <row r="12689" spans="9:10" x14ac:dyDescent="0.3">
      <c r="I12689"/>
      <c r="J12689"/>
    </row>
    <row r="12690" spans="9:10" x14ac:dyDescent="0.3">
      <c r="I12690"/>
      <c r="J12690"/>
    </row>
    <row r="12691" spans="9:10" x14ac:dyDescent="0.3">
      <c r="I12691"/>
      <c r="J12691"/>
    </row>
    <row r="12692" spans="9:10" x14ac:dyDescent="0.3">
      <c r="I12692"/>
      <c r="J12692"/>
    </row>
    <row r="12693" spans="9:10" x14ac:dyDescent="0.3">
      <c r="I12693"/>
      <c r="J12693"/>
    </row>
    <row r="12694" spans="9:10" x14ac:dyDescent="0.3">
      <c r="I12694"/>
      <c r="J12694"/>
    </row>
    <row r="12695" spans="9:10" x14ac:dyDescent="0.3">
      <c r="I12695"/>
      <c r="J12695"/>
    </row>
    <row r="12696" spans="9:10" x14ac:dyDescent="0.3">
      <c r="I12696"/>
      <c r="J12696"/>
    </row>
    <row r="12697" spans="9:10" x14ac:dyDescent="0.3">
      <c r="I12697"/>
      <c r="J12697"/>
    </row>
    <row r="12698" spans="9:10" x14ac:dyDescent="0.3">
      <c r="I12698"/>
      <c r="J12698"/>
    </row>
    <row r="12699" spans="9:10" x14ac:dyDescent="0.3">
      <c r="I12699"/>
      <c r="J12699"/>
    </row>
    <row r="12700" spans="9:10" x14ac:dyDescent="0.3">
      <c r="I12700"/>
      <c r="J12700"/>
    </row>
    <row r="12701" spans="9:10" x14ac:dyDescent="0.3">
      <c r="I12701"/>
      <c r="J12701"/>
    </row>
    <row r="12702" spans="9:10" x14ac:dyDescent="0.3">
      <c r="I12702"/>
      <c r="J12702"/>
    </row>
    <row r="12703" spans="9:10" x14ac:dyDescent="0.3">
      <c r="I12703"/>
      <c r="J12703"/>
    </row>
    <row r="12704" spans="9:10" x14ac:dyDescent="0.3">
      <c r="I12704"/>
      <c r="J12704"/>
    </row>
    <row r="12705" spans="9:10" x14ac:dyDescent="0.3">
      <c r="I12705"/>
      <c r="J12705"/>
    </row>
    <row r="12706" spans="9:10" x14ac:dyDescent="0.3">
      <c r="I12706"/>
      <c r="J12706"/>
    </row>
    <row r="12707" spans="9:10" x14ac:dyDescent="0.3">
      <c r="I12707"/>
      <c r="J12707"/>
    </row>
    <row r="12708" spans="9:10" x14ac:dyDescent="0.3">
      <c r="I12708"/>
      <c r="J12708"/>
    </row>
    <row r="12709" spans="9:10" x14ac:dyDescent="0.3">
      <c r="I12709"/>
      <c r="J12709"/>
    </row>
    <row r="12710" spans="9:10" x14ac:dyDescent="0.3">
      <c r="I12710"/>
      <c r="J12710"/>
    </row>
    <row r="12711" spans="9:10" x14ac:dyDescent="0.3">
      <c r="I12711"/>
      <c r="J12711"/>
    </row>
    <row r="12712" spans="9:10" x14ac:dyDescent="0.3">
      <c r="I12712"/>
      <c r="J12712"/>
    </row>
    <row r="12713" spans="9:10" x14ac:dyDescent="0.3">
      <c r="I12713"/>
      <c r="J12713"/>
    </row>
    <row r="12714" spans="9:10" x14ac:dyDescent="0.3">
      <c r="I12714"/>
      <c r="J12714"/>
    </row>
    <row r="12715" spans="9:10" x14ac:dyDescent="0.3">
      <c r="I12715"/>
      <c r="J12715"/>
    </row>
    <row r="12716" spans="9:10" x14ac:dyDescent="0.3">
      <c r="I12716"/>
      <c r="J12716"/>
    </row>
    <row r="12717" spans="9:10" x14ac:dyDescent="0.3">
      <c r="I12717"/>
      <c r="J12717"/>
    </row>
    <row r="12718" spans="9:10" x14ac:dyDescent="0.3">
      <c r="I12718"/>
      <c r="J12718"/>
    </row>
    <row r="12719" spans="9:10" x14ac:dyDescent="0.3">
      <c r="I12719"/>
      <c r="J12719"/>
    </row>
    <row r="12720" spans="9:10" x14ac:dyDescent="0.3">
      <c r="I12720"/>
      <c r="J12720"/>
    </row>
    <row r="12721" spans="9:10" x14ac:dyDescent="0.3">
      <c r="I12721"/>
      <c r="J12721"/>
    </row>
    <row r="12722" spans="9:10" x14ac:dyDescent="0.3">
      <c r="I12722"/>
      <c r="J12722"/>
    </row>
    <row r="12723" spans="9:10" x14ac:dyDescent="0.3">
      <c r="I12723"/>
      <c r="J12723"/>
    </row>
    <row r="12724" spans="9:10" x14ac:dyDescent="0.3">
      <c r="I12724"/>
      <c r="J12724"/>
    </row>
    <row r="12725" spans="9:10" x14ac:dyDescent="0.3">
      <c r="I12725"/>
      <c r="J12725"/>
    </row>
    <row r="12726" spans="9:10" x14ac:dyDescent="0.3">
      <c r="I12726"/>
      <c r="J12726"/>
    </row>
    <row r="12727" spans="9:10" x14ac:dyDescent="0.3">
      <c r="I12727"/>
      <c r="J12727"/>
    </row>
    <row r="12728" spans="9:10" x14ac:dyDescent="0.3">
      <c r="I12728"/>
      <c r="J12728"/>
    </row>
    <row r="12729" spans="9:10" x14ac:dyDescent="0.3">
      <c r="I12729"/>
      <c r="J12729"/>
    </row>
    <row r="12730" spans="9:10" x14ac:dyDescent="0.3">
      <c r="I12730"/>
      <c r="J12730"/>
    </row>
    <row r="12731" spans="9:10" x14ac:dyDescent="0.3">
      <c r="I12731"/>
      <c r="J12731"/>
    </row>
    <row r="12732" spans="9:10" x14ac:dyDescent="0.3">
      <c r="I12732"/>
      <c r="J12732"/>
    </row>
    <row r="12733" spans="9:10" x14ac:dyDescent="0.3">
      <c r="I12733"/>
      <c r="J12733"/>
    </row>
    <row r="12734" spans="9:10" x14ac:dyDescent="0.3">
      <c r="I12734"/>
      <c r="J12734"/>
    </row>
    <row r="12735" spans="9:10" x14ac:dyDescent="0.3">
      <c r="I12735"/>
      <c r="J12735"/>
    </row>
    <row r="12736" spans="9:10" x14ac:dyDescent="0.3">
      <c r="I12736"/>
      <c r="J12736"/>
    </row>
    <row r="12737" spans="9:10" x14ac:dyDescent="0.3">
      <c r="I12737"/>
      <c r="J12737"/>
    </row>
    <row r="12738" spans="9:10" x14ac:dyDescent="0.3">
      <c r="I12738"/>
      <c r="J12738"/>
    </row>
    <row r="12739" spans="9:10" x14ac:dyDescent="0.3">
      <c r="I12739"/>
      <c r="J12739"/>
    </row>
    <row r="12740" spans="9:10" x14ac:dyDescent="0.3">
      <c r="I12740"/>
      <c r="J12740"/>
    </row>
    <row r="12741" spans="9:10" x14ac:dyDescent="0.3">
      <c r="I12741"/>
      <c r="J12741"/>
    </row>
    <row r="12742" spans="9:10" x14ac:dyDescent="0.3">
      <c r="I12742"/>
      <c r="J12742"/>
    </row>
    <row r="12743" spans="9:10" x14ac:dyDescent="0.3">
      <c r="I12743"/>
      <c r="J12743"/>
    </row>
    <row r="12744" spans="9:10" x14ac:dyDescent="0.3">
      <c r="I12744"/>
      <c r="J12744"/>
    </row>
    <row r="12745" spans="9:10" x14ac:dyDescent="0.3">
      <c r="I12745"/>
      <c r="J12745"/>
    </row>
    <row r="12746" spans="9:10" x14ac:dyDescent="0.3">
      <c r="I12746"/>
      <c r="J12746"/>
    </row>
    <row r="12747" spans="9:10" x14ac:dyDescent="0.3">
      <c r="I12747"/>
      <c r="J12747"/>
    </row>
    <row r="12748" spans="9:10" x14ac:dyDescent="0.3">
      <c r="I12748"/>
      <c r="J12748"/>
    </row>
    <row r="12749" spans="9:10" x14ac:dyDescent="0.3">
      <c r="I12749"/>
      <c r="J12749"/>
    </row>
    <row r="12750" spans="9:10" x14ac:dyDescent="0.3">
      <c r="I12750"/>
      <c r="J12750"/>
    </row>
    <row r="12751" spans="9:10" x14ac:dyDescent="0.3">
      <c r="I12751"/>
      <c r="J12751"/>
    </row>
    <row r="12752" spans="9:10" x14ac:dyDescent="0.3">
      <c r="I12752"/>
      <c r="J12752"/>
    </row>
    <row r="12753" spans="9:10" x14ac:dyDescent="0.3">
      <c r="I12753"/>
      <c r="J12753"/>
    </row>
    <row r="12754" spans="9:10" x14ac:dyDescent="0.3">
      <c r="I12754"/>
      <c r="J12754"/>
    </row>
    <row r="12755" spans="9:10" x14ac:dyDescent="0.3">
      <c r="I12755"/>
      <c r="J12755"/>
    </row>
    <row r="12756" spans="9:10" x14ac:dyDescent="0.3">
      <c r="I12756"/>
      <c r="J12756"/>
    </row>
    <row r="12757" spans="9:10" x14ac:dyDescent="0.3">
      <c r="I12757"/>
      <c r="J12757"/>
    </row>
    <row r="12758" spans="9:10" x14ac:dyDescent="0.3">
      <c r="I12758"/>
      <c r="J12758"/>
    </row>
    <row r="12759" spans="9:10" x14ac:dyDescent="0.3">
      <c r="I12759"/>
      <c r="J12759"/>
    </row>
    <row r="12760" spans="9:10" x14ac:dyDescent="0.3">
      <c r="I12760"/>
      <c r="J12760"/>
    </row>
    <row r="12761" spans="9:10" x14ac:dyDescent="0.3">
      <c r="I12761"/>
      <c r="J12761"/>
    </row>
    <row r="12762" spans="9:10" x14ac:dyDescent="0.3">
      <c r="I12762"/>
      <c r="J12762"/>
    </row>
    <row r="12763" spans="9:10" x14ac:dyDescent="0.3">
      <c r="I12763"/>
      <c r="J12763"/>
    </row>
    <row r="12764" spans="9:10" x14ac:dyDescent="0.3">
      <c r="I12764"/>
      <c r="J12764"/>
    </row>
    <row r="12765" spans="9:10" x14ac:dyDescent="0.3">
      <c r="I12765"/>
      <c r="J12765"/>
    </row>
    <row r="12766" spans="9:10" x14ac:dyDescent="0.3">
      <c r="I12766"/>
      <c r="J12766"/>
    </row>
    <row r="12767" spans="9:10" x14ac:dyDescent="0.3">
      <c r="I12767"/>
      <c r="J12767"/>
    </row>
    <row r="12768" spans="9:10" x14ac:dyDescent="0.3">
      <c r="I12768"/>
      <c r="J12768"/>
    </row>
    <row r="12769" spans="9:10" x14ac:dyDescent="0.3">
      <c r="I12769"/>
      <c r="J12769"/>
    </row>
    <row r="12770" spans="9:10" x14ac:dyDescent="0.3">
      <c r="I12770"/>
      <c r="J12770"/>
    </row>
    <row r="12771" spans="9:10" x14ac:dyDescent="0.3">
      <c r="I12771"/>
      <c r="J12771"/>
    </row>
    <row r="12772" spans="9:10" x14ac:dyDescent="0.3">
      <c r="I12772"/>
      <c r="J12772"/>
    </row>
    <row r="12773" spans="9:10" x14ac:dyDescent="0.3">
      <c r="I12773"/>
      <c r="J12773"/>
    </row>
    <row r="12774" spans="9:10" x14ac:dyDescent="0.3">
      <c r="I12774"/>
      <c r="J12774"/>
    </row>
    <row r="12775" spans="9:10" x14ac:dyDescent="0.3">
      <c r="I12775"/>
      <c r="J12775"/>
    </row>
    <row r="12776" spans="9:10" x14ac:dyDescent="0.3">
      <c r="I12776"/>
      <c r="J12776"/>
    </row>
    <row r="12777" spans="9:10" x14ac:dyDescent="0.3">
      <c r="I12777"/>
      <c r="J12777"/>
    </row>
    <row r="12778" spans="9:10" x14ac:dyDescent="0.3">
      <c r="I12778"/>
      <c r="J12778"/>
    </row>
    <row r="12779" spans="9:10" x14ac:dyDescent="0.3">
      <c r="I12779"/>
      <c r="J12779"/>
    </row>
    <row r="12780" spans="9:10" x14ac:dyDescent="0.3">
      <c r="I12780"/>
      <c r="J12780"/>
    </row>
    <row r="12781" spans="9:10" x14ac:dyDescent="0.3">
      <c r="I12781"/>
      <c r="J12781"/>
    </row>
    <row r="12782" spans="9:10" x14ac:dyDescent="0.3">
      <c r="I12782"/>
      <c r="J12782"/>
    </row>
    <row r="12783" spans="9:10" x14ac:dyDescent="0.3">
      <c r="I12783"/>
      <c r="J12783"/>
    </row>
    <row r="12784" spans="9:10" x14ac:dyDescent="0.3">
      <c r="I12784"/>
      <c r="J12784"/>
    </row>
    <row r="12785" spans="9:10" x14ac:dyDescent="0.3">
      <c r="I12785"/>
      <c r="J12785"/>
    </row>
    <row r="12786" spans="9:10" x14ac:dyDescent="0.3">
      <c r="I12786"/>
      <c r="J12786"/>
    </row>
    <row r="12787" spans="9:10" x14ac:dyDescent="0.3">
      <c r="I12787"/>
      <c r="J12787"/>
    </row>
    <row r="12788" spans="9:10" x14ac:dyDescent="0.3">
      <c r="I12788"/>
      <c r="J12788"/>
    </row>
    <row r="12789" spans="9:10" x14ac:dyDescent="0.3">
      <c r="I12789"/>
      <c r="J12789"/>
    </row>
    <row r="12790" spans="9:10" x14ac:dyDescent="0.3">
      <c r="I12790"/>
      <c r="J12790"/>
    </row>
    <row r="12791" spans="9:10" x14ac:dyDescent="0.3">
      <c r="I12791"/>
      <c r="J12791"/>
    </row>
    <row r="12792" spans="9:10" x14ac:dyDescent="0.3">
      <c r="I12792"/>
      <c r="J12792"/>
    </row>
    <row r="12793" spans="9:10" x14ac:dyDescent="0.3">
      <c r="I12793"/>
      <c r="J12793"/>
    </row>
    <row r="12794" spans="9:10" x14ac:dyDescent="0.3">
      <c r="I12794"/>
      <c r="J12794"/>
    </row>
    <row r="12795" spans="9:10" x14ac:dyDescent="0.3">
      <c r="I12795"/>
      <c r="J12795"/>
    </row>
    <row r="12796" spans="9:10" x14ac:dyDescent="0.3">
      <c r="I12796"/>
      <c r="J12796"/>
    </row>
    <row r="12797" spans="9:10" x14ac:dyDescent="0.3">
      <c r="I12797"/>
      <c r="J12797"/>
    </row>
    <row r="12798" spans="9:10" x14ac:dyDescent="0.3">
      <c r="I12798"/>
      <c r="J12798"/>
    </row>
    <row r="12799" spans="9:10" x14ac:dyDescent="0.3">
      <c r="I12799"/>
      <c r="J12799"/>
    </row>
    <row r="12800" spans="9:10" x14ac:dyDescent="0.3">
      <c r="I12800"/>
      <c r="J12800"/>
    </row>
    <row r="12801" spans="9:10" x14ac:dyDescent="0.3">
      <c r="I12801"/>
      <c r="J12801"/>
    </row>
    <row r="12802" spans="9:10" x14ac:dyDescent="0.3">
      <c r="I12802"/>
      <c r="J12802"/>
    </row>
    <row r="12803" spans="9:10" x14ac:dyDescent="0.3">
      <c r="I12803"/>
      <c r="J12803"/>
    </row>
    <row r="12804" spans="9:10" x14ac:dyDescent="0.3">
      <c r="I12804"/>
      <c r="J12804"/>
    </row>
    <row r="12805" spans="9:10" x14ac:dyDescent="0.3">
      <c r="I12805"/>
      <c r="J12805"/>
    </row>
    <row r="12806" spans="9:10" x14ac:dyDescent="0.3">
      <c r="I12806"/>
      <c r="J12806"/>
    </row>
    <row r="12807" spans="9:10" x14ac:dyDescent="0.3">
      <c r="I12807"/>
      <c r="J12807"/>
    </row>
    <row r="12808" spans="9:10" x14ac:dyDescent="0.3">
      <c r="I12808"/>
      <c r="J12808"/>
    </row>
    <row r="12809" spans="9:10" x14ac:dyDescent="0.3">
      <c r="I12809"/>
      <c r="J12809"/>
    </row>
    <row r="12810" spans="9:10" x14ac:dyDescent="0.3">
      <c r="I12810"/>
      <c r="J12810"/>
    </row>
    <row r="12811" spans="9:10" x14ac:dyDescent="0.3">
      <c r="I12811"/>
      <c r="J12811"/>
    </row>
    <row r="12812" spans="9:10" x14ac:dyDescent="0.3">
      <c r="I12812"/>
      <c r="J12812"/>
    </row>
    <row r="12813" spans="9:10" x14ac:dyDescent="0.3">
      <c r="I12813"/>
      <c r="J12813"/>
    </row>
    <row r="12814" spans="9:10" x14ac:dyDescent="0.3">
      <c r="I12814"/>
      <c r="J12814"/>
    </row>
    <row r="12815" spans="9:10" x14ac:dyDescent="0.3">
      <c r="I12815"/>
      <c r="J12815"/>
    </row>
    <row r="12816" spans="9:10" x14ac:dyDescent="0.3">
      <c r="I12816"/>
      <c r="J12816"/>
    </row>
    <row r="12817" spans="9:10" x14ac:dyDescent="0.3">
      <c r="I12817"/>
      <c r="J12817"/>
    </row>
    <row r="12818" spans="9:10" x14ac:dyDescent="0.3">
      <c r="I12818"/>
      <c r="J12818"/>
    </row>
    <row r="12819" spans="9:10" x14ac:dyDescent="0.3">
      <c r="I12819"/>
      <c r="J12819"/>
    </row>
    <row r="12820" spans="9:10" x14ac:dyDescent="0.3">
      <c r="I12820"/>
      <c r="J12820"/>
    </row>
    <row r="12821" spans="9:10" x14ac:dyDescent="0.3">
      <c r="I12821"/>
      <c r="J12821"/>
    </row>
    <row r="12822" spans="9:10" x14ac:dyDescent="0.3">
      <c r="I12822"/>
      <c r="J12822"/>
    </row>
    <row r="12823" spans="9:10" x14ac:dyDescent="0.3">
      <c r="I12823"/>
      <c r="J12823"/>
    </row>
    <row r="12824" spans="9:10" x14ac:dyDescent="0.3">
      <c r="I12824"/>
      <c r="J12824"/>
    </row>
    <row r="12825" spans="9:10" x14ac:dyDescent="0.3">
      <c r="I12825"/>
      <c r="J12825"/>
    </row>
    <row r="12826" spans="9:10" x14ac:dyDescent="0.3">
      <c r="I12826"/>
      <c r="J12826"/>
    </row>
    <row r="12827" spans="9:10" x14ac:dyDescent="0.3">
      <c r="I12827"/>
      <c r="J12827"/>
    </row>
    <row r="12828" spans="9:10" x14ac:dyDescent="0.3">
      <c r="I12828"/>
      <c r="J12828"/>
    </row>
    <row r="12829" spans="9:10" x14ac:dyDescent="0.3">
      <c r="I12829"/>
      <c r="J12829"/>
    </row>
    <row r="12830" spans="9:10" x14ac:dyDescent="0.3">
      <c r="I12830"/>
      <c r="J12830"/>
    </row>
    <row r="12831" spans="9:10" x14ac:dyDescent="0.3">
      <c r="I12831"/>
      <c r="J12831"/>
    </row>
    <row r="12832" spans="9:10" x14ac:dyDescent="0.3">
      <c r="I12832"/>
      <c r="J12832"/>
    </row>
    <row r="12833" spans="9:10" x14ac:dyDescent="0.3">
      <c r="I12833"/>
      <c r="J12833"/>
    </row>
    <row r="12834" spans="9:10" x14ac:dyDescent="0.3">
      <c r="I12834"/>
      <c r="J12834"/>
    </row>
    <row r="12835" spans="9:10" x14ac:dyDescent="0.3">
      <c r="I12835"/>
      <c r="J12835"/>
    </row>
    <row r="12836" spans="9:10" x14ac:dyDescent="0.3">
      <c r="I12836"/>
      <c r="J12836"/>
    </row>
    <row r="12837" spans="9:10" x14ac:dyDescent="0.3">
      <c r="I12837"/>
      <c r="J12837"/>
    </row>
    <row r="12838" spans="9:10" x14ac:dyDescent="0.3">
      <c r="I12838"/>
      <c r="J12838"/>
    </row>
    <row r="12839" spans="9:10" x14ac:dyDescent="0.3">
      <c r="I12839"/>
      <c r="J12839"/>
    </row>
    <row r="12840" spans="9:10" x14ac:dyDescent="0.3">
      <c r="I12840"/>
      <c r="J12840"/>
    </row>
    <row r="12841" spans="9:10" x14ac:dyDescent="0.3">
      <c r="I12841"/>
      <c r="J12841"/>
    </row>
    <row r="12842" spans="9:10" x14ac:dyDescent="0.3">
      <c r="I12842"/>
      <c r="J12842"/>
    </row>
    <row r="12843" spans="9:10" x14ac:dyDescent="0.3">
      <c r="I12843"/>
      <c r="J12843"/>
    </row>
    <row r="12844" spans="9:10" x14ac:dyDescent="0.3">
      <c r="I12844"/>
      <c r="J12844"/>
    </row>
    <row r="12845" spans="9:10" x14ac:dyDescent="0.3">
      <c r="I12845"/>
      <c r="J12845"/>
    </row>
    <row r="12846" spans="9:10" x14ac:dyDescent="0.3">
      <c r="I12846"/>
      <c r="J12846"/>
    </row>
    <row r="12847" spans="9:10" x14ac:dyDescent="0.3">
      <c r="I12847"/>
      <c r="J12847"/>
    </row>
    <row r="12848" spans="9:10" x14ac:dyDescent="0.3">
      <c r="I12848"/>
      <c r="J12848"/>
    </row>
    <row r="12849" spans="9:10" x14ac:dyDescent="0.3">
      <c r="I12849"/>
      <c r="J12849"/>
    </row>
    <row r="12850" spans="9:10" x14ac:dyDescent="0.3">
      <c r="I12850"/>
      <c r="J12850"/>
    </row>
    <row r="12851" spans="9:10" x14ac:dyDescent="0.3">
      <c r="I12851"/>
      <c r="J12851"/>
    </row>
    <row r="12852" spans="9:10" x14ac:dyDescent="0.3">
      <c r="I12852"/>
      <c r="J12852"/>
    </row>
    <row r="12853" spans="9:10" x14ac:dyDescent="0.3">
      <c r="I12853"/>
      <c r="J12853"/>
    </row>
    <row r="12854" spans="9:10" x14ac:dyDescent="0.3">
      <c r="I12854"/>
      <c r="J12854"/>
    </row>
    <row r="12855" spans="9:10" x14ac:dyDescent="0.3">
      <c r="I12855"/>
      <c r="J12855"/>
    </row>
    <row r="12856" spans="9:10" x14ac:dyDescent="0.3">
      <c r="I12856"/>
      <c r="J12856"/>
    </row>
    <row r="12857" spans="9:10" x14ac:dyDescent="0.3">
      <c r="I12857"/>
      <c r="J12857"/>
    </row>
    <row r="12858" spans="9:10" x14ac:dyDescent="0.3">
      <c r="I12858"/>
      <c r="J12858"/>
    </row>
    <row r="12859" spans="9:10" x14ac:dyDescent="0.3">
      <c r="I12859"/>
      <c r="J12859"/>
    </row>
    <row r="12860" spans="9:10" x14ac:dyDescent="0.3">
      <c r="I12860"/>
      <c r="J12860"/>
    </row>
    <row r="12861" spans="9:10" x14ac:dyDescent="0.3">
      <c r="I12861"/>
      <c r="J12861"/>
    </row>
    <row r="12862" spans="9:10" x14ac:dyDescent="0.3">
      <c r="I12862"/>
      <c r="J12862"/>
    </row>
    <row r="12863" spans="9:10" x14ac:dyDescent="0.3">
      <c r="I12863"/>
      <c r="J12863"/>
    </row>
    <row r="12864" spans="9:10" x14ac:dyDescent="0.3">
      <c r="I12864"/>
      <c r="J12864"/>
    </row>
    <row r="12865" spans="9:10" x14ac:dyDescent="0.3">
      <c r="I12865"/>
      <c r="J12865"/>
    </row>
    <row r="12866" spans="9:10" x14ac:dyDescent="0.3">
      <c r="I12866"/>
      <c r="J12866"/>
    </row>
    <row r="12867" spans="9:10" x14ac:dyDescent="0.3">
      <c r="I12867"/>
      <c r="J12867"/>
    </row>
    <row r="12868" spans="9:10" x14ac:dyDescent="0.3">
      <c r="I12868"/>
      <c r="J12868"/>
    </row>
    <row r="12869" spans="9:10" x14ac:dyDescent="0.3">
      <c r="I12869"/>
      <c r="J12869"/>
    </row>
    <row r="12870" spans="9:10" x14ac:dyDescent="0.3">
      <c r="I12870"/>
      <c r="J12870"/>
    </row>
    <row r="12871" spans="9:10" x14ac:dyDescent="0.3">
      <c r="I12871"/>
      <c r="J12871"/>
    </row>
    <row r="12872" spans="9:10" x14ac:dyDescent="0.3">
      <c r="I12872"/>
      <c r="J12872"/>
    </row>
    <row r="12873" spans="9:10" x14ac:dyDescent="0.3">
      <c r="I12873"/>
      <c r="J12873"/>
    </row>
    <row r="12874" spans="9:10" x14ac:dyDescent="0.3">
      <c r="I12874"/>
      <c r="J12874"/>
    </row>
    <row r="12875" spans="9:10" x14ac:dyDescent="0.3">
      <c r="I12875"/>
      <c r="J12875"/>
    </row>
    <row r="12876" spans="9:10" x14ac:dyDescent="0.3">
      <c r="I12876"/>
      <c r="J12876"/>
    </row>
    <row r="12877" spans="9:10" x14ac:dyDescent="0.3">
      <c r="I12877"/>
      <c r="J12877"/>
    </row>
    <row r="12878" spans="9:10" x14ac:dyDescent="0.3">
      <c r="I12878"/>
      <c r="J12878"/>
    </row>
    <row r="12879" spans="9:10" x14ac:dyDescent="0.3">
      <c r="I12879"/>
      <c r="J12879"/>
    </row>
    <row r="12880" spans="9:10" x14ac:dyDescent="0.3">
      <c r="I12880"/>
      <c r="J12880"/>
    </row>
    <row r="12881" spans="9:10" x14ac:dyDescent="0.3">
      <c r="I12881"/>
      <c r="J12881"/>
    </row>
    <row r="12882" spans="9:10" x14ac:dyDescent="0.3">
      <c r="I12882"/>
      <c r="J12882"/>
    </row>
    <row r="12883" spans="9:10" x14ac:dyDescent="0.3">
      <c r="I12883"/>
      <c r="J12883"/>
    </row>
    <row r="12884" spans="9:10" x14ac:dyDescent="0.3">
      <c r="I12884"/>
      <c r="J12884"/>
    </row>
    <row r="12885" spans="9:10" x14ac:dyDescent="0.3">
      <c r="I12885"/>
      <c r="J12885"/>
    </row>
    <row r="12886" spans="9:10" x14ac:dyDescent="0.3">
      <c r="I12886"/>
      <c r="J12886"/>
    </row>
    <row r="12887" spans="9:10" x14ac:dyDescent="0.3">
      <c r="I12887"/>
      <c r="J12887"/>
    </row>
    <row r="12888" spans="9:10" x14ac:dyDescent="0.3">
      <c r="I12888"/>
      <c r="J12888"/>
    </row>
    <row r="12889" spans="9:10" x14ac:dyDescent="0.3">
      <c r="I12889"/>
      <c r="J12889"/>
    </row>
    <row r="12890" spans="9:10" x14ac:dyDescent="0.3">
      <c r="I12890"/>
      <c r="J12890"/>
    </row>
    <row r="12891" spans="9:10" x14ac:dyDescent="0.3">
      <c r="I12891"/>
      <c r="J12891"/>
    </row>
    <row r="12892" spans="9:10" x14ac:dyDescent="0.3">
      <c r="I12892"/>
      <c r="J12892"/>
    </row>
    <row r="12893" spans="9:10" x14ac:dyDescent="0.3">
      <c r="I12893"/>
      <c r="J12893"/>
    </row>
    <row r="12894" spans="9:10" x14ac:dyDescent="0.3">
      <c r="I12894"/>
      <c r="J12894"/>
    </row>
    <row r="12895" spans="9:10" x14ac:dyDescent="0.3">
      <c r="I12895"/>
      <c r="J12895"/>
    </row>
    <row r="12896" spans="9:10" x14ac:dyDescent="0.3">
      <c r="I12896"/>
      <c r="J12896"/>
    </row>
    <row r="12897" spans="9:10" x14ac:dyDescent="0.3">
      <c r="I12897"/>
      <c r="J12897"/>
    </row>
    <row r="12898" spans="9:10" x14ac:dyDescent="0.3">
      <c r="I12898"/>
      <c r="J12898"/>
    </row>
    <row r="12899" spans="9:10" x14ac:dyDescent="0.3">
      <c r="I12899"/>
      <c r="J12899"/>
    </row>
    <row r="12900" spans="9:10" x14ac:dyDescent="0.3">
      <c r="I12900"/>
      <c r="J12900"/>
    </row>
    <row r="12901" spans="9:10" x14ac:dyDescent="0.3">
      <c r="I12901"/>
      <c r="J12901"/>
    </row>
    <row r="12902" spans="9:10" x14ac:dyDescent="0.3">
      <c r="I12902"/>
      <c r="J12902"/>
    </row>
    <row r="12903" spans="9:10" x14ac:dyDescent="0.3">
      <c r="I12903"/>
      <c r="J12903"/>
    </row>
    <row r="12904" spans="9:10" x14ac:dyDescent="0.3">
      <c r="I12904"/>
      <c r="J12904"/>
    </row>
    <row r="12905" spans="9:10" x14ac:dyDescent="0.3">
      <c r="I12905"/>
      <c r="J12905"/>
    </row>
    <row r="12906" spans="9:10" x14ac:dyDescent="0.3">
      <c r="I12906"/>
      <c r="J12906"/>
    </row>
    <row r="12907" spans="9:10" x14ac:dyDescent="0.3">
      <c r="I12907"/>
      <c r="J12907"/>
    </row>
    <row r="12908" spans="9:10" x14ac:dyDescent="0.3">
      <c r="I12908"/>
      <c r="J12908"/>
    </row>
    <row r="12909" spans="9:10" x14ac:dyDescent="0.3">
      <c r="I12909"/>
      <c r="J12909"/>
    </row>
    <row r="12910" spans="9:10" x14ac:dyDescent="0.3">
      <c r="I12910"/>
      <c r="J12910"/>
    </row>
    <row r="12911" spans="9:10" x14ac:dyDescent="0.3">
      <c r="I12911"/>
      <c r="J12911"/>
    </row>
    <row r="12912" spans="9:10" x14ac:dyDescent="0.3">
      <c r="I12912"/>
      <c r="J12912"/>
    </row>
    <row r="12913" spans="9:10" x14ac:dyDescent="0.3">
      <c r="I12913"/>
      <c r="J12913"/>
    </row>
    <row r="12914" spans="9:10" x14ac:dyDescent="0.3">
      <c r="I12914"/>
      <c r="J12914"/>
    </row>
    <row r="12915" spans="9:10" x14ac:dyDescent="0.3">
      <c r="I12915"/>
      <c r="J12915"/>
    </row>
    <row r="12916" spans="9:10" x14ac:dyDescent="0.3">
      <c r="I12916"/>
      <c r="J12916"/>
    </row>
    <row r="12917" spans="9:10" x14ac:dyDescent="0.3">
      <c r="I12917"/>
      <c r="J12917"/>
    </row>
    <row r="12918" spans="9:10" x14ac:dyDescent="0.3">
      <c r="I12918"/>
      <c r="J12918"/>
    </row>
    <row r="12919" spans="9:10" x14ac:dyDescent="0.3">
      <c r="I12919"/>
      <c r="J12919"/>
    </row>
    <row r="12920" spans="9:10" x14ac:dyDescent="0.3">
      <c r="I12920"/>
      <c r="J12920"/>
    </row>
    <row r="12921" spans="9:10" x14ac:dyDescent="0.3">
      <c r="I12921"/>
      <c r="J12921"/>
    </row>
    <row r="12922" spans="9:10" x14ac:dyDescent="0.3">
      <c r="I12922"/>
      <c r="J12922"/>
    </row>
    <row r="12923" spans="9:10" x14ac:dyDescent="0.3">
      <c r="I12923"/>
      <c r="J12923"/>
    </row>
    <row r="12924" spans="9:10" x14ac:dyDescent="0.3">
      <c r="I12924"/>
      <c r="J12924"/>
    </row>
    <row r="12925" spans="9:10" x14ac:dyDescent="0.3">
      <c r="I12925"/>
      <c r="J12925"/>
    </row>
    <row r="12926" spans="9:10" x14ac:dyDescent="0.3">
      <c r="I12926"/>
      <c r="J12926"/>
    </row>
    <row r="12927" spans="9:10" x14ac:dyDescent="0.3">
      <c r="I12927"/>
      <c r="J12927"/>
    </row>
    <row r="12928" spans="9:10" x14ac:dyDescent="0.3">
      <c r="I12928"/>
      <c r="J12928"/>
    </row>
    <row r="12929" spans="9:10" x14ac:dyDescent="0.3">
      <c r="I12929"/>
      <c r="J12929"/>
    </row>
    <row r="12930" spans="9:10" x14ac:dyDescent="0.3">
      <c r="I12930"/>
      <c r="J12930"/>
    </row>
    <row r="12931" spans="9:10" x14ac:dyDescent="0.3">
      <c r="I12931"/>
      <c r="J12931"/>
    </row>
    <row r="12932" spans="9:10" x14ac:dyDescent="0.3">
      <c r="I12932"/>
      <c r="J12932"/>
    </row>
    <row r="12933" spans="9:10" x14ac:dyDescent="0.3">
      <c r="I12933"/>
      <c r="J12933"/>
    </row>
    <row r="12934" spans="9:10" x14ac:dyDescent="0.3">
      <c r="I12934"/>
      <c r="J12934"/>
    </row>
    <row r="12935" spans="9:10" x14ac:dyDescent="0.3">
      <c r="I12935"/>
      <c r="J12935"/>
    </row>
    <row r="12936" spans="9:10" x14ac:dyDescent="0.3">
      <c r="I12936"/>
      <c r="J12936"/>
    </row>
    <row r="12937" spans="9:10" x14ac:dyDescent="0.3">
      <c r="I12937"/>
      <c r="J12937"/>
    </row>
    <row r="12938" spans="9:10" x14ac:dyDescent="0.3">
      <c r="I12938"/>
      <c r="J12938"/>
    </row>
    <row r="12939" spans="9:10" x14ac:dyDescent="0.3">
      <c r="I12939"/>
      <c r="J12939"/>
    </row>
    <row r="12940" spans="9:10" x14ac:dyDescent="0.3">
      <c r="I12940"/>
      <c r="J12940"/>
    </row>
    <row r="12941" spans="9:10" x14ac:dyDescent="0.3">
      <c r="I12941"/>
      <c r="J12941"/>
    </row>
    <row r="12942" spans="9:10" x14ac:dyDescent="0.3">
      <c r="I12942"/>
      <c r="J12942"/>
    </row>
    <row r="12943" spans="9:10" x14ac:dyDescent="0.3">
      <c r="I12943"/>
      <c r="J12943"/>
    </row>
    <row r="12944" spans="9:10" x14ac:dyDescent="0.3">
      <c r="I12944"/>
      <c r="J12944"/>
    </row>
    <row r="12945" spans="9:10" x14ac:dyDescent="0.3">
      <c r="I12945"/>
      <c r="J12945"/>
    </row>
    <row r="12946" spans="9:10" x14ac:dyDescent="0.3">
      <c r="I12946"/>
      <c r="J12946"/>
    </row>
    <row r="12947" spans="9:10" x14ac:dyDescent="0.3">
      <c r="I12947"/>
      <c r="J12947"/>
    </row>
    <row r="12948" spans="9:10" x14ac:dyDescent="0.3">
      <c r="I12948"/>
      <c r="J12948"/>
    </row>
    <row r="12949" spans="9:10" x14ac:dyDescent="0.3">
      <c r="I12949"/>
      <c r="J12949"/>
    </row>
    <row r="12950" spans="9:10" x14ac:dyDescent="0.3">
      <c r="I12950"/>
      <c r="J12950"/>
    </row>
    <row r="12951" spans="9:10" x14ac:dyDescent="0.3">
      <c r="I12951"/>
      <c r="J12951"/>
    </row>
    <row r="12952" spans="9:10" x14ac:dyDescent="0.3">
      <c r="I12952"/>
      <c r="J12952"/>
    </row>
    <row r="12953" spans="9:10" x14ac:dyDescent="0.3">
      <c r="I12953"/>
      <c r="J12953"/>
    </row>
    <row r="12954" spans="9:10" x14ac:dyDescent="0.3">
      <c r="I12954"/>
      <c r="J12954"/>
    </row>
    <row r="12955" spans="9:10" x14ac:dyDescent="0.3">
      <c r="I12955"/>
      <c r="J12955"/>
    </row>
    <row r="12956" spans="9:10" x14ac:dyDescent="0.3">
      <c r="I12956"/>
      <c r="J12956"/>
    </row>
    <row r="12957" spans="9:10" x14ac:dyDescent="0.3">
      <c r="I12957"/>
      <c r="J12957"/>
    </row>
    <row r="12958" spans="9:10" x14ac:dyDescent="0.3">
      <c r="I12958"/>
      <c r="J12958"/>
    </row>
    <row r="12959" spans="9:10" x14ac:dyDescent="0.3">
      <c r="I12959"/>
      <c r="J12959"/>
    </row>
    <row r="12960" spans="9:10" x14ac:dyDescent="0.3">
      <c r="I12960"/>
      <c r="J12960"/>
    </row>
    <row r="12961" spans="9:10" x14ac:dyDescent="0.3">
      <c r="I12961"/>
      <c r="J12961"/>
    </row>
    <row r="12962" spans="9:10" x14ac:dyDescent="0.3">
      <c r="I12962"/>
      <c r="J12962"/>
    </row>
    <row r="12963" spans="9:10" x14ac:dyDescent="0.3">
      <c r="I12963"/>
      <c r="J12963"/>
    </row>
    <row r="12964" spans="9:10" x14ac:dyDescent="0.3">
      <c r="I12964"/>
      <c r="J12964"/>
    </row>
    <row r="12965" spans="9:10" x14ac:dyDescent="0.3">
      <c r="I12965"/>
      <c r="J12965"/>
    </row>
    <row r="12966" spans="9:10" x14ac:dyDescent="0.3">
      <c r="I12966"/>
      <c r="J12966"/>
    </row>
    <row r="12967" spans="9:10" x14ac:dyDescent="0.3">
      <c r="I12967"/>
      <c r="J12967"/>
    </row>
    <row r="12968" spans="9:10" x14ac:dyDescent="0.3">
      <c r="I12968"/>
      <c r="J12968"/>
    </row>
    <row r="12969" spans="9:10" x14ac:dyDescent="0.3">
      <c r="I12969"/>
      <c r="J12969"/>
    </row>
    <row r="12970" spans="9:10" x14ac:dyDescent="0.3">
      <c r="I12970"/>
      <c r="J12970"/>
    </row>
    <row r="12971" spans="9:10" x14ac:dyDescent="0.3">
      <c r="I12971"/>
      <c r="J12971"/>
    </row>
    <row r="12972" spans="9:10" x14ac:dyDescent="0.3">
      <c r="I12972"/>
      <c r="J12972"/>
    </row>
    <row r="12973" spans="9:10" x14ac:dyDescent="0.3">
      <c r="I12973"/>
      <c r="J12973"/>
    </row>
    <row r="12974" spans="9:10" x14ac:dyDescent="0.3">
      <c r="I12974"/>
      <c r="J12974"/>
    </row>
    <row r="12975" spans="9:10" x14ac:dyDescent="0.3">
      <c r="I12975"/>
      <c r="J12975"/>
    </row>
    <row r="12976" spans="9:10" x14ac:dyDescent="0.3">
      <c r="I12976"/>
      <c r="J12976"/>
    </row>
    <row r="12977" spans="9:10" x14ac:dyDescent="0.3">
      <c r="I12977"/>
      <c r="J12977"/>
    </row>
    <row r="12978" spans="9:10" x14ac:dyDescent="0.3">
      <c r="I12978"/>
      <c r="J12978"/>
    </row>
    <row r="12979" spans="9:10" x14ac:dyDescent="0.3">
      <c r="I12979"/>
      <c r="J12979"/>
    </row>
    <row r="12980" spans="9:10" x14ac:dyDescent="0.3">
      <c r="I12980"/>
      <c r="J12980"/>
    </row>
    <row r="12981" spans="9:10" x14ac:dyDescent="0.3">
      <c r="I12981"/>
      <c r="J12981"/>
    </row>
    <row r="12982" spans="9:10" x14ac:dyDescent="0.3">
      <c r="I12982"/>
      <c r="J12982"/>
    </row>
    <row r="12983" spans="9:10" x14ac:dyDescent="0.3">
      <c r="I12983"/>
      <c r="J12983"/>
    </row>
    <row r="12984" spans="9:10" x14ac:dyDescent="0.3">
      <c r="I12984"/>
      <c r="J12984"/>
    </row>
    <row r="12985" spans="9:10" x14ac:dyDescent="0.3">
      <c r="I12985"/>
      <c r="J12985"/>
    </row>
    <row r="12986" spans="9:10" x14ac:dyDescent="0.3">
      <c r="I12986"/>
      <c r="J12986"/>
    </row>
    <row r="12987" spans="9:10" x14ac:dyDescent="0.3">
      <c r="I12987"/>
      <c r="J12987"/>
    </row>
    <row r="12988" spans="9:10" x14ac:dyDescent="0.3">
      <c r="I12988"/>
      <c r="J12988"/>
    </row>
    <row r="12989" spans="9:10" x14ac:dyDescent="0.3">
      <c r="I12989"/>
      <c r="J12989"/>
    </row>
    <row r="12990" spans="9:10" x14ac:dyDescent="0.3">
      <c r="I12990"/>
      <c r="J12990"/>
    </row>
    <row r="12991" spans="9:10" x14ac:dyDescent="0.3">
      <c r="I12991"/>
      <c r="J12991"/>
    </row>
    <row r="12992" spans="9:10" x14ac:dyDescent="0.3">
      <c r="I12992"/>
      <c r="J12992"/>
    </row>
    <row r="12993" spans="9:10" x14ac:dyDescent="0.3">
      <c r="I12993"/>
      <c r="J12993"/>
    </row>
    <row r="12994" spans="9:10" x14ac:dyDescent="0.3">
      <c r="I12994"/>
      <c r="J12994"/>
    </row>
    <row r="12995" spans="9:10" x14ac:dyDescent="0.3">
      <c r="I12995"/>
      <c r="J12995"/>
    </row>
    <row r="12996" spans="9:10" x14ac:dyDescent="0.3">
      <c r="I12996"/>
      <c r="J12996"/>
    </row>
    <row r="12997" spans="9:10" x14ac:dyDescent="0.3">
      <c r="I12997"/>
      <c r="J12997"/>
    </row>
    <row r="12998" spans="9:10" x14ac:dyDescent="0.3">
      <c r="I12998"/>
      <c r="J12998"/>
    </row>
    <row r="12999" spans="9:10" x14ac:dyDescent="0.3">
      <c r="I12999"/>
      <c r="J12999"/>
    </row>
    <row r="13000" spans="9:10" x14ac:dyDescent="0.3">
      <c r="I13000"/>
      <c r="J13000"/>
    </row>
    <row r="13001" spans="9:10" x14ac:dyDescent="0.3">
      <c r="I13001"/>
      <c r="J13001"/>
    </row>
    <row r="13002" spans="9:10" x14ac:dyDescent="0.3">
      <c r="I13002"/>
      <c r="J13002"/>
    </row>
    <row r="13003" spans="9:10" x14ac:dyDescent="0.3">
      <c r="I13003"/>
      <c r="J13003"/>
    </row>
    <row r="13004" spans="9:10" x14ac:dyDescent="0.3">
      <c r="I13004"/>
      <c r="J13004"/>
    </row>
    <row r="13005" spans="9:10" x14ac:dyDescent="0.3">
      <c r="I13005"/>
      <c r="J13005"/>
    </row>
    <row r="13006" spans="9:10" x14ac:dyDescent="0.3">
      <c r="I13006"/>
      <c r="J13006"/>
    </row>
    <row r="13007" spans="9:10" x14ac:dyDescent="0.3">
      <c r="I13007"/>
      <c r="J13007"/>
    </row>
    <row r="13008" spans="9:10" x14ac:dyDescent="0.3">
      <c r="I13008"/>
      <c r="J13008"/>
    </row>
    <row r="13009" spans="9:10" x14ac:dyDescent="0.3">
      <c r="I13009"/>
      <c r="J13009"/>
    </row>
    <row r="13010" spans="9:10" x14ac:dyDescent="0.3">
      <c r="I13010"/>
      <c r="J13010"/>
    </row>
    <row r="13011" spans="9:10" x14ac:dyDescent="0.3">
      <c r="I13011"/>
      <c r="J13011"/>
    </row>
    <row r="13012" spans="9:10" x14ac:dyDescent="0.3">
      <c r="I13012"/>
      <c r="J13012"/>
    </row>
    <row r="13013" spans="9:10" x14ac:dyDescent="0.3">
      <c r="I13013"/>
      <c r="J13013"/>
    </row>
    <row r="13014" spans="9:10" x14ac:dyDescent="0.3">
      <c r="I13014"/>
      <c r="J13014"/>
    </row>
    <row r="13015" spans="9:10" x14ac:dyDescent="0.3">
      <c r="I13015"/>
      <c r="J13015"/>
    </row>
    <row r="13016" spans="9:10" x14ac:dyDescent="0.3">
      <c r="I13016"/>
      <c r="J13016"/>
    </row>
    <row r="13017" spans="9:10" x14ac:dyDescent="0.3">
      <c r="I13017"/>
      <c r="J13017"/>
    </row>
    <row r="13018" spans="9:10" x14ac:dyDescent="0.3">
      <c r="I13018"/>
      <c r="J13018"/>
    </row>
    <row r="13019" spans="9:10" x14ac:dyDescent="0.3">
      <c r="I13019"/>
      <c r="J13019"/>
    </row>
    <row r="13020" spans="9:10" x14ac:dyDescent="0.3">
      <c r="I13020"/>
      <c r="J13020"/>
    </row>
    <row r="13021" spans="9:10" x14ac:dyDescent="0.3">
      <c r="I13021"/>
      <c r="J13021"/>
    </row>
    <row r="13022" spans="9:10" x14ac:dyDescent="0.3">
      <c r="I13022"/>
      <c r="J13022"/>
    </row>
    <row r="13023" spans="9:10" x14ac:dyDescent="0.3">
      <c r="I13023"/>
      <c r="J13023"/>
    </row>
    <row r="13024" spans="9:10" x14ac:dyDescent="0.3">
      <c r="I13024"/>
      <c r="J13024"/>
    </row>
    <row r="13025" spans="9:10" x14ac:dyDescent="0.3">
      <c r="I13025"/>
      <c r="J13025"/>
    </row>
    <row r="13026" spans="9:10" x14ac:dyDescent="0.3">
      <c r="I13026"/>
      <c r="J13026"/>
    </row>
    <row r="13027" spans="9:10" x14ac:dyDescent="0.3">
      <c r="I13027"/>
      <c r="J13027"/>
    </row>
    <row r="13028" spans="9:10" x14ac:dyDescent="0.3">
      <c r="I13028"/>
      <c r="J13028"/>
    </row>
    <row r="13029" spans="9:10" x14ac:dyDescent="0.3">
      <c r="I13029"/>
      <c r="J13029"/>
    </row>
    <row r="13030" spans="9:10" x14ac:dyDescent="0.3">
      <c r="I13030"/>
      <c r="J13030"/>
    </row>
    <row r="13031" spans="9:10" x14ac:dyDescent="0.3">
      <c r="I13031"/>
      <c r="J13031"/>
    </row>
    <row r="13032" spans="9:10" x14ac:dyDescent="0.3">
      <c r="I13032"/>
      <c r="J13032"/>
    </row>
    <row r="13033" spans="9:10" x14ac:dyDescent="0.3">
      <c r="I13033"/>
      <c r="J13033"/>
    </row>
    <row r="13034" spans="9:10" x14ac:dyDescent="0.3">
      <c r="I13034"/>
      <c r="J13034"/>
    </row>
    <row r="13035" spans="9:10" x14ac:dyDescent="0.3">
      <c r="I13035"/>
      <c r="J13035"/>
    </row>
    <row r="13036" spans="9:10" x14ac:dyDescent="0.3">
      <c r="I13036"/>
      <c r="J13036"/>
    </row>
    <row r="13037" spans="9:10" x14ac:dyDescent="0.3">
      <c r="I13037"/>
      <c r="J13037"/>
    </row>
    <row r="13038" spans="9:10" x14ac:dyDescent="0.3">
      <c r="I13038"/>
      <c r="J13038"/>
    </row>
    <row r="13039" spans="9:10" x14ac:dyDescent="0.3">
      <c r="I13039"/>
      <c r="J13039"/>
    </row>
    <row r="13040" spans="9:10" x14ac:dyDescent="0.3">
      <c r="I13040"/>
      <c r="J13040"/>
    </row>
    <row r="13041" spans="9:10" x14ac:dyDescent="0.3">
      <c r="I13041"/>
      <c r="J13041"/>
    </row>
    <row r="13042" spans="9:10" x14ac:dyDescent="0.3">
      <c r="I13042"/>
      <c r="J13042"/>
    </row>
    <row r="13043" spans="9:10" x14ac:dyDescent="0.3">
      <c r="I13043"/>
      <c r="J13043"/>
    </row>
    <row r="13044" spans="9:10" x14ac:dyDescent="0.3">
      <c r="I13044"/>
      <c r="J13044"/>
    </row>
    <row r="13045" spans="9:10" x14ac:dyDescent="0.3">
      <c r="I13045"/>
      <c r="J13045"/>
    </row>
    <row r="13046" spans="9:10" x14ac:dyDescent="0.3">
      <c r="I13046"/>
      <c r="J13046"/>
    </row>
    <row r="13047" spans="9:10" x14ac:dyDescent="0.3">
      <c r="I13047"/>
      <c r="J13047"/>
    </row>
    <row r="13048" spans="9:10" x14ac:dyDescent="0.3">
      <c r="I13048"/>
      <c r="J13048"/>
    </row>
    <row r="13049" spans="9:10" x14ac:dyDescent="0.3">
      <c r="I13049"/>
      <c r="J13049"/>
    </row>
    <row r="13050" spans="9:10" x14ac:dyDescent="0.3">
      <c r="I13050"/>
      <c r="J13050"/>
    </row>
    <row r="13051" spans="9:10" x14ac:dyDescent="0.3">
      <c r="I13051"/>
      <c r="J13051"/>
    </row>
    <row r="13052" spans="9:10" x14ac:dyDescent="0.3">
      <c r="I13052"/>
      <c r="J13052"/>
    </row>
    <row r="13053" spans="9:10" x14ac:dyDescent="0.3">
      <c r="I13053"/>
      <c r="J13053"/>
    </row>
    <row r="13054" spans="9:10" x14ac:dyDescent="0.3">
      <c r="I13054"/>
      <c r="J13054"/>
    </row>
    <row r="13055" spans="9:10" x14ac:dyDescent="0.3">
      <c r="I13055"/>
      <c r="J13055"/>
    </row>
    <row r="13056" spans="9:10" x14ac:dyDescent="0.3">
      <c r="I13056"/>
      <c r="J13056"/>
    </row>
    <row r="13057" spans="9:10" x14ac:dyDescent="0.3">
      <c r="I13057"/>
      <c r="J13057"/>
    </row>
    <row r="13058" spans="9:10" x14ac:dyDescent="0.3">
      <c r="I13058"/>
      <c r="J13058"/>
    </row>
    <row r="13059" spans="9:10" x14ac:dyDescent="0.3">
      <c r="I13059"/>
      <c r="J13059"/>
    </row>
    <row r="13060" spans="9:10" x14ac:dyDescent="0.3">
      <c r="I13060"/>
      <c r="J13060"/>
    </row>
    <row r="13061" spans="9:10" x14ac:dyDescent="0.3">
      <c r="I13061"/>
      <c r="J13061"/>
    </row>
    <row r="13062" spans="9:10" x14ac:dyDescent="0.3">
      <c r="I13062"/>
      <c r="J13062"/>
    </row>
    <row r="13063" spans="9:10" x14ac:dyDescent="0.3">
      <c r="I13063"/>
      <c r="J13063"/>
    </row>
    <row r="13064" spans="9:10" x14ac:dyDescent="0.3">
      <c r="I13064"/>
      <c r="J13064"/>
    </row>
    <row r="13065" spans="9:10" x14ac:dyDescent="0.3">
      <c r="I13065"/>
      <c r="J13065"/>
    </row>
    <row r="13066" spans="9:10" x14ac:dyDescent="0.3">
      <c r="I13066"/>
      <c r="J13066"/>
    </row>
    <row r="13067" spans="9:10" x14ac:dyDescent="0.3">
      <c r="I13067"/>
      <c r="J13067"/>
    </row>
    <row r="13068" spans="9:10" x14ac:dyDescent="0.3">
      <c r="I13068"/>
      <c r="J13068"/>
    </row>
    <row r="13069" spans="9:10" x14ac:dyDescent="0.3">
      <c r="I13069"/>
      <c r="J13069"/>
    </row>
    <row r="13070" spans="9:10" x14ac:dyDescent="0.3">
      <c r="I13070"/>
      <c r="J13070"/>
    </row>
    <row r="13071" spans="9:10" x14ac:dyDescent="0.3">
      <c r="I13071"/>
      <c r="J13071"/>
    </row>
    <row r="13072" spans="9:10" x14ac:dyDescent="0.3">
      <c r="I13072"/>
      <c r="J13072"/>
    </row>
    <row r="13073" spans="9:10" x14ac:dyDescent="0.3">
      <c r="I13073"/>
      <c r="J13073"/>
    </row>
    <row r="13074" spans="9:10" x14ac:dyDescent="0.3">
      <c r="I13074"/>
      <c r="J13074"/>
    </row>
    <row r="13075" spans="9:10" x14ac:dyDescent="0.3">
      <c r="I13075"/>
      <c r="J13075"/>
    </row>
    <row r="13076" spans="9:10" x14ac:dyDescent="0.3">
      <c r="I13076"/>
      <c r="J13076"/>
    </row>
    <row r="13077" spans="9:10" x14ac:dyDescent="0.3">
      <c r="I13077"/>
      <c r="J13077"/>
    </row>
    <row r="13078" spans="9:10" x14ac:dyDescent="0.3">
      <c r="I13078"/>
      <c r="J13078"/>
    </row>
    <row r="13079" spans="9:10" x14ac:dyDescent="0.3">
      <c r="I13079"/>
      <c r="J13079"/>
    </row>
    <row r="13080" spans="9:10" x14ac:dyDescent="0.3">
      <c r="I13080"/>
      <c r="J13080"/>
    </row>
    <row r="13081" spans="9:10" x14ac:dyDescent="0.3">
      <c r="I13081"/>
      <c r="J13081"/>
    </row>
    <row r="13082" spans="9:10" x14ac:dyDescent="0.3">
      <c r="I13082"/>
      <c r="J13082"/>
    </row>
    <row r="13083" spans="9:10" x14ac:dyDescent="0.3">
      <c r="I13083"/>
      <c r="J13083"/>
    </row>
    <row r="13084" spans="9:10" x14ac:dyDescent="0.3">
      <c r="I13084"/>
      <c r="J13084"/>
    </row>
    <row r="13085" spans="9:10" x14ac:dyDescent="0.3">
      <c r="I13085"/>
      <c r="J13085"/>
    </row>
    <row r="13086" spans="9:10" x14ac:dyDescent="0.3">
      <c r="I13086"/>
      <c r="J13086"/>
    </row>
    <row r="13087" spans="9:10" x14ac:dyDescent="0.3">
      <c r="I13087"/>
      <c r="J13087"/>
    </row>
    <row r="13088" spans="9:10" x14ac:dyDescent="0.3">
      <c r="I13088"/>
      <c r="J13088"/>
    </row>
    <row r="13089" spans="9:10" x14ac:dyDescent="0.3">
      <c r="I13089"/>
      <c r="J13089"/>
    </row>
    <row r="13090" spans="9:10" x14ac:dyDescent="0.3">
      <c r="I13090"/>
      <c r="J13090"/>
    </row>
    <row r="13091" spans="9:10" x14ac:dyDescent="0.3">
      <c r="I13091"/>
      <c r="J13091"/>
    </row>
    <row r="13092" spans="9:10" x14ac:dyDescent="0.3">
      <c r="I13092"/>
      <c r="J13092"/>
    </row>
    <row r="13093" spans="9:10" x14ac:dyDescent="0.3">
      <c r="I13093"/>
      <c r="J13093"/>
    </row>
    <row r="13094" spans="9:10" x14ac:dyDescent="0.3">
      <c r="I13094"/>
      <c r="J13094"/>
    </row>
    <row r="13095" spans="9:10" x14ac:dyDescent="0.3">
      <c r="I13095"/>
      <c r="J13095"/>
    </row>
    <row r="13096" spans="9:10" x14ac:dyDescent="0.3">
      <c r="I13096"/>
      <c r="J13096"/>
    </row>
    <row r="13097" spans="9:10" x14ac:dyDescent="0.3">
      <c r="I13097"/>
      <c r="J13097"/>
    </row>
    <row r="13098" spans="9:10" x14ac:dyDescent="0.3">
      <c r="I13098"/>
      <c r="J13098"/>
    </row>
    <row r="13099" spans="9:10" x14ac:dyDescent="0.3">
      <c r="I13099"/>
      <c r="J13099"/>
    </row>
    <row r="13100" spans="9:10" x14ac:dyDescent="0.3">
      <c r="I13100"/>
      <c r="J13100"/>
    </row>
    <row r="13101" spans="9:10" x14ac:dyDescent="0.3">
      <c r="I13101"/>
      <c r="J13101"/>
    </row>
    <row r="13102" spans="9:10" x14ac:dyDescent="0.3">
      <c r="I13102"/>
      <c r="J13102"/>
    </row>
    <row r="13103" spans="9:10" x14ac:dyDescent="0.3">
      <c r="I13103"/>
      <c r="J13103"/>
    </row>
    <row r="13104" spans="9:10" x14ac:dyDescent="0.3">
      <c r="I13104"/>
      <c r="J13104"/>
    </row>
    <row r="13105" spans="9:10" x14ac:dyDescent="0.3">
      <c r="I13105"/>
      <c r="J13105"/>
    </row>
    <row r="13106" spans="9:10" x14ac:dyDescent="0.3">
      <c r="I13106"/>
      <c r="J13106"/>
    </row>
    <row r="13107" spans="9:10" x14ac:dyDescent="0.3">
      <c r="I13107"/>
      <c r="J13107"/>
    </row>
    <row r="13108" spans="9:10" x14ac:dyDescent="0.3">
      <c r="I13108"/>
      <c r="J13108"/>
    </row>
    <row r="13109" spans="9:10" x14ac:dyDescent="0.3">
      <c r="I13109"/>
      <c r="J13109"/>
    </row>
    <row r="13110" spans="9:10" x14ac:dyDescent="0.3">
      <c r="I13110"/>
      <c r="J13110"/>
    </row>
    <row r="13111" spans="9:10" x14ac:dyDescent="0.3">
      <c r="I13111"/>
      <c r="J13111"/>
    </row>
    <row r="13112" spans="9:10" x14ac:dyDescent="0.3">
      <c r="I13112"/>
      <c r="J13112"/>
    </row>
    <row r="13113" spans="9:10" x14ac:dyDescent="0.3">
      <c r="I13113"/>
      <c r="J13113"/>
    </row>
    <row r="13114" spans="9:10" x14ac:dyDescent="0.3">
      <c r="I13114"/>
      <c r="J13114"/>
    </row>
    <row r="13115" spans="9:10" x14ac:dyDescent="0.3">
      <c r="I13115"/>
      <c r="J13115"/>
    </row>
    <row r="13116" spans="9:10" x14ac:dyDescent="0.3">
      <c r="I13116"/>
      <c r="J13116"/>
    </row>
    <row r="13117" spans="9:10" x14ac:dyDescent="0.3">
      <c r="I13117"/>
      <c r="J13117"/>
    </row>
    <row r="13118" spans="9:10" x14ac:dyDescent="0.3">
      <c r="I13118"/>
      <c r="J13118"/>
    </row>
    <row r="13119" spans="9:10" x14ac:dyDescent="0.3">
      <c r="I13119"/>
      <c r="J13119"/>
    </row>
    <row r="13120" spans="9:10" x14ac:dyDescent="0.3">
      <c r="I13120"/>
      <c r="J13120"/>
    </row>
    <row r="13121" spans="9:10" x14ac:dyDescent="0.3">
      <c r="I13121"/>
      <c r="J13121"/>
    </row>
    <row r="13122" spans="9:10" x14ac:dyDescent="0.3">
      <c r="I13122"/>
      <c r="J13122"/>
    </row>
    <row r="13123" spans="9:10" x14ac:dyDescent="0.3">
      <c r="I13123"/>
      <c r="J13123"/>
    </row>
    <row r="13124" spans="9:10" x14ac:dyDescent="0.3">
      <c r="I13124"/>
      <c r="J13124"/>
    </row>
    <row r="13125" spans="9:10" x14ac:dyDescent="0.3">
      <c r="I13125"/>
      <c r="J13125"/>
    </row>
    <row r="13126" spans="9:10" x14ac:dyDescent="0.3">
      <c r="I13126"/>
      <c r="J13126"/>
    </row>
    <row r="13127" spans="9:10" x14ac:dyDescent="0.3">
      <c r="I13127"/>
      <c r="J13127"/>
    </row>
    <row r="13128" spans="9:10" x14ac:dyDescent="0.3">
      <c r="I13128"/>
      <c r="J13128"/>
    </row>
    <row r="13129" spans="9:10" x14ac:dyDescent="0.3">
      <c r="I13129"/>
      <c r="J13129"/>
    </row>
    <row r="13130" spans="9:10" x14ac:dyDescent="0.3">
      <c r="I13130"/>
      <c r="J13130"/>
    </row>
    <row r="13131" spans="9:10" x14ac:dyDescent="0.3">
      <c r="I13131"/>
      <c r="J13131"/>
    </row>
    <row r="13132" spans="9:10" x14ac:dyDescent="0.3">
      <c r="I13132"/>
      <c r="J13132"/>
    </row>
    <row r="13133" spans="9:10" x14ac:dyDescent="0.3">
      <c r="I13133"/>
      <c r="J13133"/>
    </row>
    <row r="13134" spans="9:10" x14ac:dyDescent="0.3">
      <c r="I13134"/>
      <c r="J13134"/>
    </row>
    <row r="13135" spans="9:10" x14ac:dyDescent="0.3">
      <c r="I13135"/>
      <c r="J13135"/>
    </row>
    <row r="13136" spans="9:10" x14ac:dyDescent="0.3">
      <c r="I13136"/>
      <c r="J13136"/>
    </row>
    <row r="13137" spans="9:10" x14ac:dyDescent="0.3">
      <c r="I13137"/>
      <c r="J13137"/>
    </row>
    <row r="13138" spans="9:10" x14ac:dyDescent="0.3">
      <c r="I13138"/>
      <c r="J13138"/>
    </row>
    <row r="13139" spans="9:10" x14ac:dyDescent="0.3">
      <c r="I13139"/>
      <c r="J13139"/>
    </row>
    <row r="13140" spans="9:10" x14ac:dyDescent="0.3">
      <c r="I13140"/>
      <c r="J13140"/>
    </row>
    <row r="13141" spans="9:10" x14ac:dyDescent="0.3">
      <c r="I13141"/>
      <c r="J13141"/>
    </row>
    <row r="13142" spans="9:10" x14ac:dyDescent="0.3">
      <c r="I13142"/>
      <c r="J13142"/>
    </row>
    <row r="13143" spans="9:10" x14ac:dyDescent="0.3">
      <c r="I13143"/>
      <c r="J13143"/>
    </row>
    <row r="13144" spans="9:10" x14ac:dyDescent="0.3">
      <c r="I13144"/>
      <c r="J13144"/>
    </row>
    <row r="13145" spans="9:10" x14ac:dyDescent="0.3">
      <c r="I13145"/>
      <c r="J13145"/>
    </row>
    <row r="13146" spans="9:10" x14ac:dyDescent="0.3">
      <c r="I13146"/>
      <c r="J13146"/>
    </row>
    <row r="13147" spans="9:10" x14ac:dyDescent="0.3">
      <c r="I13147"/>
      <c r="J13147"/>
    </row>
    <row r="13148" spans="9:10" x14ac:dyDescent="0.3">
      <c r="I13148"/>
      <c r="J13148"/>
    </row>
    <row r="13149" spans="9:10" x14ac:dyDescent="0.3">
      <c r="I13149"/>
      <c r="J13149"/>
    </row>
    <row r="13150" spans="9:10" x14ac:dyDescent="0.3">
      <c r="I13150"/>
      <c r="J13150"/>
    </row>
    <row r="13151" spans="9:10" x14ac:dyDescent="0.3">
      <c r="I13151"/>
      <c r="J13151"/>
    </row>
    <row r="13152" spans="9:10" x14ac:dyDescent="0.3">
      <c r="I13152"/>
      <c r="J13152"/>
    </row>
    <row r="13153" spans="9:10" x14ac:dyDescent="0.3">
      <c r="I13153"/>
      <c r="J13153"/>
    </row>
    <row r="13154" spans="9:10" x14ac:dyDescent="0.3">
      <c r="I13154"/>
      <c r="J13154"/>
    </row>
    <row r="13155" spans="9:10" x14ac:dyDescent="0.3">
      <c r="I13155"/>
      <c r="J13155"/>
    </row>
    <row r="13156" spans="9:10" x14ac:dyDescent="0.3">
      <c r="I13156"/>
      <c r="J13156"/>
    </row>
    <row r="13157" spans="9:10" x14ac:dyDescent="0.3">
      <c r="I13157"/>
      <c r="J13157"/>
    </row>
    <row r="13158" spans="9:10" x14ac:dyDescent="0.3">
      <c r="I13158"/>
      <c r="J13158"/>
    </row>
    <row r="13159" spans="9:10" x14ac:dyDescent="0.3">
      <c r="I13159"/>
      <c r="J13159"/>
    </row>
    <row r="13160" spans="9:10" x14ac:dyDescent="0.3">
      <c r="I13160"/>
      <c r="J13160"/>
    </row>
    <row r="13161" spans="9:10" x14ac:dyDescent="0.3">
      <c r="I13161"/>
      <c r="J13161"/>
    </row>
    <row r="13162" spans="9:10" x14ac:dyDescent="0.3">
      <c r="I13162"/>
      <c r="J13162"/>
    </row>
    <row r="13163" spans="9:10" x14ac:dyDescent="0.3">
      <c r="I13163"/>
      <c r="J13163"/>
    </row>
    <row r="13164" spans="9:10" x14ac:dyDescent="0.3">
      <c r="I13164"/>
      <c r="J13164"/>
    </row>
    <row r="13165" spans="9:10" x14ac:dyDescent="0.3">
      <c r="I13165"/>
      <c r="J13165"/>
    </row>
    <row r="13166" spans="9:10" x14ac:dyDescent="0.3">
      <c r="I13166"/>
      <c r="J13166"/>
    </row>
    <row r="13167" spans="9:10" x14ac:dyDescent="0.3">
      <c r="I13167"/>
      <c r="J13167"/>
    </row>
    <row r="13168" spans="9:10" x14ac:dyDescent="0.3">
      <c r="I13168"/>
      <c r="J13168"/>
    </row>
    <row r="13169" spans="9:10" x14ac:dyDescent="0.3">
      <c r="I13169"/>
      <c r="J13169"/>
    </row>
    <row r="13170" spans="9:10" x14ac:dyDescent="0.3">
      <c r="I13170"/>
      <c r="J13170"/>
    </row>
    <row r="13171" spans="9:10" x14ac:dyDescent="0.3">
      <c r="I13171"/>
      <c r="J13171"/>
    </row>
    <row r="13172" spans="9:10" x14ac:dyDescent="0.3">
      <c r="I13172"/>
      <c r="J13172"/>
    </row>
    <row r="13173" spans="9:10" x14ac:dyDescent="0.3">
      <c r="I13173"/>
      <c r="J13173"/>
    </row>
    <row r="13174" spans="9:10" x14ac:dyDescent="0.3">
      <c r="I13174"/>
      <c r="J13174"/>
    </row>
    <row r="13175" spans="9:10" x14ac:dyDescent="0.3">
      <c r="I13175"/>
      <c r="J13175"/>
    </row>
    <row r="13176" spans="9:10" x14ac:dyDescent="0.3">
      <c r="I13176"/>
      <c r="J13176"/>
    </row>
    <row r="13177" spans="9:10" x14ac:dyDescent="0.3">
      <c r="I13177"/>
      <c r="J13177"/>
    </row>
    <row r="13178" spans="9:10" x14ac:dyDescent="0.3">
      <c r="I13178"/>
      <c r="J13178"/>
    </row>
    <row r="13179" spans="9:10" x14ac:dyDescent="0.3">
      <c r="I13179"/>
      <c r="J13179"/>
    </row>
    <row r="13180" spans="9:10" x14ac:dyDescent="0.3">
      <c r="I13180"/>
      <c r="J13180"/>
    </row>
    <row r="13181" spans="9:10" x14ac:dyDescent="0.3">
      <c r="I13181"/>
      <c r="J13181"/>
    </row>
    <row r="13182" spans="9:10" x14ac:dyDescent="0.3">
      <c r="I13182"/>
      <c r="J13182"/>
    </row>
    <row r="13183" spans="9:10" x14ac:dyDescent="0.3">
      <c r="I13183"/>
      <c r="J13183"/>
    </row>
    <row r="13184" spans="9:10" x14ac:dyDescent="0.3">
      <c r="I13184"/>
      <c r="J13184"/>
    </row>
    <row r="13185" spans="9:10" x14ac:dyDescent="0.3">
      <c r="I13185"/>
      <c r="J13185"/>
    </row>
    <row r="13186" spans="9:10" x14ac:dyDescent="0.3">
      <c r="I13186"/>
      <c r="J13186"/>
    </row>
    <row r="13187" spans="9:10" x14ac:dyDescent="0.3">
      <c r="I13187"/>
      <c r="J13187"/>
    </row>
    <row r="13188" spans="9:10" x14ac:dyDescent="0.3">
      <c r="I13188"/>
      <c r="J13188"/>
    </row>
    <row r="13189" spans="9:10" x14ac:dyDescent="0.3">
      <c r="I13189"/>
      <c r="J13189"/>
    </row>
    <row r="13190" spans="9:10" x14ac:dyDescent="0.3">
      <c r="I13190"/>
      <c r="J13190"/>
    </row>
    <row r="13191" spans="9:10" x14ac:dyDescent="0.3">
      <c r="I13191"/>
      <c r="J13191"/>
    </row>
    <row r="13192" spans="9:10" x14ac:dyDescent="0.3">
      <c r="I13192"/>
      <c r="J13192"/>
    </row>
    <row r="13193" spans="9:10" x14ac:dyDescent="0.3">
      <c r="I13193"/>
      <c r="J13193"/>
    </row>
    <row r="13194" spans="9:10" x14ac:dyDescent="0.3">
      <c r="I13194"/>
      <c r="J13194"/>
    </row>
    <row r="13195" spans="9:10" x14ac:dyDescent="0.3">
      <c r="I13195"/>
      <c r="J13195"/>
    </row>
    <row r="13196" spans="9:10" x14ac:dyDescent="0.3">
      <c r="I13196"/>
      <c r="J13196"/>
    </row>
    <row r="13197" spans="9:10" x14ac:dyDescent="0.3">
      <c r="I13197"/>
      <c r="J13197"/>
    </row>
    <row r="13198" spans="9:10" x14ac:dyDescent="0.3">
      <c r="I13198"/>
      <c r="J13198"/>
    </row>
    <row r="13199" spans="9:10" x14ac:dyDescent="0.3">
      <c r="I13199"/>
      <c r="J13199"/>
    </row>
    <row r="13200" spans="9:10" x14ac:dyDescent="0.3">
      <c r="I13200"/>
      <c r="J13200"/>
    </row>
    <row r="13201" spans="9:10" x14ac:dyDescent="0.3">
      <c r="I13201"/>
      <c r="J13201"/>
    </row>
    <row r="13202" spans="9:10" x14ac:dyDescent="0.3">
      <c r="I13202"/>
      <c r="J13202"/>
    </row>
    <row r="13203" spans="9:10" x14ac:dyDescent="0.3">
      <c r="I13203"/>
      <c r="J13203"/>
    </row>
    <row r="13204" spans="9:10" x14ac:dyDescent="0.3">
      <c r="I13204"/>
      <c r="J13204"/>
    </row>
    <row r="13205" spans="9:10" x14ac:dyDescent="0.3">
      <c r="I13205"/>
      <c r="J13205"/>
    </row>
    <row r="13206" spans="9:10" x14ac:dyDescent="0.3">
      <c r="I13206"/>
      <c r="J13206"/>
    </row>
    <row r="13207" spans="9:10" x14ac:dyDescent="0.3">
      <c r="I13207"/>
      <c r="J13207"/>
    </row>
    <row r="13208" spans="9:10" x14ac:dyDescent="0.3">
      <c r="I13208"/>
      <c r="J13208"/>
    </row>
    <row r="13209" spans="9:10" x14ac:dyDescent="0.3">
      <c r="I13209"/>
      <c r="J13209"/>
    </row>
    <row r="13210" spans="9:10" x14ac:dyDescent="0.3">
      <c r="I13210"/>
      <c r="J13210"/>
    </row>
    <row r="13211" spans="9:10" x14ac:dyDescent="0.3">
      <c r="I13211"/>
      <c r="J13211"/>
    </row>
    <row r="13212" spans="9:10" x14ac:dyDescent="0.3">
      <c r="I13212"/>
      <c r="J13212"/>
    </row>
    <row r="13213" spans="9:10" x14ac:dyDescent="0.3">
      <c r="I13213"/>
      <c r="J13213"/>
    </row>
    <row r="13214" spans="9:10" x14ac:dyDescent="0.3">
      <c r="I13214"/>
      <c r="J13214"/>
    </row>
    <row r="13215" spans="9:10" x14ac:dyDescent="0.3">
      <c r="I13215"/>
      <c r="J13215"/>
    </row>
    <row r="13216" spans="9:10" x14ac:dyDescent="0.3">
      <c r="I13216"/>
      <c r="J13216"/>
    </row>
    <row r="13217" spans="9:10" x14ac:dyDescent="0.3">
      <c r="I13217"/>
      <c r="J13217"/>
    </row>
    <row r="13218" spans="9:10" x14ac:dyDescent="0.3">
      <c r="I13218"/>
      <c r="J13218"/>
    </row>
    <row r="13219" spans="9:10" x14ac:dyDescent="0.3">
      <c r="I13219"/>
      <c r="J13219"/>
    </row>
    <row r="13220" spans="9:10" x14ac:dyDescent="0.3">
      <c r="I13220"/>
      <c r="J13220"/>
    </row>
    <row r="13221" spans="9:10" x14ac:dyDescent="0.3">
      <c r="I13221"/>
      <c r="J13221"/>
    </row>
    <row r="13222" spans="9:10" x14ac:dyDescent="0.3">
      <c r="I13222"/>
      <c r="J13222"/>
    </row>
    <row r="13223" spans="9:10" x14ac:dyDescent="0.3">
      <c r="I13223"/>
      <c r="J13223"/>
    </row>
    <row r="13224" spans="9:10" x14ac:dyDescent="0.3">
      <c r="I13224"/>
      <c r="J13224"/>
    </row>
    <row r="13225" spans="9:10" x14ac:dyDescent="0.3">
      <c r="I13225"/>
      <c r="J13225"/>
    </row>
    <row r="13226" spans="9:10" x14ac:dyDescent="0.3">
      <c r="I13226"/>
      <c r="J13226"/>
    </row>
    <row r="13227" spans="9:10" x14ac:dyDescent="0.3">
      <c r="I13227"/>
      <c r="J13227"/>
    </row>
    <row r="13228" spans="9:10" x14ac:dyDescent="0.3">
      <c r="I13228"/>
      <c r="J13228"/>
    </row>
    <row r="13229" spans="9:10" x14ac:dyDescent="0.3">
      <c r="I13229"/>
      <c r="J13229"/>
    </row>
    <row r="13230" spans="9:10" x14ac:dyDescent="0.3">
      <c r="I13230"/>
      <c r="J13230"/>
    </row>
    <row r="13231" spans="9:10" x14ac:dyDescent="0.3">
      <c r="I13231"/>
      <c r="J13231"/>
    </row>
    <row r="13232" spans="9:10" x14ac:dyDescent="0.3">
      <c r="I13232"/>
      <c r="J13232"/>
    </row>
    <row r="13233" spans="9:10" x14ac:dyDescent="0.3">
      <c r="I13233"/>
      <c r="J13233"/>
    </row>
    <row r="13234" spans="9:10" x14ac:dyDescent="0.3">
      <c r="I13234"/>
      <c r="J13234"/>
    </row>
    <row r="13235" spans="9:10" x14ac:dyDescent="0.3">
      <c r="I13235"/>
      <c r="J13235"/>
    </row>
    <row r="13236" spans="9:10" x14ac:dyDescent="0.3">
      <c r="I13236"/>
      <c r="J13236"/>
    </row>
    <row r="13237" spans="9:10" x14ac:dyDescent="0.3">
      <c r="I13237"/>
      <c r="J13237"/>
    </row>
    <row r="13238" spans="9:10" x14ac:dyDescent="0.3">
      <c r="I13238"/>
      <c r="J13238"/>
    </row>
    <row r="13239" spans="9:10" x14ac:dyDescent="0.3">
      <c r="I13239"/>
      <c r="J13239"/>
    </row>
    <row r="13240" spans="9:10" x14ac:dyDescent="0.3">
      <c r="I13240"/>
      <c r="J13240"/>
    </row>
    <row r="13241" spans="9:10" x14ac:dyDescent="0.3">
      <c r="I13241"/>
      <c r="J13241"/>
    </row>
    <row r="13242" spans="9:10" x14ac:dyDescent="0.3">
      <c r="I13242"/>
      <c r="J13242"/>
    </row>
    <row r="13243" spans="9:10" x14ac:dyDescent="0.3">
      <c r="I13243"/>
      <c r="J13243"/>
    </row>
    <row r="13244" spans="9:10" x14ac:dyDescent="0.3">
      <c r="I13244"/>
      <c r="J13244"/>
    </row>
    <row r="13245" spans="9:10" x14ac:dyDescent="0.3">
      <c r="I13245"/>
      <c r="J13245"/>
    </row>
    <row r="13246" spans="9:10" x14ac:dyDescent="0.3">
      <c r="I13246"/>
      <c r="J13246"/>
    </row>
    <row r="13247" spans="9:10" x14ac:dyDescent="0.3">
      <c r="I13247"/>
      <c r="J13247"/>
    </row>
    <row r="13248" spans="9:10" x14ac:dyDescent="0.3">
      <c r="I13248"/>
      <c r="J13248"/>
    </row>
    <row r="13249" spans="9:10" x14ac:dyDescent="0.3">
      <c r="I13249"/>
      <c r="J13249"/>
    </row>
    <row r="13250" spans="9:10" x14ac:dyDescent="0.3">
      <c r="I13250"/>
      <c r="J13250"/>
    </row>
    <row r="13251" spans="9:10" x14ac:dyDescent="0.3">
      <c r="I13251"/>
      <c r="J13251"/>
    </row>
    <row r="13252" spans="9:10" x14ac:dyDescent="0.3">
      <c r="I13252"/>
      <c r="J13252"/>
    </row>
    <row r="13253" spans="9:10" x14ac:dyDescent="0.3">
      <c r="I13253"/>
      <c r="J13253"/>
    </row>
    <row r="13254" spans="9:10" x14ac:dyDescent="0.3">
      <c r="I13254"/>
      <c r="J13254"/>
    </row>
    <row r="13255" spans="9:10" x14ac:dyDescent="0.3">
      <c r="I13255"/>
      <c r="J13255"/>
    </row>
    <row r="13256" spans="9:10" x14ac:dyDescent="0.3">
      <c r="I13256"/>
      <c r="J13256"/>
    </row>
    <row r="13257" spans="9:10" x14ac:dyDescent="0.3">
      <c r="I13257"/>
      <c r="J13257"/>
    </row>
    <row r="13258" spans="9:10" x14ac:dyDescent="0.3">
      <c r="I13258"/>
      <c r="J13258"/>
    </row>
    <row r="13259" spans="9:10" x14ac:dyDescent="0.3">
      <c r="I13259"/>
      <c r="J13259"/>
    </row>
    <row r="13260" spans="9:10" x14ac:dyDescent="0.3">
      <c r="I13260"/>
      <c r="J13260"/>
    </row>
    <row r="13261" spans="9:10" x14ac:dyDescent="0.3">
      <c r="I13261"/>
      <c r="J13261"/>
    </row>
    <row r="13262" spans="9:10" x14ac:dyDescent="0.3">
      <c r="I13262"/>
      <c r="J13262"/>
    </row>
    <row r="13263" spans="9:10" x14ac:dyDescent="0.3">
      <c r="I13263"/>
      <c r="J13263"/>
    </row>
    <row r="13264" spans="9:10" x14ac:dyDescent="0.3">
      <c r="I13264"/>
      <c r="J13264"/>
    </row>
    <row r="13265" spans="9:10" x14ac:dyDescent="0.3">
      <c r="I13265"/>
      <c r="J13265"/>
    </row>
    <row r="13266" spans="9:10" x14ac:dyDescent="0.3">
      <c r="I13266"/>
      <c r="J13266"/>
    </row>
    <row r="13267" spans="9:10" x14ac:dyDescent="0.3">
      <c r="I13267"/>
      <c r="J13267"/>
    </row>
    <row r="13268" spans="9:10" x14ac:dyDescent="0.3">
      <c r="I13268"/>
      <c r="J13268"/>
    </row>
    <row r="13269" spans="9:10" x14ac:dyDescent="0.3">
      <c r="I13269"/>
      <c r="J13269"/>
    </row>
    <row r="13270" spans="9:10" x14ac:dyDescent="0.3">
      <c r="I13270"/>
      <c r="J13270"/>
    </row>
    <row r="13271" spans="9:10" x14ac:dyDescent="0.3">
      <c r="I13271"/>
      <c r="J13271"/>
    </row>
    <row r="13272" spans="9:10" x14ac:dyDescent="0.3">
      <c r="I13272"/>
      <c r="J13272"/>
    </row>
    <row r="13273" spans="9:10" x14ac:dyDescent="0.3">
      <c r="I13273"/>
      <c r="J13273"/>
    </row>
    <row r="13274" spans="9:10" x14ac:dyDescent="0.3">
      <c r="I13274"/>
      <c r="J13274"/>
    </row>
    <row r="13275" spans="9:10" x14ac:dyDescent="0.3">
      <c r="I13275"/>
      <c r="J13275"/>
    </row>
    <row r="13276" spans="9:10" x14ac:dyDescent="0.3">
      <c r="I13276"/>
      <c r="J13276"/>
    </row>
    <row r="13277" spans="9:10" x14ac:dyDescent="0.3">
      <c r="I13277"/>
      <c r="J13277"/>
    </row>
    <row r="13278" spans="9:10" x14ac:dyDescent="0.3">
      <c r="I13278"/>
      <c r="J13278"/>
    </row>
    <row r="13279" spans="9:10" x14ac:dyDescent="0.3">
      <c r="I13279"/>
      <c r="J13279"/>
    </row>
    <row r="13280" spans="9:10" x14ac:dyDescent="0.3">
      <c r="I13280"/>
      <c r="J13280"/>
    </row>
    <row r="13281" spans="9:10" x14ac:dyDescent="0.3">
      <c r="I13281"/>
      <c r="J13281"/>
    </row>
    <row r="13282" spans="9:10" x14ac:dyDescent="0.3">
      <c r="I13282"/>
      <c r="J13282"/>
    </row>
    <row r="13283" spans="9:10" x14ac:dyDescent="0.3">
      <c r="I13283"/>
      <c r="J13283"/>
    </row>
    <row r="13284" spans="9:10" x14ac:dyDescent="0.3">
      <c r="I13284"/>
      <c r="J13284"/>
    </row>
    <row r="13285" spans="9:10" x14ac:dyDescent="0.3">
      <c r="I13285"/>
      <c r="J13285"/>
    </row>
    <row r="13286" spans="9:10" x14ac:dyDescent="0.3">
      <c r="I13286"/>
      <c r="J13286"/>
    </row>
    <row r="13287" spans="9:10" x14ac:dyDescent="0.3">
      <c r="I13287"/>
      <c r="J13287"/>
    </row>
    <row r="13288" spans="9:10" x14ac:dyDescent="0.3">
      <c r="I13288"/>
      <c r="J13288"/>
    </row>
    <row r="13289" spans="9:10" x14ac:dyDescent="0.3">
      <c r="I13289"/>
      <c r="J13289"/>
    </row>
    <row r="13290" spans="9:10" x14ac:dyDescent="0.3">
      <c r="I13290"/>
      <c r="J13290"/>
    </row>
    <row r="13291" spans="9:10" x14ac:dyDescent="0.3">
      <c r="I13291"/>
      <c r="J13291"/>
    </row>
    <row r="13292" spans="9:10" x14ac:dyDescent="0.3">
      <c r="I13292"/>
      <c r="J13292"/>
    </row>
    <row r="13293" spans="9:10" x14ac:dyDescent="0.3">
      <c r="I13293"/>
      <c r="J13293"/>
    </row>
    <row r="13294" spans="9:10" x14ac:dyDescent="0.3">
      <c r="I13294"/>
      <c r="J13294"/>
    </row>
    <row r="13295" spans="9:10" x14ac:dyDescent="0.3">
      <c r="I13295"/>
      <c r="J13295"/>
    </row>
    <row r="13296" spans="9:10" x14ac:dyDescent="0.3">
      <c r="I13296"/>
      <c r="J13296"/>
    </row>
    <row r="13297" spans="9:10" x14ac:dyDescent="0.3">
      <c r="I13297"/>
      <c r="J13297"/>
    </row>
    <row r="13298" spans="9:10" x14ac:dyDescent="0.3">
      <c r="I13298"/>
      <c r="J13298"/>
    </row>
    <row r="13299" spans="9:10" x14ac:dyDescent="0.3">
      <c r="I13299"/>
      <c r="J13299"/>
    </row>
    <row r="13300" spans="9:10" x14ac:dyDescent="0.3">
      <c r="I13300"/>
      <c r="J13300"/>
    </row>
    <row r="13301" spans="9:10" x14ac:dyDescent="0.3">
      <c r="I13301"/>
      <c r="J13301"/>
    </row>
    <row r="13302" spans="9:10" x14ac:dyDescent="0.3">
      <c r="I13302"/>
      <c r="J13302"/>
    </row>
    <row r="13303" spans="9:10" x14ac:dyDescent="0.3">
      <c r="I13303"/>
      <c r="J13303"/>
    </row>
    <row r="13304" spans="9:10" x14ac:dyDescent="0.3">
      <c r="I13304"/>
      <c r="J13304"/>
    </row>
    <row r="13305" spans="9:10" x14ac:dyDescent="0.3">
      <c r="I13305"/>
      <c r="J13305"/>
    </row>
    <row r="13306" spans="9:10" x14ac:dyDescent="0.3">
      <c r="I13306"/>
      <c r="J13306"/>
    </row>
    <row r="13307" spans="9:10" x14ac:dyDescent="0.3">
      <c r="I13307"/>
      <c r="J13307"/>
    </row>
    <row r="13308" spans="9:10" x14ac:dyDescent="0.3">
      <c r="I13308"/>
      <c r="J13308"/>
    </row>
    <row r="13309" spans="9:10" x14ac:dyDescent="0.3">
      <c r="I13309"/>
      <c r="J13309"/>
    </row>
    <row r="13310" spans="9:10" x14ac:dyDescent="0.3">
      <c r="I13310"/>
      <c r="J13310"/>
    </row>
    <row r="13311" spans="9:10" x14ac:dyDescent="0.3">
      <c r="I13311"/>
      <c r="J13311"/>
    </row>
    <row r="13312" spans="9:10" x14ac:dyDescent="0.3">
      <c r="I13312"/>
      <c r="J13312"/>
    </row>
    <row r="13313" spans="9:10" x14ac:dyDescent="0.3">
      <c r="I13313"/>
      <c r="J13313"/>
    </row>
    <row r="13314" spans="9:10" x14ac:dyDescent="0.3">
      <c r="I13314"/>
      <c r="J13314"/>
    </row>
    <row r="13315" spans="9:10" x14ac:dyDescent="0.3">
      <c r="I13315"/>
      <c r="J13315"/>
    </row>
    <row r="13316" spans="9:10" x14ac:dyDescent="0.3">
      <c r="I13316"/>
      <c r="J13316"/>
    </row>
    <row r="13317" spans="9:10" x14ac:dyDescent="0.3">
      <c r="I13317"/>
      <c r="J13317"/>
    </row>
    <row r="13318" spans="9:10" x14ac:dyDescent="0.3">
      <c r="I13318"/>
      <c r="J13318"/>
    </row>
    <row r="13319" spans="9:10" x14ac:dyDescent="0.3">
      <c r="I13319"/>
      <c r="J13319"/>
    </row>
    <row r="13320" spans="9:10" x14ac:dyDescent="0.3">
      <c r="I13320"/>
      <c r="J13320"/>
    </row>
    <row r="13321" spans="9:10" x14ac:dyDescent="0.3">
      <c r="I13321"/>
      <c r="J13321"/>
    </row>
    <row r="13322" spans="9:10" x14ac:dyDescent="0.3">
      <c r="I13322"/>
      <c r="J13322"/>
    </row>
    <row r="13323" spans="9:10" x14ac:dyDescent="0.3">
      <c r="I13323"/>
      <c r="J13323"/>
    </row>
    <row r="13324" spans="9:10" x14ac:dyDescent="0.3">
      <c r="I13324"/>
      <c r="J13324"/>
    </row>
    <row r="13325" spans="9:10" x14ac:dyDescent="0.3">
      <c r="I13325"/>
      <c r="J13325"/>
    </row>
    <row r="13326" spans="9:10" x14ac:dyDescent="0.3">
      <c r="I13326"/>
      <c r="J13326"/>
    </row>
    <row r="13327" spans="9:10" x14ac:dyDescent="0.3">
      <c r="I13327"/>
      <c r="J13327"/>
    </row>
    <row r="13328" spans="9:10" x14ac:dyDescent="0.3">
      <c r="I13328"/>
      <c r="J13328"/>
    </row>
    <row r="13329" spans="9:10" x14ac:dyDescent="0.3">
      <c r="I13329"/>
      <c r="J13329"/>
    </row>
    <row r="13330" spans="9:10" x14ac:dyDescent="0.3">
      <c r="I13330"/>
      <c r="J13330"/>
    </row>
    <row r="13331" spans="9:10" x14ac:dyDescent="0.3">
      <c r="I13331"/>
      <c r="J13331"/>
    </row>
    <row r="13332" spans="9:10" x14ac:dyDescent="0.3">
      <c r="I13332"/>
      <c r="J13332"/>
    </row>
    <row r="13333" spans="9:10" x14ac:dyDescent="0.3">
      <c r="I13333"/>
      <c r="J13333"/>
    </row>
    <row r="13334" spans="9:10" x14ac:dyDescent="0.3">
      <c r="I13334"/>
      <c r="J13334"/>
    </row>
    <row r="13335" spans="9:10" x14ac:dyDescent="0.3">
      <c r="I13335"/>
      <c r="J13335"/>
    </row>
    <row r="13336" spans="9:10" x14ac:dyDescent="0.3">
      <c r="I13336"/>
      <c r="J13336"/>
    </row>
    <row r="13337" spans="9:10" x14ac:dyDescent="0.3">
      <c r="I13337"/>
      <c r="J13337"/>
    </row>
    <row r="13338" spans="9:10" x14ac:dyDescent="0.3">
      <c r="I13338"/>
      <c r="J13338"/>
    </row>
    <row r="13339" spans="9:10" x14ac:dyDescent="0.3">
      <c r="I13339"/>
      <c r="J13339"/>
    </row>
    <row r="13340" spans="9:10" x14ac:dyDescent="0.3">
      <c r="I13340"/>
      <c r="J13340"/>
    </row>
    <row r="13341" spans="9:10" x14ac:dyDescent="0.3">
      <c r="I13341"/>
      <c r="J13341"/>
    </row>
    <row r="13342" spans="9:10" x14ac:dyDescent="0.3">
      <c r="I13342"/>
      <c r="J13342"/>
    </row>
    <row r="13343" spans="9:10" x14ac:dyDescent="0.3">
      <c r="I13343"/>
      <c r="J13343"/>
    </row>
    <row r="13344" spans="9:10" x14ac:dyDescent="0.3">
      <c r="I13344"/>
      <c r="J13344"/>
    </row>
    <row r="13345" spans="9:10" x14ac:dyDescent="0.3">
      <c r="I13345"/>
      <c r="J13345"/>
    </row>
    <row r="13346" spans="9:10" x14ac:dyDescent="0.3">
      <c r="I13346"/>
      <c r="J13346"/>
    </row>
    <row r="13347" spans="9:10" x14ac:dyDescent="0.3">
      <c r="I13347"/>
      <c r="J13347"/>
    </row>
    <row r="13348" spans="9:10" x14ac:dyDescent="0.3">
      <c r="I13348"/>
      <c r="J13348"/>
    </row>
    <row r="13349" spans="9:10" x14ac:dyDescent="0.3">
      <c r="I13349"/>
      <c r="J13349"/>
    </row>
    <row r="13350" spans="9:10" x14ac:dyDescent="0.3">
      <c r="I13350"/>
      <c r="J13350"/>
    </row>
    <row r="13351" spans="9:10" x14ac:dyDescent="0.3">
      <c r="I13351"/>
      <c r="J13351"/>
    </row>
    <row r="13352" spans="9:10" x14ac:dyDescent="0.3">
      <c r="I13352"/>
      <c r="J13352"/>
    </row>
    <row r="13353" spans="9:10" x14ac:dyDescent="0.3">
      <c r="I13353"/>
      <c r="J13353"/>
    </row>
    <row r="13354" spans="9:10" x14ac:dyDescent="0.3">
      <c r="I13354"/>
      <c r="J13354"/>
    </row>
    <row r="13355" spans="9:10" x14ac:dyDescent="0.3">
      <c r="I13355"/>
      <c r="J13355"/>
    </row>
    <row r="13356" spans="9:10" x14ac:dyDescent="0.3">
      <c r="I13356"/>
      <c r="J13356"/>
    </row>
    <row r="13357" spans="9:10" x14ac:dyDescent="0.3">
      <c r="I13357"/>
      <c r="J13357"/>
    </row>
    <row r="13358" spans="9:10" x14ac:dyDescent="0.3">
      <c r="I13358"/>
      <c r="J13358"/>
    </row>
    <row r="13359" spans="9:10" x14ac:dyDescent="0.3">
      <c r="I13359"/>
      <c r="J13359"/>
    </row>
    <row r="13360" spans="9:10" x14ac:dyDescent="0.3">
      <c r="I13360"/>
      <c r="J13360"/>
    </row>
    <row r="13361" spans="9:10" x14ac:dyDescent="0.3">
      <c r="I13361"/>
      <c r="J13361"/>
    </row>
    <row r="13362" spans="9:10" x14ac:dyDescent="0.3">
      <c r="I13362"/>
      <c r="J13362"/>
    </row>
    <row r="13363" spans="9:10" x14ac:dyDescent="0.3">
      <c r="I13363"/>
      <c r="J13363"/>
    </row>
    <row r="13364" spans="9:10" x14ac:dyDescent="0.3">
      <c r="I13364"/>
      <c r="J13364"/>
    </row>
    <row r="13365" spans="9:10" x14ac:dyDescent="0.3">
      <c r="I13365"/>
      <c r="J13365"/>
    </row>
    <row r="13366" spans="9:10" x14ac:dyDescent="0.3">
      <c r="I13366"/>
      <c r="J13366"/>
    </row>
    <row r="13367" spans="9:10" x14ac:dyDescent="0.3">
      <c r="I13367"/>
      <c r="J13367"/>
    </row>
    <row r="13368" spans="9:10" x14ac:dyDescent="0.3">
      <c r="I13368"/>
      <c r="J13368"/>
    </row>
    <row r="13369" spans="9:10" x14ac:dyDescent="0.3">
      <c r="I13369"/>
      <c r="J13369"/>
    </row>
    <row r="13370" spans="9:10" x14ac:dyDescent="0.3">
      <c r="I13370"/>
      <c r="J13370"/>
    </row>
    <row r="13371" spans="9:10" x14ac:dyDescent="0.3">
      <c r="I13371"/>
      <c r="J13371"/>
    </row>
    <row r="13372" spans="9:10" x14ac:dyDescent="0.3">
      <c r="I13372"/>
      <c r="J13372"/>
    </row>
    <row r="13373" spans="9:10" x14ac:dyDescent="0.3">
      <c r="I13373"/>
      <c r="J13373"/>
    </row>
    <row r="13374" spans="9:10" x14ac:dyDescent="0.3">
      <c r="I13374"/>
      <c r="J13374"/>
    </row>
    <row r="13375" spans="9:10" x14ac:dyDescent="0.3">
      <c r="I13375"/>
      <c r="J13375"/>
    </row>
    <row r="13376" spans="9:10" x14ac:dyDescent="0.3">
      <c r="I13376"/>
      <c r="J13376"/>
    </row>
    <row r="13377" spans="9:10" x14ac:dyDescent="0.3">
      <c r="I13377"/>
      <c r="J13377"/>
    </row>
    <row r="13378" spans="9:10" x14ac:dyDescent="0.3">
      <c r="I13378"/>
      <c r="J13378"/>
    </row>
    <row r="13379" spans="9:10" x14ac:dyDescent="0.3">
      <c r="I13379"/>
      <c r="J13379"/>
    </row>
    <row r="13380" spans="9:10" x14ac:dyDescent="0.3">
      <c r="I13380"/>
      <c r="J13380"/>
    </row>
    <row r="13381" spans="9:10" x14ac:dyDescent="0.3">
      <c r="I13381"/>
      <c r="J13381"/>
    </row>
    <row r="13382" spans="9:10" x14ac:dyDescent="0.3">
      <c r="I13382"/>
      <c r="J13382"/>
    </row>
    <row r="13383" spans="9:10" x14ac:dyDescent="0.3">
      <c r="I13383"/>
      <c r="J13383"/>
    </row>
    <row r="13384" spans="9:10" x14ac:dyDescent="0.3">
      <c r="I13384"/>
      <c r="J13384"/>
    </row>
    <row r="13385" spans="9:10" x14ac:dyDescent="0.3">
      <c r="I13385"/>
      <c r="J13385"/>
    </row>
    <row r="13386" spans="9:10" x14ac:dyDescent="0.3">
      <c r="I13386"/>
      <c r="J13386"/>
    </row>
    <row r="13387" spans="9:10" x14ac:dyDescent="0.3">
      <c r="I13387"/>
      <c r="J13387"/>
    </row>
    <row r="13388" spans="9:10" x14ac:dyDescent="0.3">
      <c r="I13388"/>
      <c r="J13388"/>
    </row>
    <row r="13389" spans="9:10" x14ac:dyDescent="0.3">
      <c r="I13389"/>
      <c r="J13389"/>
    </row>
    <row r="13390" spans="9:10" x14ac:dyDescent="0.3">
      <c r="I13390"/>
      <c r="J13390"/>
    </row>
    <row r="13391" spans="9:10" x14ac:dyDescent="0.3">
      <c r="I13391"/>
      <c r="J13391"/>
    </row>
    <row r="13392" spans="9:10" x14ac:dyDescent="0.3">
      <c r="I13392"/>
      <c r="J13392"/>
    </row>
    <row r="13393" spans="9:10" x14ac:dyDescent="0.3">
      <c r="I13393"/>
      <c r="J13393"/>
    </row>
    <row r="13394" spans="9:10" x14ac:dyDescent="0.3">
      <c r="I13394"/>
      <c r="J13394"/>
    </row>
    <row r="13395" spans="9:10" x14ac:dyDescent="0.3">
      <c r="I13395"/>
      <c r="J13395"/>
    </row>
    <row r="13396" spans="9:10" x14ac:dyDescent="0.3">
      <c r="I13396"/>
      <c r="J13396"/>
    </row>
    <row r="13397" spans="9:10" x14ac:dyDescent="0.3">
      <c r="I13397"/>
      <c r="J13397"/>
    </row>
    <row r="13398" spans="9:10" x14ac:dyDescent="0.3">
      <c r="I13398"/>
      <c r="J13398"/>
    </row>
    <row r="13399" spans="9:10" x14ac:dyDescent="0.3">
      <c r="I13399"/>
      <c r="J13399"/>
    </row>
    <row r="13400" spans="9:10" x14ac:dyDescent="0.3">
      <c r="I13400"/>
      <c r="J13400"/>
    </row>
    <row r="13401" spans="9:10" x14ac:dyDescent="0.3">
      <c r="I13401"/>
      <c r="J13401"/>
    </row>
    <row r="13402" spans="9:10" x14ac:dyDescent="0.3">
      <c r="I13402"/>
      <c r="J13402"/>
    </row>
    <row r="13403" spans="9:10" x14ac:dyDescent="0.3">
      <c r="I13403"/>
      <c r="J13403"/>
    </row>
    <row r="13404" spans="9:10" x14ac:dyDescent="0.3">
      <c r="I13404"/>
      <c r="J13404"/>
    </row>
    <row r="13405" spans="9:10" x14ac:dyDescent="0.3">
      <c r="I13405"/>
      <c r="J13405"/>
    </row>
    <row r="13406" spans="9:10" x14ac:dyDescent="0.3">
      <c r="I13406"/>
      <c r="J13406"/>
    </row>
    <row r="13407" spans="9:10" x14ac:dyDescent="0.3">
      <c r="I13407"/>
      <c r="J13407"/>
    </row>
    <row r="13408" spans="9:10" x14ac:dyDescent="0.3">
      <c r="I13408"/>
      <c r="J13408"/>
    </row>
    <row r="13409" spans="9:10" x14ac:dyDescent="0.3">
      <c r="I13409"/>
      <c r="J13409"/>
    </row>
    <row r="13410" spans="9:10" x14ac:dyDescent="0.3">
      <c r="I13410"/>
      <c r="J13410"/>
    </row>
    <row r="13411" spans="9:10" x14ac:dyDescent="0.3">
      <c r="I13411"/>
      <c r="J13411"/>
    </row>
    <row r="13412" spans="9:10" x14ac:dyDescent="0.3">
      <c r="I13412"/>
      <c r="J13412"/>
    </row>
    <row r="13413" spans="9:10" x14ac:dyDescent="0.3">
      <c r="I13413"/>
      <c r="J13413"/>
    </row>
    <row r="13414" spans="9:10" x14ac:dyDescent="0.3">
      <c r="I13414"/>
      <c r="J13414"/>
    </row>
    <row r="13415" spans="9:10" x14ac:dyDescent="0.3">
      <c r="I13415"/>
      <c r="J13415"/>
    </row>
    <row r="13416" spans="9:10" x14ac:dyDescent="0.3">
      <c r="I13416"/>
      <c r="J13416"/>
    </row>
    <row r="13417" spans="9:10" x14ac:dyDescent="0.3">
      <c r="I13417"/>
      <c r="J13417"/>
    </row>
    <row r="13418" spans="9:10" x14ac:dyDescent="0.3">
      <c r="I13418"/>
      <c r="J13418"/>
    </row>
    <row r="13419" spans="9:10" x14ac:dyDescent="0.3">
      <c r="I13419"/>
      <c r="J13419"/>
    </row>
    <row r="13420" spans="9:10" x14ac:dyDescent="0.3">
      <c r="I13420"/>
      <c r="J13420"/>
    </row>
    <row r="13421" spans="9:10" x14ac:dyDescent="0.3">
      <c r="I13421"/>
      <c r="J13421"/>
    </row>
    <row r="13422" spans="9:10" x14ac:dyDescent="0.3">
      <c r="I13422"/>
      <c r="J13422"/>
    </row>
    <row r="13423" spans="9:10" x14ac:dyDescent="0.3">
      <c r="I13423"/>
      <c r="J13423"/>
    </row>
    <row r="13424" spans="9:10" x14ac:dyDescent="0.3">
      <c r="I13424"/>
      <c r="J13424"/>
    </row>
    <row r="13425" spans="9:10" x14ac:dyDescent="0.3">
      <c r="I13425"/>
      <c r="J13425"/>
    </row>
    <row r="13426" spans="9:10" x14ac:dyDescent="0.3">
      <c r="I13426"/>
      <c r="J13426"/>
    </row>
    <row r="13427" spans="9:10" x14ac:dyDescent="0.3">
      <c r="I13427"/>
      <c r="J13427"/>
    </row>
    <row r="13428" spans="9:10" x14ac:dyDescent="0.3">
      <c r="I13428"/>
      <c r="J13428"/>
    </row>
    <row r="13429" spans="9:10" x14ac:dyDescent="0.3">
      <c r="I13429"/>
      <c r="J13429"/>
    </row>
    <row r="13430" spans="9:10" x14ac:dyDescent="0.3">
      <c r="I13430"/>
      <c r="J13430"/>
    </row>
    <row r="13431" spans="9:10" x14ac:dyDescent="0.3">
      <c r="I13431"/>
      <c r="J13431"/>
    </row>
    <row r="13432" spans="9:10" x14ac:dyDescent="0.3">
      <c r="I13432"/>
      <c r="J13432"/>
    </row>
    <row r="13433" spans="9:10" x14ac:dyDescent="0.3">
      <c r="I13433"/>
      <c r="J13433"/>
    </row>
    <row r="13434" spans="9:10" x14ac:dyDescent="0.3">
      <c r="I13434"/>
      <c r="J13434"/>
    </row>
    <row r="13435" spans="9:10" x14ac:dyDescent="0.3">
      <c r="I13435"/>
      <c r="J13435"/>
    </row>
    <row r="13436" spans="9:10" x14ac:dyDescent="0.3">
      <c r="I13436"/>
      <c r="J13436"/>
    </row>
    <row r="13437" spans="9:10" x14ac:dyDescent="0.3">
      <c r="I13437"/>
      <c r="J13437"/>
    </row>
    <row r="13438" spans="9:10" x14ac:dyDescent="0.3">
      <c r="I13438"/>
      <c r="J13438"/>
    </row>
    <row r="13439" spans="9:10" x14ac:dyDescent="0.3">
      <c r="I13439"/>
      <c r="J13439"/>
    </row>
    <row r="13440" spans="9:10" x14ac:dyDescent="0.3">
      <c r="I13440"/>
      <c r="J13440"/>
    </row>
    <row r="13441" spans="9:10" x14ac:dyDescent="0.3">
      <c r="I13441"/>
      <c r="J13441"/>
    </row>
    <row r="13442" spans="9:10" x14ac:dyDescent="0.3">
      <c r="I13442"/>
      <c r="J13442"/>
    </row>
    <row r="13443" spans="9:10" x14ac:dyDescent="0.3">
      <c r="I13443"/>
      <c r="J13443"/>
    </row>
    <row r="13444" spans="9:10" x14ac:dyDescent="0.3">
      <c r="I13444"/>
      <c r="J13444"/>
    </row>
    <row r="13445" spans="9:10" x14ac:dyDescent="0.3">
      <c r="I13445"/>
      <c r="J13445"/>
    </row>
    <row r="13446" spans="9:10" x14ac:dyDescent="0.3">
      <c r="I13446"/>
      <c r="J13446"/>
    </row>
    <row r="13447" spans="9:10" x14ac:dyDescent="0.3">
      <c r="I13447"/>
      <c r="J13447"/>
    </row>
    <row r="13448" spans="9:10" x14ac:dyDescent="0.3">
      <c r="I13448"/>
      <c r="J13448"/>
    </row>
    <row r="13449" spans="9:10" x14ac:dyDescent="0.3">
      <c r="I13449"/>
      <c r="J13449"/>
    </row>
    <row r="13450" spans="9:10" x14ac:dyDescent="0.3">
      <c r="I13450"/>
      <c r="J13450"/>
    </row>
    <row r="13451" spans="9:10" x14ac:dyDescent="0.3">
      <c r="I13451"/>
      <c r="J13451"/>
    </row>
    <row r="13452" spans="9:10" x14ac:dyDescent="0.3">
      <c r="I13452"/>
      <c r="J13452"/>
    </row>
    <row r="13453" spans="9:10" x14ac:dyDescent="0.3">
      <c r="I13453"/>
      <c r="J13453"/>
    </row>
    <row r="13454" spans="9:10" x14ac:dyDescent="0.3">
      <c r="I13454"/>
      <c r="J13454"/>
    </row>
    <row r="13455" spans="9:10" x14ac:dyDescent="0.3">
      <c r="I13455"/>
      <c r="J13455"/>
    </row>
    <row r="13456" spans="9:10" x14ac:dyDescent="0.3">
      <c r="I13456"/>
      <c r="J13456"/>
    </row>
    <row r="13457" spans="9:10" x14ac:dyDescent="0.3">
      <c r="I13457"/>
      <c r="J13457"/>
    </row>
    <row r="13458" spans="9:10" x14ac:dyDescent="0.3">
      <c r="I13458"/>
      <c r="J13458"/>
    </row>
    <row r="13459" spans="9:10" x14ac:dyDescent="0.3">
      <c r="I13459"/>
      <c r="J13459"/>
    </row>
    <row r="13460" spans="9:10" x14ac:dyDescent="0.3">
      <c r="I13460"/>
      <c r="J13460"/>
    </row>
    <row r="13461" spans="9:10" x14ac:dyDescent="0.3">
      <c r="I13461"/>
      <c r="J13461"/>
    </row>
    <row r="13462" spans="9:10" x14ac:dyDescent="0.3">
      <c r="I13462"/>
      <c r="J13462"/>
    </row>
    <row r="13463" spans="9:10" x14ac:dyDescent="0.3">
      <c r="I13463"/>
      <c r="J13463"/>
    </row>
    <row r="13464" spans="9:10" x14ac:dyDescent="0.3">
      <c r="I13464"/>
      <c r="J13464"/>
    </row>
    <row r="13465" spans="9:10" x14ac:dyDescent="0.3">
      <c r="I13465"/>
      <c r="J13465"/>
    </row>
    <row r="13466" spans="9:10" x14ac:dyDescent="0.3">
      <c r="I13466"/>
      <c r="J13466"/>
    </row>
    <row r="13467" spans="9:10" x14ac:dyDescent="0.3">
      <c r="I13467"/>
      <c r="J13467"/>
    </row>
    <row r="13468" spans="9:10" x14ac:dyDescent="0.3">
      <c r="I13468"/>
      <c r="J13468"/>
    </row>
    <row r="13469" spans="9:10" x14ac:dyDescent="0.3">
      <c r="I13469"/>
      <c r="J13469"/>
    </row>
    <row r="13470" spans="9:10" x14ac:dyDescent="0.3">
      <c r="I13470"/>
      <c r="J13470"/>
    </row>
    <row r="13471" spans="9:10" x14ac:dyDescent="0.3">
      <c r="I13471"/>
      <c r="J13471"/>
    </row>
    <row r="13472" spans="9:10" x14ac:dyDescent="0.3">
      <c r="I13472"/>
      <c r="J13472"/>
    </row>
    <row r="13473" spans="9:10" x14ac:dyDescent="0.3">
      <c r="I13473"/>
      <c r="J13473"/>
    </row>
    <row r="13474" spans="9:10" x14ac:dyDescent="0.3">
      <c r="I13474"/>
      <c r="J13474"/>
    </row>
    <row r="13475" spans="9:10" x14ac:dyDescent="0.3">
      <c r="I13475"/>
      <c r="J13475"/>
    </row>
    <row r="13476" spans="9:10" x14ac:dyDescent="0.3">
      <c r="I13476"/>
      <c r="J13476"/>
    </row>
    <row r="13477" spans="9:10" x14ac:dyDescent="0.3">
      <c r="I13477"/>
      <c r="J13477"/>
    </row>
    <row r="13478" spans="9:10" x14ac:dyDescent="0.3">
      <c r="I13478"/>
      <c r="J13478"/>
    </row>
    <row r="13479" spans="9:10" x14ac:dyDescent="0.3">
      <c r="I13479"/>
      <c r="J13479"/>
    </row>
    <row r="13480" spans="9:10" x14ac:dyDescent="0.3">
      <c r="I13480"/>
      <c r="J13480"/>
    </row>
    <row r="13481" spans="9:10" x14ac:dyDescent="0.3">
      <c r="I13481"/>
      <c r="J13481"/>
    </row>
    <row r="13482" spans="9:10" x14ac:dyDescent="0.3">
      <c r="I13482"/>
      <c r="J13482"/>
    </row>
    <row r="13483" spans="9:10" x14ac:dyDescent="0.3">
      <c r="I13483"/>
      <c r="J13483"/>
    </row>
    <row r="13484" spans="9:10" x14ac:dyDescent="0.3">
      <c r="I13484"/>
      <c r="J13484"/>
    </row>
    <row r="13485" spans="9:10" x14ac:dyDescent="0.3">
      <c r="I13485"/>
      <c r="J13485"/>
    </row>
    <row r="13486" spans="9:10" x14ac:dyDescent="0.3">
      <c r="I13486"/>
      <c r="J13486"/>
    </row>
    <row r="13487" spans="9:10" x14ac:dyDescent="0.3">
      <c r="I13487"/>
      <c r="J13487"/>
    </row>
    <row r="13488" spans="9:10" x14ac:dyDescent="0.3">
      <c r="I13488"/>
      <c r="J13488"/>
    </row>
    <row r="13489" spans="9:10" x14ac:dyDescent="0.3">
      <c r="I13489"/>
      <c r="J13489"/>
    </row>
    <row r="13490" spans="9:10" x14ac:dyDescent="0.3">
      <c r="I13490"/>
      <c r="J13490"/>
    </row>
    <row r="13491" spans="9:10" x14ac:dyDescent="0.3">
      <c r="I13491"/>
      <c r="J13491"/>
    </row>
    <row r="13492" spans="9:10" x14ac:dyDescent="0.3">
      <c r="I13492"/>
      <c r="J13492"/>
    </row>
    <row r="13493" spans="9:10" x14ac:dyDescent="0.3">
      <c r="I13493"/>
      <c r="J13493"/>
    </row>
    <row r="13494" spans="9:10" x14ac:dyDescent="0.3">
      <c r="I13494"/>
      <c r="J13494"/>
    </row>
    <row r="13495" spans="9:10" x14ac:dyDescent="0.3">
      <c r="I13495"/>
      <c r="J13495"/>
    </row>
    <row r="13496" spans="9:10" x14ac:dyDescent="0.3">
      <c r="I13496"/>
      <c r="J13496"/>
    </row>
    <row r="13497" spans="9:10" x14ac:dyDescent="0.3">
      <c r="I13497"/>
      <c r="J13497"/>
    </row>
    <row r="13498" spans="9:10" x14ac:dyDescent="0.3">
      <c r="I13498"/>
      <c r="J13498"/>
    </row>
    <row r="13499" spans="9:10" x14ac:dyDescent="0.3">
      <c r="I13499"/>
      <c r="J13499"/>
    </row>
    <row r="13500" spans="9:10" x14ac:dyDescent="0.3">
      <c r="I13500"/>
      <c r="J13500"/>
    </row>
    <row r="13501" spans="9:10" x14ac:dyDescent="0.3">
      <c r="I13501"/>
      <c r="J13501"/>
    </row>
    <row r="13502" spans="9:10" x14ac:dyDescent="0.3">
      <c r="I13502"/>
      <c r="J13502"/>
    </row>
    <row r="13503" spans="9:10" x14ac:dyDescent="0.3">
      <c r="I13503"/>
      <c r="J13503"/>
    </row>
    <row r="13504" spans="9:10" x14ac:dyDescent="0.3">
      <c r="I13504"/>
      <c r="J13504"/>
    </row>
    <row r="13505" spans="9:10" x14ac:dyDescent="0.3">
      <c r="I13505"/>
      <c r="J13505"/>
    </row>
    <row r="13506" spans="9:10" x14ac:dyDescent="0.3">
      <c r="I13506"/>
      <c r="J13506"/>
    </row>
    <row r="13507" spans="9:10" x14ac:dyDescent="0.3">
      <c r="I13507"/>
      <c r="J13507"/>
    </row>
    <row r="13508" spans="9:10" x14ac:dyDescent="0.3">
      <c r="I13508"/>
      <c r="J13508"/>
    </row>
    <row r="13509" spans="9:10" x14ac:dyDescent="0.3">
      <c r="I13509"/>
      <c r="J13509"/>
    </row>
    <row r="13510" spans="9:10" x14ac:dyDescent="0.3">
      <c r="I13510"/>
      <c r="J13510"/>
    </row>
    <row r="13511" spans="9:10" x14ac:dyDescent="0.3">
      <c r="I13511"/>
      <c r="J13511"/>
    </row>
    <row r="13512" spans="9:10" x14ac:dyDescent="0.3">
      <c r="I13512"/>
      <c r="J13512"/>
    </row>
    <row r="13513" spans="9:10" x14ac:dyDescent="0.3">
      <c r="I13513"/>
      <c r="J13513"/>
    </row>
    <row r="13514" spans="9:10" x14ac:dyDescent="0.3">
      <c r="I13514"/>
      <c r="J13514"/>
    </row>
    <row r="13515" spans="9:10" x14ac:dyDescent="0.3">
      <c r="I13515"/>
      <c r="J13515"/>
    </row>
    <row r="13516" spans="9:10" x14ac:dyDescent="0.3">
      <c r="I13516"/>
      <c r="J13516"/>
    </row>
    <row r="13517" spans="9:10" x14ac:dyDescent="0.3">
      <c r="I13517"/>
      <c r="J13517"/>
    </row>
    <row r="13518" spans="9:10" x14ac:dyDescent="0.3">
      <c r="I13518"/>
      <c r="J13518"/>
    </row>
    <row r="13519" spans="9:10" x14ac:dyDescent="0.3">
      <c r="I13519"/>
      <c r="J13519"/>
    </row>
    <row r="13520" spans="9:10" x14ac:dyDescent="0.3">
      <c r="I13520"/>
      <c r="J13520"/>
    </row>
    <row r="13521" spans="9:10" x14ac:dyDescent="0.3">
      <c r="I13521"/>
      <c r="J13521"/>
    </row>
    <row r="13522" spans="9:10" x14ac:dyDescent="0.3">
      <c r="I13522"/>
      <c r="J13522"/>
    </row>
    <row r="13523" spans="9:10" x14ac:dyDescent="0.3">
      <c r="I13523"/>
      <c r="J13523"/>
    </row>
    <row r="13524" spans="9:10" x14ac:dyDescent="0.3">
      <c r="I13524"/>
      <c r="J13524"/>
    </row>
    <row r="13525" spans="9:10" x14ac:dyDescent="0.3">
      <c r="I13525"/>
      <c r="J13525"/>
    </row>
    <row r="13526" spans="9:10" x14ac:dyDescent="0.3">
      <c r="I13526"/>
      <c r="J13526"/>
    </row>
    <row r="13527" spans="9:10" x14ac:dyDescent="0.3">
      <c r="I13527"/>
      <c r="J13527"/>
    </row>
    <row r="13528" spans="9:10" x14ac:dyDescent="0.3">
      <c r="I13528"/>
      <c r="J13528"/>
    </row>
    <row r="13529" spans="9:10" x14ac:dyDescent="0.3">
      <c r="I13529"/>
      <c r="J13529"/>
    </row>
    <row r="13530" spans="9:10" x14ac:dyDescent="0.3">
      <c r="I13530"/>
      <c r="J13530"/>
    </row>
    <row r="13531" spans="9:10" x14ac:dyDescent="0.3">
      <c r="I13531"/>
      <c r="J13531"/>
    </row>
    <row r="13532" spans="9:10" x14ac:dyDescent="0.3">
      <c r="I13532"/>
      <c r="J13532"/>
    </row>
    <row r="13533" spans="9:10" x14ac:dyDescent="0.3">
      <c r="I13533"/>
      <c r="J13533"/>
    </row>
    <row r="13534" spans="9:10" x14ac:dyDescent="0.3">
      <c r="I13534"/>
      <c r="J13534"/>
    </row>
    <row r="13535" spans="9:10" x14ac:dyDescent="0.3">
      <c r="I13535"/>
      <c r="J13535"/>
    </row>
    <row r="13536" spans="9:10" x14ac:dyDescent="0.3">
      <c r="I13536"/>
      <c r="J13536"/>
    </row>
    <row r="13537" spans="9:10" x14ac:dyDescent="0.3">
      <c r="I13537"/>
      <c r="J13537"/>
    </row>
    <row r="13538" spans="9:10" x14ac:dyDescent="0.3">
      <c r="I13538"/>
      <c r="J13538"/>
    </row>
    <row r="13539" spans="9:10" x14ac:dyDescent="0.3">
      <c r="I13539"/>
      <c r="J13539"/>
    </row>
    <row r="13540" spans="9:10" x14ac:dyDescent="0.3">
      <c r="I13540"/>
      <c r="J13540"/>
    </row>
    <row r="13541" spans="9:10" x14ac:dyDescent="0.3">
      <c r="I13541"/>
      <c r="J13541"/>
    </row>
    <row r="13542" spans="9:10" x14ac:dyDescent="0.3">
      <c r="I13542"/>
      <c r="J13542"/>
    </row>
    <row r="13543" spans="9:10" x14ac:dyDescent="0.3">
      <c r="I13543"/>
      <c r="J13543"/>
    </row>
    <row r="13544" spans="9:10" x14ac:dyDescent="0.3">
      <c r="I13544"/>
      <c r="J13544"/>
    </row>
    <row r="13545" spans="9:10" x14ac:dyDescent="0.3">
      <c r="I13545"/>
      <c r="J13545"/>
    </row>
    <row r="13546" spans="9:10" x14ac:dyDescent="0.3">
      <c r="I13546"/>
      <c r="J13546"/>
    </row>
    <row r="13547" spans="9:10" x14ac:dyDescent="0.3">
      <c r="I13547"/>
      <c r="J13547"/>
    </row>
    <row r="13548" spans="9:10" x14ac:dyDescent="0.3">
      <c r="I13548"/>
      <c r="J13548"/>
    </row>
    <row r="13549" spans="9:10" x14ac:dyDescent="0.3">
      <c r="I13549"/>
      <c r="J13549"/>
    </row>
    <row r="13550" spans="9:10" x14ac:dyDescent="0.3">
      <c r="I13550"/>
      <c r="J13550"/>
    </row>
    <row r="13551" spans="9:10" x14ac:dyDescent="0.3">
      <c r="I13551"/>
      <c r="J13551"/>
    </row>
    <row r="13552" spans="9:10" x14ac:dyDescent="0.3">
      <c r="I13552"/>
      <c r="J13552"/>
    </row>
    <row r="13553" spans="9:10" x14ac:dyDescent="0.3">
      <c r="I13553"/>
      <c r="J13553"/>
    </row>
    <row r="13554" spans="9:10" x14ac:dyDescent="0.3">
      <c r="I13554"/>
      <c r="J13554"/>
    </row>
    <row r="13555" spans="9:10" x14ac:dyDescent="0.3">
      <c r="I13555"/>
      <c r="J13555"/>
    </row>
    <row r="13556" spans="9:10" x14ac:dyDescent="0.3">
      <c r="I13556"/>
      <c r="J13556"/>
    </row>
    <row r="13557" spans="9:10" x14ac:dyDescent="0.3">
      <c r="I13557"/>
      <c r="J13557"/>
    </row>
    <row r="13558" spans="9:10" x14ac:dyDescent="0.3">
      <c r="I13558"/>
      <c r="J13558"/>
    </row>
    <row r="13559" spans="9:10" x14ac:dyDescent="0.3">
      <c r="I13559"/>
      <c r="J13559"/>
    </row>
    <row r="13560" spans="9:10" x14ac:dyDescent="0.3">
      <c r="I13560"/>
      <c r="J13560"/>
    </row>
    <row r="13561" spans="9:10" x14ac:dyDescent="0.3">
      <c r="I13561"/>
      <c r="J13561"/>
    </row>
    <row r="13562" spans="9:10" x14ac:dyDescent="0.3">
      <c r="I13562"/>
      <c r="J13562"/>
    </row>
    <row r="13563" spans="9:10" x14ac:dyDescent="0.3">
      <c r="I13563"/>
      <c r="J13563"/>
    </row>
    <row r="13564" spans="9:10" x14ac:dyDescent="0.3">
      <c r="I13564"/>
      <c r="J13564"/>
    </row>
    <row r="13565" spans="9:10" x14ac:dyDescent="0.3">
      <c r="I13565"/>
      <c r="J13565"/>
    </row>
    <row r="13566" spans="9:10" x14ac:dyDescent="0.3">
      <c r="I13566"/>
      <c r="J13566"/>
    </row>
    <row r="13567" spans="9:10" x14ac:dyDescent="0.3">
      <c r="I13567"/>
      <c r="J13567"/>
    </row>
    <row r="13568" spans="9:10" x14ac:dyDescent="0.3">
      <c r="I13568"/>
      <c r="J13568"/>
    </row>
    <row r="13569" spans="9:10" x14ac:dyDescent="0.3">
      <c r="I13569"/>
      <c r="J13569"/>
    </row>
    <row r="13570" spans="9:10" x14ac:dyDescent="0.3">
      <c r="I13570"/>
      <c r="J13570"/>
    </row>
    <row r="13571" spans="9:10" x14ac:dyDescent="0.3">
      <c r="I13571"/>
      <c r="J13571"/>
    </row>
    <row r="13572" spans="9:10" x14ac:dyDescent="0.3">
      <c r="I13572"/>
      <c r="J13572"/>
    </row>
    <row r="13573" spans="9:10" x14ac:dyDescent="0.3">
      <c r="I13573"/>
      <c r="J13573"/>
    </row>
    <row r="13574" spans="9:10" x14ac:dyDescent="0.3">
      <c r="I13574"/>
      <c r="J13574"/>
    </row>
    <row r="13575" spans="9:10" x14ac:dyDescent="0.3">
      <c r="I13575"/>
      <c r="J13575"/>
    </row>
    <row r="13576" spans="9:10" x14ac:dyDescent="0.3">
      <c r="I13576"/>
      <c r="J13576"/>
    </row>
    <row r="13577" spans="9:10" x14ac:dyDescent="0.3">
      <c r="I13577"/>
      <c r="J13577"/>
    </row>
    <row r="13578" spans="9:10" x14ac:dyDescent="0.3">
      <c r="I13578"/>
      <c r="J13578"/>
    </row>
    <row r="13579" spans="9:10" x14ac:dyDescent="0.3">
      <c r="I13579"/>
      <c r="J13579"/>
    </row>
    <row r="13580" spans="9:10" x14ac:dyDescent="0.3">
      <c r="I13580"/>
      <c r="J13580"/>
    </row>
    <row r="13581" spans="9:10" x14ac:dyDescent="0.3">
      <c r="I13581"/>
      <c r="J13581"/>
    </row>
    <row r="13582" spans="9:10" x14ac:dyDescent="0.3">
      <c r="I13582"/>
      <c r="J13582"/>
    </row>
    <row r="13583" spans="9:10" x14ac:dyDescent="0.3">
      <c r="I13583"/>
      <c r="J13583"/>
    </row>
    <row r="13584" spans="9:10" x14ac:dyDescent="0.3">
      <c r="I13584"/>
      <c r="J13584"/>
    </row>
    <row r="13585" spans="9:10" x14ac:dyDescent="0.3">
      <c r="I13585"/>
      <c r="J13585"/>
    </row>
    <row r="13586" spans="9:10" x14ac:dyDescent="0.3">
      <c r="I13586"/>
      <c r="J13586"/>
    </row>
    <row r="13587" spans="9:10" x14ac:dyDescent="0.3">
      <c r="I13587"/>
      <c r="J13587"/>
    </row>
    <row r="13588" spans="9:10" x14ac:dyDescent="0.3">
      <c r="I13588"/>
      <c r="J13588"/>
    </row>
    <row r="13589" spans="9:10" x14ac:dyDescent="0.3">
      <c r="I13589"/>
      <c r="J13589"/>
    </row>
    <row r="13590" spans="9:10" x14ac:dyDescent="0.3">
      <c r="I13590"/>
      <c r="J13590"/>
    </row>
    <row r="13591" spans="9:10" x14ac:dyDescent="0.3">
      <c r="I13591"/>
      <c r="J13591"/>
    </row>
    <row r="13592" spans="9:10" x14ac:dyDescent="0.3">
      <c r="I13592"/>
      <c r="J13592"/>
    </row>
    <row r="13593" spans="9:10" x14ac:dyDescent="0.3">
      <c r="I13593"/>
      <c r="J13593"/>
    </row>
    <row r="13594" spans="9:10" x14ac:dyDescent="0.3">
      <c r="I13594"/>
      <c r="J13594"/>
    </row>
    <row r="13595" spans="9:10" x14ac:dyDescent="0.3">
      <c r="I13595"/>
      <c r="J13595"/>
    </row>
    <row r="13596" spans="9:10" x14ac:dyDescent="0.3">
      <c r="I13596"/>
      <c r="J13596"/>
    </row>
    <row r="13597" spans="9:10" x14ac:dyDescent="0.3">
      <c r="I13597"/>
      <c r="J13597"/>
    </row>
    <row r="13598" spans="9:10" x14ac:dyDescent="0.3">
      <c r="I13598"/>
      <c r="J13598"/>
    </row>
    <row r="13599" spans="9:10" x14ac:dyDescent="0.3">
      <c r="I13599"/>
      <c r="J13599"/>
    </row>
    <row r="13600" spans="9:10" x14ac:dyDescent="0.3">
      <c r="I13600"/>
      <c r="J13600"/>
    </row>
    <row r="13601" spans="9:10" x14ac:dyDescent="0.3">
      <c r="I13601"/>
      <c r="J13601"/>
    </row>
    <row r="13602" spans="9:10" x14ac:dyDescent="0.3">
      <c r="I13602"/>
      <c r="J13602"/>
    </row>
    <row r="13603" spans="9:10" x14ac:dyDescent="0.3">
      <c r="I13603"/>
      <c r="J13603"/>
    </row>
    <row r="13604" spans="9:10" x14ac:dyDescent="0.3">
      <c r="I13604"/>
      <c r="J13604"/>
    </row>
    <row r="13605" spans="9:10" x14ac:dyDescent="0.3">
      <c r="I13605"/>
      <c r="J13605"/>
    </row>
    <row r="13606" spans="9:10" x14ac:dyDescent="0.3">
      <c r="I13606"/>
      <c r="J13606"/>
    </row>
    <row r="13607" spans="9:10" x14ac:dyDescent="0.3">
      <c r="I13607"/>
      <c r="J13607"/>
    </row>
    <row r="13608" spans="9:10" x14ac:dyDescent="0.3">
      <c r="I13608"/>
      <c r="J13608"/>
    </row>
    <row r="13609" spans="9:10" x14ac:dyDescent="0.3">
      <c r="I13609"/>
      <c r="J13609"/>
    </row>
    <row r="13610" spans="9:10" x14ac:dyDescent="0.3">
      <c r="I13610"/>
      <c r="J13610"/>
    </row>
    <row r="13611" spans="9:10" x14ac:dyDescent="0.3">
      <c r="I13611"/>
      <c r="J13611"/>
    </row>
    <row r="13612" spans="9:10" x14ac:dyDescent="0.3">
      <c r="I13612"/>
      <c r="J13612"/>
    </row>
    <row r="13613" spans="9:10" x14ac:dyDescent="0.3">
      <c r="I13613"/>
      <c r="J13613"/>
    </row>
    <row r="13614" spans="9:10" x14ac:dyDescent="0.3">
      <c r="I13614"/>
      <c r="J13614"/>
    </row>
    <row r="13615" spans="9:10" x14ac:dyDescent="0.3">
      <c r="I13615"/>
      <c r="J13615"/>
    </row>
    <row r="13616" spans="9:10" x14ac:dyDescent="0.3">
      <c r="I13616"/>
      <c r="J13616"/>
    </row>
    <row r="13617" spans="9:10" x14ac:dyDescent="0.3">
      <c r="I13617"/>
      <c r="J13617"/>
    </row>
    <row r="13618" spans="9:10" x14ac:dyDescent="0.3">
      <c r="I13618"/>
      <c r="J13618"/>
    </row>
    <row r="13619" spans="9:10" x14ac:dyDescent="0.3">
      <c r="I13619"/>
      <c r="J13619"/>
    </row>
    <row r="13620" spans="9:10" x14ac:dyDescent="0.3">
      <c r="I13620"/>
      <c r="J13620"/>
    </row>
    <row r="13621" spans="9:10" x14ac:dyDescent="0.3">
      <c r="I13621"/>
      <c r="J13621"/>
    </row>
    <row r="13622" spans="9:10" x14ac:dyDescent="0.3">
      <c r="I13622"/>
      <c r="J13622"/>
    </row>
    <row r="13623" spans="9:10" x14ac:dyDescent="0.3">
      <c r="I13623"/>
      <c r="J13623"/>
    </row>
    <row r="13624" spans="9:10" x14ac:dyDescent="0.3">
      <c r="I13624"/>
      <c r="J13624"/>
    </row>
    <row r="13625" spans="9:10" x14ac:dyDescent="0.3">
      <c r="I13625"/>
      <c r="J13625"/>
    </row>
    <row r="13626" spans="9:10" x14ac:dyDescent="0.3">
      <c r="I13626"/>
      <c r="J13626"/>
    </row>
    <row r="13627" spans="9:10" x14ac:dyDescent="0.3">
      <c r="I13627"/>
      <c r="J13627"/>
    </row>
    <row r="13628" spans="9:10" x14ac:dyDescent="0.3">
      <c r="I13628"/>
      <c r="J13628"/>
    </row>
    <row r="13629" spans="9:10" x14ac:dyDescent="0.3">
      <c r="I13629"/>
      <c r="J13629"/>
    </row>
    <row r="13630" spans="9:10" x14ac:dyDescent="0.3">
      <c r="I13630"/>
      <c r="J13630"/>
    </row>
    <row r="13631" spans="9:10" x14ac:dyDescent="0.3">
      <c r="I13631"/>
      <c r="J13631"/>
    </row>
    <row r="13632" spans="9:10" x14ac:dyDescent="0.3">
      <c r="I13632"/>
      <c r="J13632"/>
    </row>
    <row r="13633" spans="9:10" x14ac:dyDescent="0.3">
      <c r="I13633"/>
      <c r="J13633"/>
    </row>
    <row r="13634" spans="9:10" x14ac:dyDescent="0.3">
      <c r="I13634"/>
      <c r="J13634"/>
    </row>
    <row r="13635" spans="9:10" x14ac:dyDescent="0.3">
      <c r="I13635"/>
      <c r="J13635"/>
    </row>
    <row r="13636" spans="9:10" x14ac:dyDescent="0.3">
      <c r="I13636"/>
      <c r="J13636"/>
    </row>
    <row r="13637" spans="9:10" x14ac:dyDescent="0.3">
      <c r="I13637"/>
      <c r="J13637"/>
    </row>
    <row r="13638" spans="9:10" x14ac:dyDescent="0.3">
      <c r="I13638"/>
      <c r="J13638"/>
    </row>
    <row r="13639" spans="9:10" x14ac:dyDescent="0.3">
      <c r="I13639"/>
      <c r="J13639"/>
    </row>
    <row r="13640" spans="9:10" x14ac:dyDescent="0.3">
      <c r="I13640"/>
      <c r="J13640"/>
    </row>
    <row r="13641" spans="9:10" x14ac:dyDescent="0.3">
      <c r="I13641"/>
      <c r="J13641"/>
    </row>
    <row r="13642" spans="9:10" x14ac:dyDescent="0.3">
      <c r="I13642"/>
      <c r="J13642"/>
    </row>
    <row r="13643" spans="9:10" x14ac:dyDescent="0.3">
      <c r="I13643"/>
      <c r="J13643"/>
    </row>
    <row r="13644" spans="9:10" x14ac:dyDescent="0.3">
      <c r="I13644"/>
      <c r="J13644"/>
    </row>
    <row r="13645" spans="9:10" x14ac:dyDescent="0.3">
      <c r="I13645"/>
      <c r="J13645"/>
    </row>
    <row r="13646" spans="9:10" x14ac:dyDescent="0.3">
      <c r="I13646"/>
      <c r="J13646"/>
    </row>
    <row r="13647" spans="9:10" x14ac:dyDescent="0.3">
      <c r="I13647"/>
      <c r="J13647"/>
    </row>
    <row r="13648" spans="9:10" x14ac:dyDescent="0.3">
      <c r="I13648"/>
      <c r="J13648"/>
    </row>
    <row r="13649" spans="9:10" x14ac:dyDescent="0.3">
      <c r="I13649"/>
      <c r="J13649"/>
    </row>
    <row r="13650" spans="9:10" x14ac:dyDescent="0.3">
      <c r="I13650"/>
      <c r="J13650"/>
    </row>
    <row r="13651" spans="9:10" x14ac:dyDescent="0.3">
      <c r="I13651"/>
      <c r="J13651"/>
    </row>
    <row r="13652" spans="9:10" x14ac:dyDescent="0.3">
      <c r="I13652"/>
      <c r="J13652"/>
    </row>
    <row r="13653" spans="9:10" x14ac:dyDescent="0.3">
      <c r="I13653"/>
      <c r="J13653"/>
    </row>
    <row r="13654" spans="9:10" x14ac:dyDescent="0.3">
      <c r="I13654"/>
      <c r="J13654"/>
    </row>
    <row r="13655" spans="9:10" x14ac:dyDescent="0.3">
      <c r="I13655"/>
      <c r="J13655"/>
    </row>
    <row r="13656" spans="9:10" x14ac:dyDescent="0.3">
      <c r="I13656"/>
      <c r="J13656"/>
    </row>
    <row r="13657" spans="9:10" x14ac:dyDescent="0.3">
      <c r="I13657"/>
      <c r="J13657"/>
    </row>
    <row r="13658" spans="9:10" x14ac:dyDescent="0.3">
      <c r="I13658"/>
      <c r="J13658"/>
    </row>
    <row r="13659" spans="9:10" x14ac:dyDescent="0.3">
      <c r="I13659"/>
      <c r="J13659"/>
    </row>
    <row r="13660" spans="9:10" x14ac:dyDescent="0.3">
      <c r="I13660"/>
      <c r="J13660"/>
    </row>
    <row r="13661" spans="9:10" x14ac:dyDescent="0.3">
      <c r="I13661"/>
      <c r="J13661"/>
    </row>
    <row r="13662" spans="9:10" x14ac:dyDescent="0.3">
      <c r="I13662"/>
      <c r="J13662"/>
    </row>
    <row r="13663" spans="9:10" x14ac:dyDescent="0.3">
      <c r="I13663"/>
      <c r="J13663"/>
    </row>
    <row r="13664" spans="9:10" x14ac:dyDescent="0.3">
      <c r="I13664"/>
      <c r="J13664"/>
    </row>
    <row r="13665" spans="9:10" x14ac:dyDescent="0.3">
      <c r="I13665"/>
      <c r="J13665"/>
    </row>
    <row r="13666" spans="9:10" x14ac:dyDescent="0.3">
      <c r="I13666"/>
      <c r="J13666"/>
    </row>
    <row r="13667" spans="9:10" x14ac:dyDescent="0.3">
      <c r="I13667"/>
      <c r="J13667"/>
    </row>
    <row r="13668" spans="9:10" x14ac:dyDescent="0.3">
      <c r="I13668"/>
      <c r="J13668"/>
    </row>
    <row r="13669" spans="9:10" x14ac:dyDescent="0.3">
      <c r="I13669"/>
      <c r="J13669"/>
    </row>
    <row r="13670" spans="9:10" x14ac:dyDescent="0.3">
      <c r="I13670"/>
      <c r="J13670"/>
    </row>
    <row r="13671" spans="9:10" x14ac:dyDescent="0.3">
      <c r="I13671"/>
      <c r="J13671"/>
    </row>
    <row r="13672" spans="9:10" x14ac:dyDescent="0.3">
      <c r="I13672"/>
      <c r="J13672"/>
    </row>
    <row r="13673" spans="9:10" x14ac:dyDescent="0.3">
      <c r="I13673"/>
      <c r="J13673"/>
    </row>
    <row r="13674" spans="9:10" x14ac:dyDescent="0.3">
      <c r="I13674"/>
      <c r="J13674"/>
    </row>
    <row r="13675" spans="9:10" x14ac:dyDescent="0.3">
      <c r="I13675"/>
      <c r="J13675"/>
    </row>
    <row r="13676" spans="9:10" x14ac:dyDescent="0.3">
      <c r="I13676"/>
      <c r="J13676"/>
    </row>
    <row r="13677" spans="9:10" x14ac:dyDescent="0.3">
      <c r="I13677"/>
      <c r="J13677"/>
    </row>
    <row r="13678" spans="9:10" x14ac:dyDescent="0.3">
      <c r="I13678"/>
      <c r="J13678"/>
    </row>
    <row r="13679" spans="9:10" x14ac:dyDescent="0.3">
      <c r="I13679"/>
      <c r="J13679"/>
    </row>
    <row r="13680" spans="9:10" x14ac:dyDescent="0.3">
      <c r="I13680"/>
      <c r="J13680"/>
    </row>
    <row r="13681" spans="9:10" x14ac:dyDescent="0.3">
      <c r="I13681"/>
      <c r="J13681"/>
    </row>
    <row r="13682" spans="9:10" x14ac:dyDescent="0.3">
      <c r="I13682"/>
      <c r="J13682"/>
    </row>
    <row r="13683" spans="9:10" x14ac:dyDescent="0.3">
      <c r="I13683"/>
      <c r="J13683"/>
    </row>
    <row r="13684" spans="9:10" x14ac:dyDescent="0.3">
      <c r="I13684"/>
      <c r="J13684"/>
    </row>
    <row r="13685" spans="9:10" x14ac:dyDescent="0.3">
      <c r="I13685"/>
      <c r="J13685"/>
    </row>
    <row r="13686" spans="9:10" x14ac:dyDescent="0.3">
      <c r="I13686"/>
      <c r="J13686"/>
    </row>
    <row r="13687" spans="9:10" x14ac:dyDescent="0.3">
      <c r="I13687"/>
      <c r="J13687"/>
    </row>
    <row r="13688" spans="9:10" x14ac:dyDescent="0.3">
      <c r="I13688"/>
      <c r="J13688"/>
    </row>
    <row r="13689" spans="9:10" x14ac:dyDescent="0.3">
      <c r="I13689"/>
      <c r="J13689"/>
    </row>
    <row r="13690" spans="9:10" x14ac:dyDescent="0.3">
      <c r="I13690"/>
      <c r="J13690"/>
    </row>
    <row r="13691" spans="9:10" x14ac:dyDescent="0.3">
      <c r="I13691"/>
      <c r="J13691"/>
    </row>
    <row r="13692" spans="9:10" x14ac:dyDescent="0.3">
      <c r="I13692"/>
      <c r="J13692"/>
    </row>
    <row r="13693" spans="9:10" x14ac:dyDescent="0.3">
      <c r="I13693"/>
      <c r="J13693"/>
    </row>
    <row r="13694" spans="9:10" x14ac:dyDescent="0.3">
      <c r="I13694"/>
      <c r="J13694"/>
    </row>
    <row r="13695" spans="9:10" x14ac:dyDescent="0.3">
      <c r="I13695"/>
      <c r="J13695"/>
    </row>
    <row r="13696" spans="9:10" x14ac:dyDescent="0.3">
      <c r="I13696"/>
      <c r="J13696"/>
    </row>
    <row r="13697" spans="9:10" x14ac:dyDescent="0.3">
      <c r="I13697"/>
      <c r="J13697"/>
    </row>
    <row r="13698" spans="9:10" x14ac:dyDescent="0.3">
      <c r="I13698"/>
      <c r="J13698"/>
    </row>
    <row r="13699" spans="9:10" x14ac:dyDescent="0.3">
      <c r="I13699"/>
      <c r="J13699"/>
    </row>
    <row r="13700" spans="9:10" x14ac:dyDescent="0.3">
      <c r="I13700"/>
      <c r="J13700"/>
    </row>
    <row r="13701" spans="9:10" x14ac:dyDescent="0.3">
      <c r="I13701"/>
      <c r="J13701"/>
    </row>
    <row r="13702" spans="9:10" x14ac:dyDescent="0.3">
      <c r="I13702"/>
      <c r="J13702"/>
    </row>
    <row r="13703" spans="9:10" x14ac:dyDescent="0.3">
      <c r="I13703"/>
      <c r="J13703"/>
    </row>
    <row r="13704" spans="9:10" x14ac:dyDescent="0.3">
      <c r="I13704"/>
      <c r="J13704"/>
    </row>
    <row r="13705" spans="9:10" x14ac:dyDescent="0.3">
      <c r="I13705"/>
      <c r="J13705"/>
    </row>
    <row r="13706" spans="9:10" x14ac:dyDescent="0.3">
      <c r="I13706"/>
      <c r="J13706"/>
    </row>
    <row r="13707" spans="9:10" x14ac:dyDescent="0.3">
      <c r="I13707"/>
      <c r="J13707"/>
    </row>
    <row r="13708" spans="9:10" x14ac:dyDescent="0.3">
      <c r="I13708"/>
      <c r="J13708"/>
    </row>
    <row r="13709" spans="9:10" x14ac:dyDescent="0.3">
      <c r="I13709"/>
      <c r="J13709"/>
    </row>
    <row r="13710" spans="9:10" x14ac:dyDescent="0.3">
      <c r="I13710"/>
      <c r="J13710"/>
    </row>
    <row r="13711" spans="9:10" x14ac:dyDescent="0.3">
      <c r="I13711"/>
      <c r="J13711"/>
    </row>
    <row r="13712" spans="9:10" x14ac:dyDescent="0.3">
      <c r="I13712"/>
      <c r="J13712"/>
    </row>
    <row r="13713" spans="9:10" x14ac:dyDescent="0.3">
      <c r="I13713"/>
      <c r="J13713"/>
    </row>
    <row r="13714" spans="9:10" x14ac:dyDescent="0.3">
      <c r="I13714"/>
      <c r="J13714"/>
    </row>
    <row r="13715" spans="9:10" x14ac:dyDescent="0.3">
      <c r="I13715"/>
      <c r="J13715"/>
    </row>
    <row r="13716" spans="9:10" x14ac:dyDescent="0.3">
      <c r="I13716"/>
      <c r="J13716"/>
    </row>
    <row r="13717" spans="9:10" x14ac:dyDescent="0.3">
      <c r="I13717"/>
      <c r="J13717"/>
    </row>
    <row r="13718" spans="9:10" x14ac:dyDescent="0.3">
      <c r="I13718"/>
      <c r="J13718"/>
    </row>
    <row r="13719" spans="9:10" x14ac:dyDescent="0.3">
      <c r="I13719"/>
      <c r="J13719"/>
    </row>
    <row r="13720" spans="9:10" x14ac:dyDescent="0.3">
      <c r="I13720"/>
      <c r="J13720"/>
    </row>
    <row r="13721" spans="9:10" x14ac:dyDescent="0.3">
      <c r="I13721"/>
      <c r="J13721"/>
    </row>
    <row r="13722" spans="9:10" x14ac:dyDescent="0.3">
      <c r="I13722"/>
      <c r="J13722"/>
    </row>
    <row r="13723" spans="9:10" x14ac:dyDescent="0.3">
      <c r="I13723"/>
      <c r="J13723"/>
    </row>
    <row r="13724" spans="9:10" x14ac:dyDescent="0.3">
      <c r="I13724"/>
      <c r="J13724"/>
    </row>
    <row r="13725" spans="9:10" x14ac:dyDescent="0.3">
      <c r="I13725"/>
      <c r="J13725"/>
    </row>
    <row r="13726" spans="9:10" x14ac:dyDescent="0.3">
      <c r="I13726"/>
      <c r="J13726"/>
    </row>
    <row r="13727" spans="9:10" x14ac:dyDescent="0.3">
      <c r="I13727"/>
      <c r="J13727"/>
    </row>
    <row r="13728" spans="9:10" x14ac:dyDescent="0.3">
      <c r="I13728"/>
      <c r="J13728"/>
    </row>
    <row r="13729" spans="9:10" x14ac:dyDescent="0.3">
      <c r="I13729"/>
      <c r="J13729"/>
    </row>
    <row r="13730" spans="9:10" x14ac:dyDescent="0.3">
      <c r="I13730"/>
      <c r="J13730"/>
    </row>
    <row r="13731" spans="9:10" x14ac:dyDescent="0.3">
      <c r="I13731"/>
      <c r="J13731"/>
    </row>
    <row r="13732" spans="9:10" x14ac:dyDescent="0.3">
      <c r="I13732"/>
      <c r="J13732"/>
    </row>
    <row r="13733" spans="9:10" x14ac:dyDescent="0.3">
      <c r="I13733"/>
      <c r="J13733"/>
    </row>
    <row r="13734" spans="9:10" x14ac:dyDescent="0.3">
      <c r="I13734"/>
      <c r="J13734"/>
    </row>
    <row r="13735" spans="9:10" x14ac:dyDescent="0.3">
      <c r="I13735"/>
      <c r="J13735"/>
    </row>
    <row r="13736" spans="9:10" x14ac:dyDescent="0.3">
      <c r="I13736"/>
      <c r="J13736"/>
    </row>
    <row r="13737" spans="9:10" x14ac:dyDescent="0.3">
      <c r="I13737"/>
      <c r="J13737"/>
    </row>
    <row r="13738" spans="9:10" x14ac:dyDescent="0.3">
      <c r="I13738"/>
      <c r="J13738"/>
    </row>
    <row r="13739" spans="9:10" x14ac:dyDescent="0.3">
      <c r="I13739"/>
      <c r="J13739"/>
    </row>
    <row r="13740" spans="9:10" x14ac:dyDescent="0.3">
      <c r="I13740"/>
      <c r="J13740"/>
    </row>
    <row r="13741" spans="9:10" x14ac:dyDescent="0.3">
      <c r="I13741"/>
      <c r="J13741"/>
    </row>
    <row r="13742" spans="9:10" x14ac:dyDescent="0.3">
      <c r="I13742"/>
      <c r="J13742"/>
    </row>
    <row r="13743" spans="9:10" x14ac:dyDescent="0.3">
      <c r="I13743"/>
      <c r="J13743"/>
    </row>
    <row r="13744" spans="9:10" x14ac:dyDescent="0.3">
      <c r="I13744"/>
      <c r="J13744"/>
    </row>
    <row r="13745" spans="9:10" x14ac:dyDescent="0.3">
      <c r="I13745"/>
      <c r="J13745"/>
    </row>
    <row r="13746" spans="9:10" x14ac:dyDescent="0.3">
      <c r="I13746"/>
      <c r="J13746"/>
    </row>
    <row r="13747" spans="9:10" x14ac:dyDescent="0.3">
      <c r="I13747"/>
      <c r="J13747"/>
    </row>
    <row r="13748" spans="9:10" x14ac:dyDescent="0.3">
      <c r="I13748"/>
      <c r="J13748"/>
    </row>
    <row r="13749" spans="9:10" x14ac:dyDescent="0.3">
      <c r="I13749"/>
      <c r="J13749"/>
    </row>
    <row r="13750" spans="9:10" x14ac:dyDescent="0.3">
      <c r="I13750"/>
      <c r="J13750"/>
    </row>
    <row r="13751" spans="9:10" x14ac:dyDescent="0.3">
      <c r="I13751"/>
      <c r="J13751"/>
    </row>
    <row r="13752" spans="9:10" x14ac:dyDescent="0.3">
      <c r="I13752"/>
      <c r="J13752"/>
    </row>
    <row r="13753" spans="9:10" x14ac:dyDescent="0.3">
      <c r="I13753"/>
      <c r="J13753"/>
    </row>
    <row r="13754" spans="9:10" x14ac:dyDescent="0.3">
      <c r="I13754"/>
      <c r="J13754"/>
    </row>
    <row r="13755" spans="9:10" x14ac:dyDescent="0.3">
      <c r="I13755"/>
      <c r="J13755"/>
    </row>
    <row r="13756" spans="9:10" x14ac:dyDescent="0.3">
      <c r="I13756"/>
      <c r="J13756"/>
    </row>
    <row r="13757" spans="9:10" x14ac:dyDescent="0.3">
      <c r="I13757"/>
      <c r="J13757"/>
    </row>
    <row r="13758" spans="9:10" x14ac:dyDescent="0.3">
      <c r="I13758"/>
      <c r="J13758"/>
    </row>
    <row r="13759" spans="9:10" x14ac:dyDescent="0.3">
      <c r="I13759"/>
      <c r="J13759"/>
    </row>
    <row r="13760" spans="9:10" x14ac:dyDescent="0.3">
      <c r="I13760"/>
      <c r="J13760"/>
    </row>
    <row r="13761" spans="9:10" x14ac:dyDescent="0.3">
      <c r="I13761"/>
      <c r="J13761"/>
    </row>
    <row r="13762" spans="9:10" x14ac:dyDescent="0.3">
      <c r="I13762"/>
      <c r="J13762"/>
    </row>
    <row r="13763" spans="9:10" x14ac:dyDescent="0.3">
      <c r="I13763"/>
      <c r="J13763"/>
    </row>
    <row r="13764" spans="9:10" x14ac:dyDescent="0.3">
      <c r="I13764"/>
      <c r="J13764"/>
    </row>
    <row r="13765" spans="9:10" x14ac:dyDescent="0.3">
      <c r="I13765"/>
      <c r="J13765"/>
    </row>
    <row r="13766" spans="9:10" x14ac:dyDescent="0.3">
      <c r="I13766"/>
      <c r="J13766"/>
    </row>
    <row r="13767" spans="9:10" x14ac:dyDescent="0.3">
      <c r="I13767"/>
      <c r="J13767"/>
    </row>
    <row r="13768" spans="9:10" x14ac:dyDescent="0.3">
      <c r="I13768"/>
      <c r="J13768"/>
    </row>
    <row r="13769" spans="9:10" x14ac:dyDescent="0.3">
      <c r="I13769"/>
      <c r="J13769"/>
    </row>
    <row r="13770" spans="9:10" x14ac:dyDescent="0.3">
      <c r="I13770"/>
      <c r="J13770"/>
    </row>
    <row r="13771" spans="9:10" x14ac:dyDescent="0.3">
      <c r="I13771"/>
      <c r="J13771"/>
    </row>
    <row r="13772" spans="9:10" x14ac:dyDescent="0.3">
      <c r="I13772"/>
      <c r="J13772"/>
    </row>
    <row r="13773" spans="9:10" x14ac:dyDescent="0.3">
      <c r="I13773"/>
      <c r="J13773"/>
    </row>
    <row r="13774" spans="9:10" x14ac:dyDescent="0.3">
      <c r="I13774"/>
      <c r="J13774"/>
    </row>
    <row r="13775" spans="9:10" x14ac:dyDescent="0.3">
      <c r="I13775"/>
      <c r="J13775"/>
    </row>
    <row r="13776" spans="9:10" x14ac:dyDescent="0.3">
      <c r="I13776"/>
      <c r="J13776"/>
    </row>
    <row r="13777" spans="9:10" x14ac:dyDescent="0.3">
      <c r="I13777"/>
      <c r="J13777"/>
    </row>
    <row r="13778" spans="9:10" x14ac:dyDescent="0.3">
      <c r="I13778"/>
      <c r="J13778"/>
    </row>
    <row r="13779" spans="9:10" x14ac:dyDescent="0.3">
      <c r="I13779"/>
      <c r="J13779"/>
    </row>
    <row r="13780" spans="9:10" x14ac:dyDescent="0.3">
      <c r="I13780"/>
      <c r="J13780"/>
    </row>
    <row r="13781" spans="9:10" x14ac:dyDescent="0.3">
      <c r="I13781"/>
      <c r="J13781"/>
    </row>
    <row r="13782" spans="9:10" x14ac:dyDescent="0.3">
      <c r="I13782"/>
      <c r="J13782"/>
    </row>
    <row r="13783" spans="9:10" x14ac:dyDescent="0.3">
      <c r="I13783"/>
      <c r="J13783"/>
    </row>
    <row r="13784" spans="9:10" x14ac:dyDescent="0.3">
      <c r="I13784"/>
      <c r="J13784"/>
    </row>
    <row r="13785" spans="9:10" x14ac:dyDescent="0.3">
      <c r="I13785"/>
      <c r="J13785"/>
    </row>
    <row r="13786" spans="9:10" x14ac:dyDescent="0.3">
      <c r="I13786"/>
      <c r="J13786"/>
    </row>
    <row r="13787" spans="9:10" x14ac:dyDescent="0.3">
      <c r="I13787"/>
      <c r="J13787"/>
    </row>
    <row r="13788" spans="9:10" x14ac:dyDescent="0.3">
      <c r="I13788"/>
      <c r="J13788"/>
    </row>
    <row r="13789" spans="9:10" x14ac:dyDescent="0.3">
      <c r="I13789"/>
      <c r="J13789"/>
    </row>
    <row r="13790" spans="9:10" x14ac:dyDescent="0.3">
      <c r="I13790"/>
      <c r="J13790"/>
    </row>
    <row r="13791" spans="9:10" x14ac:dyDescent="0.3">
      <c r="I13791"/>
      <c r="J13791"/>
    </row>
    <row r="13792" spans="9:10" x14ac:dyDescent="0.3">
      <c r="I13792"/>
      <c r="J13792"/>
    </row>
    <row r="13793" spans="9:10" x14ac:dyDescent="0.3">
      <c r="I13793"/>
      <c r="J13793"/>
    </row>
    <row r="13794" spans="9:10" x14ac:dyDescent="0.3">
      <c r="I13794"/>
      <c r="J13794"/>
    </row>
    <row r="13795" spans="9:10" x14ac:dyDescent="0.3">
      <c r="I13795"/>
      <c r="J13795"/>
    </row>
    <row r="13796" spans="9:10" x14ac:dyDescent="0.3">
      <c r="I13796"/>
      <c r="J13796"/>
    </row>
    <row r="13797" spans="9:10" x14ac:dyDescent="0.3">
      <c r="I13797"/>
      <c r="J13797"/>
    </row>
    <row r="13798" spans="9:10" x14ac:dyDescent="0.3">
      <c r="I13798"/>
      <c r="J13798"/>
    </row>
    <row r="13799" spans="9:10" x14ac:dyDescent="0.3">
      <c r="I13799"/>
      <c r="J13799"/>
    </row>
    <row r="13800" spans="9:10" x14ac:dyDescent="0.3">
      <c r="I13800"/>
      <c r="J13800"/>
    </row>
    <row r="13801" spans="9:10" x14ac:dyDescent="0.3">
      <c r="I13801"/>
      <c r="J13801"/>
    </row>
    <row r="13802" spans="9:10" x14ac:dyDescent="0.3">
      <c r="I13802"/>
      <c r="J13802"/>
    </row>
    <row r="13803" spans="9:10" x14ac:dyDescent="0.3">
      <c r="I13803"/>
      <c r="J13803"/>
    </row>
    <row r="13804" spans="9:10" x14ac:dyDescent="0.3">
      <c r="I13804"/>
      <c r="J13804"/>
    </row>
    <row r="13805" spans="9:10" x14ac:dyDescent="0.3">
      <c r="I13805"/>
      <c r="J13805"/>
    </row>
    <row r="13806" spans="9:10" x14ac:dyDescent="0.3">
      <c r="I13806"/>
      <c r="J13806"/>
    </row>
    <row r="13807" spans="9:10" x14ac:dyDescent="0.3">
      <c r="I13807"/>
      <c r="J13807"/>
    </row>
    <row r="13808" spans="9:10" x14ac:dyDescent="0.3">
      <c r="I13808"/>
      <c r="J13808"/>
    </row>
    <row r="13809" spans="9:10" x14ac:dyDescent="0.3">
      <c r="I13809"/>
      <c r="J13809"/>
    </row>
    <row r="13810" spans="9:10" x14ac:dyDescent="0.3">
      <c r="I13810"/>
      <c r="J13810"/>
    </row>
    <row r="13811" spans="9:10" x14ac:dyDescent="0.3">
      <c r="I13811"/>
      <c r="J13811"/>
    </row>
    <row r="13812" spans="9:10" x14ac:dyDescent="0.3">
      <c r="I13812"/>
      <c r="J13812"/>
    </row>
    <row r="13813" spans="9:10" x14ac:dyDescent="0.3">
      <c r="I13813"/>
      <c r="J13813"/>
    </row>
    <row r="13814" spans="9:10" x14ac:dyDescent="0.3">
      <c r="I13814"/>
      <c r="J13814"/>
    </row>
    <row r="13815" spans="9:10" x14ac:dyDescent="0.3">
      <c r="I13815"/>
      <c r="J13815"/>
    </row>
    <row r="13816" spans="9:10" x14ac:dyDescent="0.3">
      <c r="I13816"/>
      <c r="J13816"/>
    </row>
    <row r="13817" spans="9:10" x14ac:dyDescent="0.3">
      <c r="I13817"/>
      <c r="J13817"/>
    </row>
    <row r="13818" spans="9:10" x14ac:dyDescent="0.3">
      <c r="I13818"/>
      <c r="J13818"/>
    </row>
    <row r="13819" spans="9:10" x14ac:dyDescent="0.3">
      <c r="I13819"/>
      <c r="J13819"/>
    </row>
    <row r="13820" spans="9:10" x14ac:dyDescent="0.3">
      <c r="I13820"/>
      <c r="J13820"/>
    </row>
    <row r="13821" spans="9:10" x14ac:dyDescent="0.3">
      <c r="I13821"/>
      <c r="J13821"/>
    </row>
    <row r="13822" spans="9:10" x14ac:dyDescent="0.3">
      <c r="I13822"/>
      <c r="J13822"/>
    </row>
    <row r="13823" spans="9:10" x14ac:dyDescent="0.3">
      <c r="I13823"/>
      <c r="J13823"/>
    </row>
    <row r="13824" spans="9:10" x14ac:dyDescent="0.3">
      <c r="I13824"/>
      <c r="J13824"/>
    </row>
    <row r="13825" spans="9:10" x14ac:dyDescent="0.3">
      <c r="I13825"/>
      <c r="J13825"/>
    </row>
    <row r="13826" spans="9:10" x14ac:dyDescent="0.3">
      <c r="I13826"/>
      <c r="J13826"/>
    </row>
    <row r="13827" spans="9:10" x14ac:dyDescent="0.3">
      <c r="I13827"/>
      <c r="J13827"/>
    </row>
    <row r="13828" spans="9:10" x14ac:dyDescent="0.3">
      <c r="I13828"/>
      <c r="J13828"/>
    </row>
    <row r="13829" spans="9:10" x14ac:dyDescent="0.3">
      <c r="I13829"/>
      <c r="J13829"/>
    </row>
    <row r="13830" spans="9:10" x14ac:dyDescent="0.3">
      <c r="I13830"/>
      <c r="J13830"/>
    </row>
    <row r="13831" spans="9:10" x14ac:dyDescent="0.3">
      <c r="I13831"/>
      <c r="J13831"/>
    </row>
    <row r="13832" spans="9:10" x14ac:dyDescent="0.3">
      <c r="I13832"/>
      <c r="J13832"/>
    </row>
    <row r="13833" spans="9:10" x14ac:dyDescent="0.3">
      <c r="I13833"/>
      <c r="J13833"/>
    </row>
    <row r="13834" spans="9:10" x14ac:dyDescent="0.3">
      <c r="I13834"/>
      <c r="J13834"/>
    </row>
    <row r="13835" spans="9:10" x14ac:dyDescent="0.3">
      <c r="I13835"/>
      <c r="J13835"/>
    </row>
    <row r="13836" spans="9:10" x14ac:dyDescent="0.3">
      <c r="I13836"/>
      <c r="J13836"/>
    </row>
    <row r="13837" spans="9:10" x14ac:dyDescent="0.3">
      <c r="I13837"/>
      <c r="J13837"/>
    </row>
    <row r="13838" spans="9:10" x14ac:dyDescent="0.3">
      <c r="I13838"/>
      <c r="J13838"/>
    </row>
    <row r="13839" spans="9:10" x14ac:dyDescent="0.3">
      <c r="I13839"/>
      <c r="J13839"/>
    </row>
    <row r="13840" spans="9:10" x14ac:dyDescent="0.3">
      <c r="I13840"/>
      <c r="J13840"/>
    </row>
    <row r="13841" spans="9:10" x14ac:dyDescent="0.3">
      <c r="I13841"/>
      <c r="J13841"/>
    </row>
    <row r="13842" spans="9:10" x14ac:dyDescent="0.3">
      <c r="I13842"/>
      <c r="J13842"/>
    </row>
    <row r="13843" spans="9:10" x14ac:dyDescent="0.3">
      <c r="I13843"/>
      <c r="J13843"/>
    </row>
    <row r="13844" spans="9:10" x14ac:dyDescent="0.3">
      <c r="I13844"/>
      <c r="J13844"/>
    </row>
    <row r="13845" spans="9:10" x14ac:dyDescent="0.3">
      <c r="I13845"/>
      <c r="J13845"/>
    </row>
    <row r="13846" spans="9:10" x14ac:dyDescent="0.3">
      <c r="I13846"/>
      <c r="J13846"/>
    </row>
    <row r="13847" spans="9:10" x14ac:dyDescent="0.3">
      <c r="I13847"/>
      <c r="J13847"/>
    </row>
    <row r="13848" spans="9:10" x14ac:dyDescent="0.3">
      <c r="I13848"/>
      <c r="J13848"/>
    </row>
    <row r="13849" spans="9:10" x14ac:dyDescent="0.3">
      <c r="I13849"/>
      <c r="J13849"/>
    </row>
    <row r="13850" spans="9:10" x14ac:dyDescent="0.3">
      <c r="I13850"/>
      <c r="J13850"/>
    </row>
    <row r="13851" spans="9:10" x14ac:dyDescent="0.3">
      <c r="I13851"/>
      <c r="J13851"/>
    </row>
    <row r="13852" spans="9:10" x14ac:dyDescent="0.3">
      <c r="I13852"/>
      <c r="J13852"/>
    </row>
    <row r="13853" spans="9:10" x14ac:dyDescent="0.3">
      <c r="I13853"/>
      <c r="J13853"/>
    </row>
    <row r="13854" spans="9:10" x14ac:dyDescent="0.3">
      <c r="I13854"/>
      <c r="J13854"/>
    </row>
    <row r="13855" spans="9:10" x14ac:dyDescent="0.3">
      <c r="I13855"/>
      <c r="J13855"/>
    </row>
    <row r="13856" spans="9:10" x14ac:dyDescent="0.3">
      <c r="I13856"/>
      <c r="J13856"/>
    </row>
    <row r="13857" spans="9:10" x14ac:dyDescent="0.3">
      <c r="I13857"/>
      <c r="J13857"/>
    </row>
    <row r="13858" spans="9:10" x14ac:dyDescent="0.3">
      <c r="I13858"/>
      <c r="J13858"/>
    </row>
    <row r="13859" spans="9:10" x14ac:dyDescent="0.3">
      <c r="I13859"/>
      <c r="J13859"/>
    </row>
    <row r="13860" spans="9:10" x14ac:dyDescent="0.3">
      <c r="I13860"/>
      <c r="J13860"/>
    </row>
    <row r="13861" spans="9:10" x14ac:dyDescent="0.3">
      <c r="I13861"/>
      <c r="J13861"/>
    </row>
    <row r="13862" spans="9:10" x14ac:dyDescent="0.3">
      <c r="I13862"/>
      <c r="J13862"/>
    </row>
    <row r="13863" spans="9:10" x14ac:dyDescent="0.3">
      <c r="I13863"/>
      <c r="J13863"/>
    </row>
    <row r="13864" spans="9:10" x14ac:dyDescent="0.3">
      <c r="I13864"/>
      <c r="J13864"/>
    </row>
    <row r="13865" spans="9:10" x14ac:dyDescent="0.3">
      <c r="I13865"/>
      <c r="J13865"/>
    </row>
    <row r="13866" spans="9:10" x14ac:dyDescent="0.3">
      <c r="I13866"/>
      <c r="J13866"/>
    </row>
    <row r="13867" spans="9:10" x14ac:dyDescent="0.3">
      <c r="I13867"/>
      <c r="J13867"/>
    </row>
    <row r="13868" spans="9:10" x14ac:dyDescent="0.3">
      <c r="I13868"/>
      <c r="J13868"/>
    </row>
    <row r="13869" spans="9:10" x14ac:dyDescent="0.3">
      <c r="I13869"/>
      <c r="J13869"/>
    </row>
    <row r="13870" spans="9:10" x14ac:dyDescent="0.3">
      <c r="I13870"/>
      <c r="J13870"/>
    </row>
    <row r="13871" spans="9:10" x14ac:dyDescent="0.3">
      <c r="I13871"/>
      <c r="J13871"/>
    </row>
    <row r="13872" spans="9:10" x14ac:dyDescent="0.3">
      <c r="I13872"/>
      <c r="J13872"/>
    </row>
    <row r="13873" spans="9:10" x14ac:dyDescent="0.3">
      <c r="I13873"/>
      <c r="J13873"/>
    </row>
    <row r="13874" spans="9:10" x14ac:dyDescent="0.3">
      <c r="I13874"/>
      <c r="J13874"/>
    </row>
    <row r="13875" spans="9:10" x14ac:dyDescent="0.3">
      <c r="I13875"/>
      <c r="J13875"/>
    </row>
    <row r="13876" spans="9:10" x14ac:dyDescent="0.3">
      <c r="I13876"/>
      <c r="J13876"/>
    </row>
    <row r="13877" spans="9:10" x14ac:dyDescent="0.3">
      <c r="I13877"/>
      <c r="J13877"/>
    </row>
    <row r="13878" spans="9:10" x14ac:dyDescent="0.3">
      <c r="I13878"/>
      <c r="J13878"/>
    </row>
    <row r="13879" spans="9:10" x14ac:dyDescent="0.3">
      <c r="I13879"/>
      <c r="J13879"/>
    </row>
    <row r="13880" spans="9:10" x14ac:dyDescent="0.3">
      <c r="I13880"/>
      <c r="J13880"/>
    </row>
    <row r="13881" spans="9:10" x14ac:dyDescent="0.3">
      <c r="I13881"/>
      <c r="J13881"/>
    </row>
    <row r="13882" spans="9:10" x14ac:dyDescent="0.3">
      <c r="I13882"/>
      <c r="J13882"/>
    </row>
    <row r="13883" spans="9:10" x14ac:dyDescent="0.3">
      <c r="I13883"/>
      <c r="J13883"/>
    </row>
    <row r="13884" spans="9:10" x14ac:dyDescent="0.3">
      <c r="I13884"/>
      <c r="J13884"/>
    </row>
    <row r="13885" spans="9:10" x14ac:dyDescent="0.3">
      <c r="I13885"/>
      <c r="J13885"/>
    </row>
    <row r="13886" spans="9:10" x14ac:dyDescent="0.3">
      <c r="I13886"/>
      <c r="J13886"/>
    </row>
    <row r="13887" spans="9:10" x14ac:dyDescent="0.3">
      <c r="I13887"/>
      <c r="J13887"/>
    </row>
    <row r="13888" spans="9:10" x14ac:dyDescent="0.3">
      <c r="I13888"/>
      <c r="J13888"/>
    </row>
    <row r="13889" spans="9:10" x14ac:dyDescent="0.3">
      <c r="I13889"/>
      <c r="J13889"/>
    </row>
    <row r="13890" spans="9:10" x14ac:dyDescent="0.3">
      <c r="I13890"/>
      <c r="J13890"/>
    </row>
    <row r="13891" spans="9:10" x14ac:dyDescent="0.3">
      <c r="I13891"/>
      <c r="J13891"/>
    </row>
    <row r="13892" spans="9:10" x14ac:dyDescent="0.3">
      <c r="I13892"/>
      <c r="J13892"/>
    </row>
    <row r="13893" spans="9:10" x14ac:dyDescent="0.3">
      <c r="I13893"/>
      <c r="J13893"/>
    </row>
    <row r="13894" spans="9:10" x14ac:dyDescent="0.3">
      <c r="I13894"/>
      <c r="J13894"/>
    </row>
    <row r="13895" spans="9:10" x14ac:dyDescent="0.3">
      <c r="I13895"/>
      <c r="J13895"/>
    </row>
    <row r="13896" spans="9:10" x14ac:dyDescent="0.3">
      <c r="I13896"/>
      <c r="J13896"/>
    </row>
    <row r="13897" spans="9:10" x14ac:dyDescent="0.3">
      <c r="I13897"/>
      <c r="J13897"/>
    </row>
    <row r="13898" spans="9:10" x14ac:dyDescent="0.3">
      <c r="I13898"/>
      <c r="J13898"/>
    </row>
    <row r="13899" spans="9:10" x14ac:dyDescent="0.3">
      <c r="I13899"/>
      <c r="J13899"/>
    </row>
    <row r="13900" spans="9:10" x14ac:dyDescent="0.3">
      <c r="I13900"/>
      <c r="J13900"/>
    </row>
    <row r="13901" spans="9:10" x14ac:dyDescent="0.3">
      <c r="I13901"/>
      <c r="J13901"/>
    </row>
    <row r="13902" spans="9:10" x14ac:dyDescent="0.3">
      <c r="I13902"/>
      <c r="J13902"/>
    </row>
    <row r="13903" spans="9:10" x14ac:dyDescent="0.3">
      <c r="I13903"/>
      <c r="J13903"/>
    </row>
    <row r="13904" spans="9:10" x14ac:dyDescent="0.3">
      <c r="I13904"/>
      <c r="J13904"/>
    </row>
    <row r="13905" spans="9:10" x14ac:dyDescent="0.3">
      <c r="I13905"/>
      <c r="J13905"/>
    </row>
    <row r="13906" spans="9:10" x14ac:dyDescent="0.3">
      <c r="I13906"/>
      <c r="J13906"/>
    </row>
    <row r="13907" spans="9:10" x14ac:dyDescent="0.3">
      <c r="I13907"/>
      <c r="J13907"/>
    </row>
    <row r="13908" spans="9:10" x14ac:dyDescent="0.3">
      <c r="I13908"/>
      <c r="J13908"/>
    </row>
    <row r="13909" spans="9:10" x14ac:dyDescent="0.3">
      <c r="I13909"/>
      <c r="J13909"/>
    </row>
    <row r="13910" spans="9:10" x14ac:dyDescent="0.3">
      <c r="I13910"/>
      <c r="J13910"/>
    </row>
    <row r="13911" spans="9:10" x14ac:dyDescent="0.3">
      <c r="I13911"/>
      <c r="J13911"/>
    </row>
    <row r="13912" spans="9:10" x14ac:dyDescent="0.3">
      <c r="I13912"/>
      <c r="J13912"/>
    </row>
    <row r="13913" spans="9:10" x14ac:dyDescent="0.3">
      <c r="I13913"/>
      <c r="J13913"/>
    </row>
    <row r="13914" spans="9:10" x14ac:dyDescent="0.3">
      <c r="I13914"/>
      <c r="J13914"/>
    </row>
    <row r="13915" spans="9:10" x14ac:dyDescent="0.3">
      <c r="I13915"/>
      <c r="J13915"/>
    </row>
    <row r="13916" spans="9:10" x14ac:dyDescent="0.3">
      <c r="I13916"/>
      <c r="J13916"/>
    </row>
    <row r="13917" spans="9:10" x14ac:dyDescent="0.3">
      <c r="I13917"/>
      <c r="J13917"/>
    </row>
    <row r="13918" spans="9:10" x14ac:dyDescent="0.3">
      <c r="I13918"/>
      <c r="J13918"/>
    </row>
    <row r="13919" spans="9:10" x14ac:dyDescent="0.3">
      <c r="I13919"/>
      <c r="J13919"/>
    </row>
    <row r="13920" spans="9:10" x14ac:dyDescent="0.3">
      <c r="I13920"/>
      <c r="J13920"/>
    </row>
    <row r="13921" spans="9:10" x14ac:dyDescent="0.3">
      <c r="I13921"/>
      <c r="J13921"/>
    </row>
    <row r="13922" spans="9:10" x14ac:dyDescent="0.3">
      <c r="I13922"/>
      <c r="J13922"/>
    </row>
    <row r="13923" spans="9:10" x14ac:dyDescent="0.3">
      <c r="I13923"/>
      <c r="J13923"/>
    </row>
    <row r="13924" spans="9:10" x14ac:dyDescent="0.3">
      <c r="I13924"/>
      <c r="J13924"/>
    </row>
    <row r="13925" spans="9:10" x14ac:dyDescent="0.3">
      <c r="I13925"/>
      <c r="J13925"/>
    </row>
    <row r="13926" spans="9:10" x14ac:dyDescent="0.3">
      <c r="I13926"/>
      <c r="J13926"/>
    </row>
    <row r="13927" spans="9:10" x14ac:dyDescent="0.3">
      <c r="I13927"/>
      <c r="J13927"/>
    </row>
    <row r="13928" spans="9:10" x14ac:dyDescent="0.3">
      <c r="I13928"/>
      <c r="J13928"/>
    </row>
    <row r="13929" spans="9:10" x14ac:dyDescent="0.3">
      <c r="I13929"/>
      <c r="J13929"/>
    </row>
    <row r="13930" spans="9:10" x14ac:dyDescent="0.3">
      <c r="I13930"/>
      <c r="J13930"/>
    </row>
    <row r="13931" spans="9:10" x14ac:dyDescent="0.3">
      <c r="I13931"/>
      <c r="J13931"/>
    </row>
    <row r="13932" spans="9:10" x14ac:dyDescent="0.3">
      <c r="I13932"/>
      <c r="J13932"/>
    </row>
    <row r="13933" spans="9:10" x14ac:dyDescent="0.3">
      <c r="I13933"/>
      <c r="J13933"/>
    </row>
    <row r="13934" spans="9:10" x14ac:dyDescent="0.3">
      <c r="I13934"/>
      <c r="J13934"/>
    </row>
    <row r="13935" spans="9:10" x14ac:dyDescent="0.3">
      <c r="I13935"/>
      <c r="J13935"/>
    </row>
    <row r="13936" spans="9:10" x14ac:dyDescent="0.3">
      <c r="I13936"/>
      <c r="J13936"/>
    </row>
    <row r="13937" spans="9:10" x14ac:dyDescent="0.3">
      <c r="I13937"/>
      <c r="J13937"/>
    </row>
    <row r="13938" spans="9:10" x14ac:dyDescent="0.3">
      <c r="I13938"/>
      <c r="J13938"/>
    </row>
    <row r="13939" spans="9:10" x14ac:dyDescent="0.3">
      <c r="I13939"/>
      <c r="J13939"/>
    </row>
    <row r="13940" spans="9:10" x14ac:dyDescent="0.3">
      <c r="I13940"/>
      <c r="J13940"/>
    </row>
    <row r="13941" spans="9:10" x14ac:dyDescent="0.3">
      <c r="I13941"/>
      <c r="J13941"/>
    </row>
    <row r="13942" spans="9:10" x14ac:dyDescent="0.3">
      <c r="I13942"/>
      <c r="J13942"/>
    </row>
    <row r="13943" spans="9:10" x14ac:dyDescent="0.3">
      <c r="I13943"/>
      <c r="J13943"/>
    </row>
    <row r="13944" spans="9:10" x14ac:dyDescent="0.3">
      <c r="I13944"/>
      <c r="J13944"/>
    </row>
    <row r="13945" spans="9:10" x14ac:dyDescent="0.3">
      <c r="I13945"/>
      <c r="J13945"/>
    </row>
    <row r="13946" spans="9:10" x14ac:dyDescent="0.3">
      <c r="I13946"/>
      <c r="J13946"/>
    </row>
    <row r="13947" spans="9:10" x14ac:dyDescent="0.3">
      <c r="I13947"/>
      <c r="J13947"/>
    </row>
    <row r="13948" spans="9:10" x14ac:dyDescent="0.3">
      <c r="I13948"/>
      <c r="J13948"/>
    </row>
    <row r="13949" spans="9:10" x14ac:dyDescent="0.3">
      <c r="I13949"/>
      <c r="J13949"/>
    </row>
    <row r="13950" spans="9:10" x14ac:dyDescent="0.3">
      <c r="I13950"/>
      <c r="J13950"/>
    </row>
    <row r="13951" spans="9:10" x14ac:dyDescent="0.3">
      <c r="I13951"/>
      <c r="J13951"/>
    </row>
    <row r="13952" spans="9:10" x14ac:dyDescent="0.3">
      <c r="I13952"/>
      <c r="J13952"/>
    </row>
    <row r="13953" spans="9:10" x14ac:dyDescent="0.3">
      <c r="I13953"/>
      <c r="J13953"/>
    </row>
    <row r="13954" spans="9:10" x14ac:dyDescent="0.3">
      <c r="I13954"/>
      <c r="J13954"/>
    </row>
    <row r="13955" spans="9:10" x14ac:dyDescent="0.3">
      <c r="I13955"/>
      <c r="J13955"/>
    </row>
    <row r="13956" spans="9:10" x14ac:dyDescent="0.3">
      <c r="I13956"/>
      <c r="J13956"/>
    </row>
    <row r="13957" spans="9:10" x14ac:dyDescent="0.3">
      <c r="I13957"/>
      <c r="J13957"/>
    </row>
    <row r="13958" spans="9:10" x14ac:dyDescent="0.3">
      <c r="I13958"/>
      <c r="J13958"/>
    </row>
    <row r="13959" spans="9:10" x14ac:dyDescent="0.3">
      <c r="I13959"/>
      <c r="J13959"/>
    </row>
    <row r="13960" spans="9:10" x14ac:dyDescent="0.3">
      <c r="I13960"/>
      <c r="J13960"/>
    </row>
    <row r="13961" spans="9:10" x14ac:dyDescent="0.3">
      <c r="I13961"/>
      <c r="J13961"/>
    </row>
    <row r="13962" spans="9:10" x14ac:dyDescent="0.3">
      <c r="I13962"/>
      <c r="J13962"/>
    </row>
    <row r="13963" spans="9:10" x14ac:dyDescent="0.3">
      <c r="I13963"/>
      <c r="J13963"/>
    </row>
    <row r="13964" spans="9:10" x14ac:dyDescent="0.3">
      <c r="I13964"/>
      <c r="J13964"/>
    </row>
    <row r="13965" spans="9:10" x14ac:dyDescent="0.3">
      <c r="I13965"/>
      <c r="J13965"/>
    </row>
    <row r="13966" spans="9:10" x14ac:dyDescent="0.3">
      <c r="I13966"/>
      <c r="J13966"/>
    </row>
    <row r="13967" spans="9:10" x14ac:dyDescent="0.3">
      <c r="I13967"/>
      <c r="J13967"/>
    </row>
    <row r="13968" spans="9:10" x14ac:dyDescent="0.3">
      <c r="I13968"/>
      <c r="J13968"/>
    </row>
    <row r="13969" spans="9:10" x14ac:dyDescent="0.3">
      <c r="I13969"/>
      <c r="J13969"/>
    </row>
    <row r="13970" spans="9:10" x14ac:dyDescent="0.3">
      <c r="I13970"/>
      <c r="J13970"/>
    </row>
    <row r="13971" spans="9:10" x14ac:dyDescent="0.3">
      <c r="I13971"/>
      <c r="J13971"/>
    </row>
    <row r="13972" spans="9:10" x14ac:dyDescent="0.3">
      <c r="I13972"/>
      <c r="J13972"/>
    </row>
    <row r="13973" spans="9:10" x14ac:dyDescent="0.3">
      <c r="I13973"/>
      <c r="J13973"/>
    </row>
    <row r="13974" spans="9:10" x14ac:dyDescent="0.3">
      <c r="I13974"/>
      <c r="J13974"/>
    </row>
    <row r="13975" spans="9:10" x14ac:dyDescent="0.3">
      <c r="I13975"/>
      <c r="J13975"/>
    </row>
    <row r="13976" spans="9:10" x14ac:dyDescent="0.3">
      <c r="I13976"/>
      <c r="J13976"/>
    </row>
    <row r="13977" spans="9:10" x14ac:dyDescent="0.3">
      <c r="I13977"/>
      <c r="J13977"/>
    </row>
    <row r="13978" spans="9:10" x14ac:dyDescent="0.3">
      <c r="I13978"/>
      <c r="J13978"/>
    </row>
    <row r="13979" spans="9:10" x14ac:dyDescent="0.3">
      <c r="I13979"/>
      <c r="J13979"/>
    </row>
    <row r="13980" spans="9:10" x14ac:dyDescent="0.3">
      <c r="I13980"/>
      <c r="J13980"/>
    </row>
    <row r="13981" spans="9:10" x14ac:dyDescent="0.3">
      <c r="I13981"/>
      <c r="J13981"/>
    </row>
    <row r="13982" spans="9:10" x14ac:dyDescent="0.3">
      <c r="I13982"/>
      <c r="J13982"/>
    </row>
    <row r="13983" spans="9:10" x14ac:dyDescent="0.3">
      <c r="I13983"/>
      <c r="J13983"/>
    </row>
    <row r="13984" spans="9:10" x14ac:dyDescent="0.3">
      <c r="I13984"/>
      <c r="J13984"/>
    </row>
    <row r="13985" spans="9:10" x14ac:dyDescent="0.3">
      <c r="I13985"/>
      <c r="J13985"/>
    </row>
    <row r="13986" spans="9:10" x14ac:dyDescent="0.3">
      <c r="I13986"/>
      <c r="J13986"/>
    </row>
    <row r="13987" spans="9:10" x14ac:dyDescent="0.3">
      <c r="I13987"/>
      <c r="J13987"/>
    </row>
    <row r="13988" spans="9:10" x14ac:dyDescent="0.3">
      <c r="I13988"/>
      <c r="J13988"/>
    </row>
    <row r="13989" spans="9:10" x14ac:dyDescent="0.3">
      <c r="I13989"/>
      <c r="J13989"/>
    </row>
    <row r="13990" spans="9:10" x14ac:dyDescent="0.3">
      <c r="I13990"/>
      <c r="J13990"/>
    </row>
    <row r="13991" spans="9:10" x14ac:dyDescent="0.3">
      <c r="I13991"/>
      <c r="J13991"/>
    </row>
    <row r="13992" spans="9:10" x14ac:dyDescent="0.3">
      <c r="I13992"/>
      <c r="J13992"/>
    </row>
    <row r="13993" spans="9:10" x14ac:dyDescent="0.3">
      <c r="I13993"/>
      <c r="J13993"/>
    </row>
    <row r="13994" spans="9:10" x14ac:dyDescent="0.3">
      <c r="I13994"/>
      <c r="J13994"/>
    </row>
    <row r="13995" spans="9:10" x14ac:dyDescent="0.3">
      <c r="I13995"/>
      <c r="J13995"/>
    </row>
    <row r="13996" spans="9:10" x14ac:dyDescent="0.3">
      <c r="I13996"/>
      <c r="J13996"/>
    </row>
    <row r="13997" spans="9:10" x14ac:dyDescent="0.3">
      <c r="I13997"/>
      <c r="J13997"/>
    </row>
    <row r="13998" spans="9:10" x14ac:dyDescent="0.3">
      <c r="I13998"/>
      <c r="J13998"/>
    </row>
    <row r="13999" spans="9:10" x14ac:dyDescent="0.3">
      <c r="I13999"/>
      <c r="J13999"/>
    </row>
    <row r="14000" spans="9:10" x14ac:dyDescent="0.3">
      <c r="I14000"/>
      <c r="J14000"/>
    </row>
    <row r="14001" spans="9:10" x14ac:dyDescent="0.3">
      <c r="I14001"/>
      <c r="J14001"/>
    </row>
    <row r="14002" spans="9:10" x14ac:dyDescent="0.3">
      <c r="I14002"/>
      <c r="J14002"/>
    </row>
    <row r="14003" spans="9:10" x14ac:dyDescent="0.3">
      <c r="I14003"/>
      <c r="J14003"/>
    </row>
    <row r="14004" spans="9:10" x14ac:dyDescent="0.3">
      <c r="I14004"/>
      <c r="J14004"/>
    </row>
    <row r="14005" spans="9:10" x14ac:dyDescent="0.3">
      <c r="I14005"/>
      <c r="J14005"/>
    </row>
    <row r="14006" spans="9:10" x14ac:dyDescent="0.3">
      <c r="I14006"/>
      <c r="J14006"/>
    </row>
    <row r="14007" spans="9:10" x14ac:dyDescent="0.3">
      <c r="I14007"/>
      <c r="J14007"/>
    </row>
    <row r="14008" spans="9:10" x14ac:dyDescent="0.3">
      <c r="I14008"/>
      <c r="J14008"/>
    </row>
    <row r="14009" spans="9:10" x14ac:dyDescent="0.3">
      <c r="I14009"/>
      <c r="J14009"/>
    </row>
    <row r="14010" spans="9:10" x14ac:dyDescent="0.3">
      <c r="I14010"/>
      <c r="J14010"/>
    </row>
    <row r="14011" spans="9:10" x14ac:dyDescent="0.3">
      <c r="I14011"/>
      <c r="J14011"/>
    </row>
    <row r="14012" spans="9:10" x14ac:dyDescent="0.3">
      <c r="I14012"/>
      <c r="J14012"/>
    </row>
    <row r="14013" spans="9:10" x14ac:dyDescent="0.3">
      <c r="I14013"/>
      <c r="J14013"/>
    </row>
    <row r="14014" spans="9:10" x14ac:dyDescent="0.3">
      <c r="I14014"/>
      <c r="J14014"/>
    </row>
    <row r="14015" spans="9:10" x14ac:dyDescent="0.3">
      <c r="I14015"/>
      <c r="J14015"/>
    </row>
    <row r="14016" spans="9:10" x14ac:dyDescent="0.3">
      <c r="I14016"/>
      <c r="J14016"/>
    </row>
    <row r="14017" spans="9:10" x14ac:dyDescent="0.3">
      <c r="I14017"/>
      <c r="J14017"/>
    </row>
    <row r="14018" spans="9:10" x14ac:dyDescent="0.3">
      <c r="I14018"/>
      <c r="J14018"/>
    </row>
    <row r="14019" spans="9:10" x14ac:dyDescent="0.3">
      <c r="I14019"/>
      <c r="J14019"/>
    </row>
    <row r="14020" spans="9:10" x14ac:dyDescent="0.3">
      <c r="I14020"/>
      <c r="J14020"/>
    </row>
    <row r="14021" spans="9:10" x14ac:dyDescent="0.3">
      <c r="I14021"/>
      <c r="J14021"/>
    </row>
    <row r="14022" spans="9:10" x14ac:dyDescent="0.3">
      <c r="I14022"/>
      <c r="J14022"/>
    </row>
    <row r="14023" spans="9:10" x14ac:dyDescent="0.3">
      <c r="I14023"/>
      <c r="J14023"/>
    </row>
    <row r="14024" spans="9:10" x14ac:dyDescent="0.3">
      <c r="I14024"/>
      <c r="J14024"/>
    </row>
    <row r="14025" spans="9:10" x14ac:dyDescent="0.3">
      <c r="I14025"/>
      <c r="J14025"/>
    </row>
    <row r="14026" spans="9:10" x14ac:dyDescent="0.3">
      <c r="I14026"/>
      <c r="J14026"/>
    </row>
    <row r="14027" spans="9:10" x14ac:dyDescent="0.3">
      <c r="I14027"/>
      <c r="J14027"/>
    </row>
    <row r="14028" spans="9:10" x14ac:dyDescent="0.3">
      <c r="I14028"/>
      <c r="J14028"/>
    </row>
    <row r="14029" spans="9:10" x14ac:dyDescent="0.3">
      <c r="I14029"/>
      <c r="J14029"/>
    </row>
    <row r="14030" spans="9:10" x14ac:dyDescent="0.3">
      <c r="I14030"/>
      <c r="J14030"/>
    </row>
    <row r="14031" spans="9:10" x14ac:dyDescent="0.3">
      <c r="I14031"/>
      <c r="J14031"/>
    </row>
    <row r="14032" spans="9:10" x14ac:dyDescent="0.3">
      <c r="I14032"/>
      <c r="J14032"/>
    </row>
    <row r="14033" spans="9:10" x14ac:dyDescent="0.3">
      <c r="I14033"/>
      <c r="J14033"/>
    </row>
    <row r="14034" spans="9:10" x14ac:dyDescent="0.3">
      <c r="I14034"/>
      <c r="J14034"/>
    </row>
    <row r="14035" spans="9:10" x14ac:dyDescent="0.3">
      <c r="I14035"/>
      <c r="J14035"/>
    </row>
    <row r="14036" spans="9:10" x14ac:dyDescent="0.3">
      <c r="I14036"/>
      <c r="J14036"/>
    </row>
    <row r="14037" spans="9:10" x14ac:dyDescent="0.3">
      <c r="I14037"/>
      <c r="J14037"/>
    </row>
    <row r="14038" spans="9:10" x14ac:dyDescent="0.3">
      <c r="I14038"/>
      <c r="J14038"/>
    </row>
    <row r="14039" spans="9:10" x14ac:dyDescent="0.3">
      <c r="I14039"/>
      <c r="J14039"/>
    </row>
    <row r="14040" spans="9:10" x14ac:dyDescent="0.3">
      <c r="I14040"/>
      <c r="J14040"/>
    </row>
    <row r="14041" spans="9:10" x14ac:dyDescent="0.3">
      <c r="I14041"/>
      <c r="J14041"/>
    </row>
    <row r="14042" spans="9:10" x14ac:dyDescent="0.3">
      <c r="I14042"/>
      <c r="J14042"/>
    </row>
    <row r="14043" spans="9:10" x14ac:dyDescent="0.3">
      <c r="I14043"/>
      <c r="J14043"/>
    </row>
    <row r="14044" spans="9:10" x14ac:dyDescent="0.3">
      <c r="I14044"/>
      <c r="J14044"/>
    </row>
    <row r="14045" spans="9:10" x14ac:dyDescent="0.3">
      <c r="I14045"/>
      <c r="J14045"/>
    </row>
    <row r="14046" spans="9:10" x14ac:dyDescent="0.3">
      <c r="I14046"/>
      <c r="J14046"/>
    </row>
    <row r="14047" spans="9:10" x14ac:dyDescent="0.3">
      <c r="I14047"/>
      <c r="J14047"/>
    </row>
    <row r="14048" spans="9:10" x14ac:dyDescent="0.3">
      <c r="I14048"/>
      <c r="J14048"/>
    </row>
    <row r="14049" spans="9:10" x14ac:dyDescent="0.3">
      <c r="I14049"/>
      <c r="J14049"/>
    </row>
    <row r="14050" spans="9:10" x14ac:dyDescent="0.3">
      <c r="I14050"/>
      <c r="J14050"/>
    </row>
    <row r="14051" spans="9:10" x14ac:dyDescent="0.3">
      <c r="I14051"/>
      <c r="J14051"/>
    </row>
    <row r="14052" spans="9:10" x14ac:dyDescent="0.3">
      <c r="I14052"/>
      <c r="J14052"/>
    </row>
    <row r="14053" spans="9:10" x14ac:dyDescent="0.3">
      <c r="I14053"/>
      <c r="J14053"/>
    </row>
    <row r="14054" spans="9:10" x14ac:dyDescent="0.3">
      <c r="I14054"/>
      <c r="J14054"/>
    </row>
    <row r="14055" spans="9:10" x14ac:dyDescent="0.3">
      <c r="I14055"/>
      <c r="J14055"/>
    </row>
    <row r="14056" spans="9:10" x14ac:dyDescent="0.3">
      <c r="I14056"/>
      <c r="J14056"/>
    </row>
    <row r="14057" spans="9:10" x14ac:dyDescent="0.3">
      <c r="I14057"/>
      <c r="J14057"/>
    </row>
    <row r="14058" spans="9:10" x14ac:dyDescent="0.3">
      <c r="I14058"/>
      <c r="J14058"/>
    </row>
    <row r="14059" spans="9:10" x14ac:dyDescent="0.3">
      <c r="I14059"/>
      <c r="J14059"/>
    </row>
    <row r="14060" spans="9:10" x14ac:dyDescent="0.3">
      <c r="I14060"/>
      <c r="J14060"/>
    </row>
    <row r="14061" spans="9:10" x14ac:dyDescent="0.3">
      <c r="I14061"/>
      <c r="J14061"/>
    </row>
    <row r="14062" spans="9:10" x14ac:dyDescent="0.3">
      <c r="I14062"/>
      <c r="J14062"/>
    </row>
    <row r="14063" spans="9:10" x14ac:dyDescent="0.3">
      <c r="I14063"/>
      <c r="J14063"/>
    </row>
    <row r="14064" spans="9:10" x14ac:dyDescent="0.3">
      <c r="I14064"/>
      <c r="J14064"/>
    </row>
    <row r="14065" spans="9:10" x14ac:dyDescent="0.3">
      <c r="I14065"/>
      <c r="J14065"/>
    </row>
    <row r="14066" spans="9:10" x14ac:dyDescent="0.3">
      <c r="I14066"/>
      <c r="J14066"/>
    </row>
    <row r="14067" spans="9:10" x14ac:dyDescent="0.3">
      <c r="I14067"/>
      <c r="J14067"/>
    </row>
    <row r="14068" spans="9:10" x14ac:dyDescent="0.3">
      <c r="I14068"/>
      <c r="J14068"/>
    </row>
    <row r="14069" spans="9:10" x14ac:dyDescent="0.3">
      <c r="I14069"/>
      <c r="J14069"/>
    </row>
    <row r="14070" spans="9:10" x14ac:dyDescent="0.3">
      <c r="I14070"/>
      <c r="J14070"/>
    </row>
    <row r="14071" spans="9:10" x14ac:dyDescent="0.3">
      <c r="I14071"/>
      <c r="J14071"/>
    </row>
    <row r="14072" spans="9:10" x14ac:dyDescent="0.3">
      <c r="I14072"/>
      <c r="J14072"/>
    </row>
    <row r="14073" spans="9:10" x14ac:dyDescent="0.3">
      <c r="I14073"/>
      <c r="J14073"/>
    </row>
    <row r="14074" spans="9:10" x14ac:dyDescent="0.3">
      <c r="I14074"/>
      <c r="J14074"/>
    </row>
    <row r="14075" spans="9:10" x14ac:dyDescent="0.3">
      <c r="I14075"/>
      <c r="J14075"/>
    </row>
    <row r="14076" spans="9:10" x14ac:dyDescent="0.3">
      <c r="I14076"/>
      <c r="J14076"/>
    </row>
    <row r="14077" spans="9:10" x14ac:dyDescent="0.3">
      <c r="I14077"/>
      <c r="J14077"/>
    </row>
    <row r="14078" spans="9:10" x14ac:dyDescent="0.3">
      <c r="I14078"/>
      <c r="J14078"/>
    </row>
    <row r="14079" spans="9:10" x14ac:dyDescent="0.3">
      <c r="I14079"/>
      <c r="J14079"/>
    </row>
    <row r="14080" spans="9:10" x14ac:dyDescent="0.3">
      <c r="I14080"/>
      <c r="J14080"/>
    </row>
    <row r="14081" spans="9:10" x14ac:dyDescent="0.3">
      <c r="I14081"/>
      <c r="J14081"/>
    </row>
    <row r="14082" spans="9:10" x14ac:dyDescent="0.3">
      <c r="I14082"/>
      <c r="J14082"/>
    </row>
    <row r="14083" spans="9:10" x14ac:dyDescent="0.3">
      <c r="I14083"/>
      <c r="J14083"/>
    </row>
    <row r="14084" spans="9:10" x14ac:dyDescent="0.3">
      <c r="I14084"/>
      <c r="J14084"/>
    </row>
    <row r="14085" spans="9:10" x14ac:dyDescent="0.3">
      <c r="I14085"/>
      <c r="J14085"/>
    </row>
    <row r="14086" spans="9:10" x14ac:dyDescent="0.3">
      <c r="I14086"/>
      <c r="J14086"/>
    </row>
    <row r="14087" spans="9:10" x14ac:dyDescent="0.3">
      <c r="I14087"/>
      <c r="J14087"/>
    </row>
    <row r="14088" spans="9:10" x14ac:dyDescent="0.3">
      <c r="I14088"/>
      <c r="J14088"/>
    </row>
    <row r="14089" spans="9:10" x14ac:dyDescent="0.3">
      <c r="I14089"/>
      <c r="J14089"/>
    </row>
    <row r="14090" spans="9:10" x14ac:dyDescent="0.3">
      <c r="I14090"/>
      <c r="J14090"/>
    </row>
    <row r="14091" spans="9:10" x14ac:dyDescent="0.3">
      <c r="I14091"/>
      <c r="J14091"/>
    </row>
    <row r="14092" spans="9:10" x14ac:dyDescent="0.3">
      <c r="I14092"/>
      <c r="J14092"/>
    </row>
    <row r="14093" spans="9:10" x14ac:dyDescent="0.3">
      <c r="I14093"/>
      <c r="J14093"/>
    </row>
    <row r="14094" spans="9:10" x14ac:dyDescent="0.3">
      <c r="I14094"/>
      <c r="J14094"/>
    </row>
    <row r="14095" spans="9:10" x14ac:dyDescent="0.3">
      <c r="I14095"/>
      <c r="J14095"/>
    </row>
    <row r="14096" spans="9:10" x14ac:dyDescent="0.3">
      <c r="I14096"/>
      <c r="J14096"/>
    </row>
    <row r="14097" spans="9:10" x14ac:dyDescent="0.3">
      <c r="I14097"/>
      <c r="J14097"/>
    </row>
    <row r="14098" spans="9:10" x14ac:dyDescent="0.3">
      <c r="I14098"/>
      <c r="J14098"/>
    </row>
    <row r="14099" spans="9:10" x14ac:dyDescent="0.3">
      <c r="I14099"/>
      <c r="J14099"/>
    </row>
    <row r="14100" spans="9:10" x14ac:dyDescent="0.3">
      <c r="I14100"/>
      <c r="J14100"/>
    </row>
    <row r="14101" spans="9:10" x14ac:dyDescent="0.3">
      <c r="I14101"/>
      <c r="J14101"/>
    </row>
    <row r="14102" spans="9:10" x14ac:dyDescent="0.3">
      <c r="I14102"/>
      <c r="J14102"/>
    </row>
    <row r="14103" spans="9:10" x14ac:dyDescent="0.3">
      <c r="I14103"/>
      <c r="J14103"/>
    </row>
    <row r="14104" spans="9:10" x14ac:dyDescent="0.3">
      <c r="I14104"/>
      <c r="J14104"/>
    </row>
    <row r="14105" spans="9:10" x14ac:dyDescent="0.3">
      <c r="I14105"/>
      <c r="J14105"/>
    </row>
    <row r="14106" spans="9:10" x14ac:dyDescent="0.3">
      <c r="I14106"/>
      <c r="J14106"/>
    </row>
    <row r="14107" spans="9:10" x14ac:dyDescent="0.3">
      <c r="I14107"/>
      <c r="J14107"/>
    </row>
    <row r="14108" spans="9:10" x14ac:dyDescent="0.3">
      <c r="I14108"/>
      <c r="J14108"/>
    </row>
    <row r="14109" spans="9:10" x14ac:dyDescent="0.3">
      <c r="I14109"/>
      <c r="J14109"/>
    </row>
    <row r="14110" spans="9:10" x14ac:dyDescent="0.3">
      <c r="I14110"/>
      <c r="J14110"/>
    </row>
    <row r="14111" spans="9:10" x14ac:dyDescent="0.3">
      <c r="I14111"/>
      <c r="J14111"/>
    </row>
    <row r="14112" spans="9:10" x14ac:dyDescent="0.3">
      <c r="I14112"/>
      <c r="J14112"/>
    </row>
    <row r="14113" spans="9:10" x14ac:dyDescent="0.3">
      <c r="I14113"/>
      <c r="J14113"/>
    </row>
    <row r="14114" spans="9:10" x14ac:dyDescent="0.3">
      <c r="I14114"/>
      <c r="J14114"/>
    </row>
    <row r="14115" spans="9:10" x14ac:dyDescent="0.3">
      <c r="I14115"/>
      <c r="J14115"/>
    </row>
    <row r="14116" spans="9:10" x14ac:dyDescent="0.3">
      <c r="I14116"/>
      <c r="J14116"/>
    </row>
    <row r="14117" spans="9:10" x14ac:dyDescent="0.3">
      <c r="I14117"/>
      <c r="J14117"/>
    </row>
    <row r="14118" spans="9:10" x14ac:dyDescent="0.3">
      <c r="I14118"/>
      <c r="J14118"/>
    </row>
    <row r="14119" spans="9:10" x14ac:dyDescent="0.3">
      <c r="I14119"/>
      <c r="J14119"/>
    </row>
    <row r="14120" spans="9:10" x14ac:dyDescent="0.3">
      <c r="I14120"/>
      <c r="J14120"/>
    </row>
    <row r="14121" spans="9:10" x14ac:dyDescent="0.3">
      <c r="I14121"/>
      <c r="J14121"/>
    </row>
    <row r="14122" spans="9:10" x14ac:dyDescent="0.3">
      <c r="I14122"/>
      <c r="J14122"/>
    </row>
    <row r="14123" spans="9:10" x14ac:dyDescent="0.3">
      <c r="I14123"/>
      <c r="J14123"/>
    </row>
    <row r="14124" spans="9:10" x14ac:dyDescent="0.3">
      <c r="I14124"/>
      <c r="J14124"/>
    </row>
    <row r="14125" spans="9:10" x14ac:dyDescent="0.3">
      <c r="I14125"/>
      <c r="J14125"/>
    </row>
    <row r="14126" spans="9:10" x14ac:dyDescent="0.3">
      <c r="I14126"/>
      <c r="J14126"/>
    </row>
    <row r="14127" spans="9:10" x14ac:dyDescent="0.3">
      <c r="I14127"/>
      <c r="J14127"/>
    </row>
    <row r="14128" spans="9:10" x14ac:dyDescent="0.3">
      <c r="I14128"/>
      <c r="J14128"/>
    </row>
    <row r="14129" spans="9:10" x14ac:dyDescent="0.3">
      <c r="I14129"/>
      <c r="J14129"/>
    </row>
    <row r="14130" spans="9:10" x14ac:dyDescent="0.3">
      <c r="I14130"/>
      <c r="J14130"/>
    </row>
    <row r="14131" spans="9:10" x14ac:dyDescent="0.3">
      <c r="I14131"/>
      <c r="J14131"/>
    </row>
    <row r="14132" spans="9:10" x14ac:dyDescent="0.3">
      <c r="I14132"/>
      <c r="J14132"/>
    </row>
    <row r="14133" spans="9:10" x14ac:dyDescent="0.3">
      <c r="I14133"/>
      <c r="J14133"/>
    </row>
    <row r="14134" spans="9:10" x14ac:dyDescent="0.3">
      <c r="I14134"/>
      <c r="J14134"/>
    </row>
    <row r="14135" spans="9:10" x14ac:dyDescent="0.3">
      <c r="I14135"/>
      <c r="J14135"/>
    </row>
    <row r="14136" spans="9:10" x14ac:dyDescent="0.3">
      <c r="I14136"/>
      <c r="J14136"/>
    </row>
    <row r="14137" spans="9:10" x14ac:dyDescent="0.3">
      <c r="I14137"/>
      <c r="J14137"/>
    </row>
    <row r="14138" spans="9:10" x14ac:dyDescent="0.3">
      <c r="I14138"/>
      <c r="J14138"/>
    </row>
    <row r="14139" spans="9:10" x14ac:dyDescent="0.3">
      <c r="I14139"/>
      <c r="J14139"/>
    </row>
    <row r="14140" spans="9:10" x14ac:dyDescent="0.3">
      <c r="I14140"/>
      <c r="J14140"/>
    </row>
    <row r="14141" spans="9:10" x14ac:dyDescent="0.3">
      <c r="I14141"/>
      <c r="J14141"/>
    </row>
    <row r="14142" spans="9:10" x14ac:dyDescent="0.3">
      <c r="I14142"/>
      <c r="J14142"/>
    </row>
    <row r="14143" spans="9:10" x14ac:dyDescent="0.3">
      <c r="I14143"/>
      <c r="J14143"/>
    </row>
    <row r="14144" spans="9:10" x14ac:dyDescent="0.3">
      <c r="I14144"/>
      <c r="J14144"/>
    </row>
    <row r="14145" spans="9:10" x14ac:dyDescent="0.3">
      <c r="I14145"/>
      <c r="J14145"/>
    </row>
    <row r="14146" spans="9:10" x14ac:dyDescent="0.3">
      <c r="I14146"/>
      <c r="J14146"/>
    </row>
    <row r="14147" spans="9:10" x14ac:dyDescent="0.3">
      <c r="I14147"/>
      <c r="J14147"/>
    </row>
    <row r="14148" spans="9:10" x14ac:dyDescent="0.3">
      <c r="I14148"/>
      <c r="J14148"/>
    </row>
    <row r="14149" spans="9:10" x14ac:dyDescent="0.3">
      <c r="I14149"/>
      <c r="J14149"/>
    </row>
    <row r="14150" spans="9:10" x14ac:dyDescent="0.3">
      <c r="I14150"/>
      <c r="J14150"/>
    </row>
    <row r="14151" spans="9:10" x14ac:dyDescent="0.3">
      <c r="I14151"/>
      <c r="J14151"/>
    </row>
    <row r="14152" spans="9:10" x14ac:dyDescent="0.3">
      <c r="I14152"/>
      <c r="J14152"/>
    </row>
    <row r="14153" spans="9:10" x14ac:dyDescent="0.3">
      <c r="I14153"/>
      <c r="J14153"/>
    </row>
    <row r="14154" spans="9:10" x14ac:dyDescent="0.3">
      <c r="I14154"/>
      <c r="J14154"/>
    </row>
    <row r="14155" spans="9:10" x14ac:dyDescent="0.3">
      <c r="I14155"/>
      <c r="J14155"/>
    </row>
    <row r="14156" spans="9:10" x14ac:dyDescent="0.3">
      <c r="I14156"/>
      <c r="J14156"/>
    </row>
    <row r="14157" spans="9:10" x14ac:dyDescent="0.3">
      <c r="I14157"/>
      <c r="J14157"/>
    </row>
    <row r="14158" spans="9:10" x14ac:dyDescent="0.3">
      <c r="I14158"/>
      <c r="J14158"/>
    </row>
    <row r="14159" spans="9:10" x14ac:dyDescent="0.3">
      <c r="I14159"/>
      <c r="J14159"/>
    </row>
    <row r="14160" spans="9:10" x14ac:dyDescent="0.3">
      <c r="I14160"/>
      <c r="J14160"/>
    </row>
    <row r="14161" spans="9:10" x14ac:dyDescent="0.3">
      <c r="I14161"/>
      <c r="J14161"/>
    </row>
    <row r="14162" spans="9:10" x14ac:dyDescent="0.3">
      <c r="I14162"/>
      <c r="J14162"/>
    </row>
    <row r="14163" spans="9:10" x14ac:dyDescent="0.3">
      <c r="I14163"/>
      <c r="J14163"/>
    </row>
    <row r="14164" spans="9:10" x14ac:dyDescent="0.3">
      <c r="I14164"/>
      <c r="J14164"/>
    </row>
    <row r="14165" spans="9:10" x14ac:dyDescent="0.3">
      <c r="I14165"/>
      <c r="J14165"/>
    </row>
    <row r="14166" spans="9:10" x14ac:dyDescent="0.3">
      <c r="I14166"/>
      <c r="J14166"/>
    </row>
    <row r="14167" spans="9:10" x14ac:dyDescent="0.3">
      <c r="I14167"/>
      <c r="J14167"/>
    </row>
    <row r="14168" spans="9:10" x14ac:dyDescent="0.3">
      <c r="I14168"/>
      <c r="J14168"/>
    </row>
    <row r="14169" spans="9:10" x14ac:dyDescent="0.3">
      <c r="I14169"/>
      <c r="J14169"/>
    </row>
    <row r="14170" spans="9:10" x14ac:dyDescent="0.3">
      <c r="I14170"/>
      <c r="J14170"/>
    </row>
    <row r="14171" spans="9:10" x14ac:dyDescent="0.3">
      <c r="I14171"/>
      <c r="J14171"/>
    </row>
    <row r="14172" spans="9:10" x14ac:dyDescent="0.3">
      <c r="I14172"/>
      <c r="J14172"/>
    </row>
    <row r="14173" spans="9:10" x14ac:dyDescent="0.3">
      <c r="I14173"/>
      <c r="J14173"/>
    </row>
    <row r="14174" spans="9:10" x14ac:dyDescent="0.3">
      <c r="I14174"/>
      <c r="J14174"/>
    </row>
    <row r="14175" spans="9:10" x14ac:dyDescent="0.3">
      <c r="I14175"/>
      <c r="J14175"/>
    </row>
    <row r="14176" spans="9:10" x14ac:dyDescent="0.3">
      <c r="I14176"/>
      <c r="J14176"/>
    </row>
    <row r="14177" spans="9:10" x14ac:dyDescent="0.3">
      <c r="I14177"/>
      <c r="J14177"/>
    </row>
    <row r="14178" spans="9:10" x14ac:dyDescent="0.3">
      <c r="I14178"/>
      <c r="J14178"/>
    </row>
    <row r="14179" spans="9:10" x14ac:dyDescent="0.3">
      <c r="I14179"/>
      <c r="J14179"/>
    </row>
    <row r="14180" spans="9:10" x14ac:dyDescent="0.3">
      <c r="I14180"/>
      <c r="J14180"/>
    </row>
    <row r="14181" spans="9:10" x14ac:dyDescent="0.3">
      <c r="I14181"/>
      <c r="J14181"/>
    </row>
    <row r="14182" spans="9:10" x14ac:dyDescent="0.3">
      <c r="I14182"/>
      <c r="J14182"/>
    </row>
    <row r="14183" spans="9:10" x14ac:dyDescent="0.3">
      <c r="I14183"/>
      <c r="J14183"/>
    </row>
    <row r="14184" spans="9:10" x14ac:dyDescent="0.3">
      <c r="I14184"/>
      <c r="J14184"/>
    </row>
    <row r="14185" spans="9:10" x14ac:dyDescent="0.3">
      <c r="I14185"/>
      <c r="J14185"/>
    </row>
    <row r="14186" spans="9:10" x14ac:dyDescent="0.3">
      <c r="I14186"/>
      <c r="J14186"/>
    </row>
    <row r="14187" spans="9:10" x14ac:dyDescent="0.3">
      <c r="I14187"/>
      <c r="J14187"/>
    </row>
    <row r="14188" spans="9:10" x14ac:dyDescent="0.3">
      <c r="I14188"/>
      <c r="J14188"/>
    </row>
    <row r="14189" spans="9:10" x14ac:dyDescent="0.3">
      <c r="I14189"/>
      <c r="J14189"/>
    </row>
    <row r="14190" spans="9:10" x14ac:dyDescent="0.3">
      <c r="I14190"/>
      <c r="J14190"/>
    </row>
    <row r="14191" spans="9:10" x14ac:dyDescent="0.3">
      <c r="I14191"/>
      <c r="J14191"/>
    </row>
    <row r="14192" spans="9:10" x14ac:dyDescent="0.3">
      <c r="I14192"/>
      <c r="J14192"/>
    </row>
    <row r="14193" spans="9:10" x14ac:dyDescent="0.3">
      <c r="I14193"/>
      <c r="J14193"/>
    </row>
    <row r="14194" spans="9:10" x14ac:dyDescent="0.3">
      <c r="I14194"/>
      <c r="J14194"/>
    </row>
    <row r="14195" spans="9:10" x14ac:dyDescent="0.3">
      <c r="I14195"/>
      <c r="J14195"/>
    </row>
    <row r="14196" spans="9:10" x14ac:dyDescent="0.3">
      <c r="I14196"/>
      <c r="J14196"/>
    </row>
    <row r="14197" spans="9:10" x14ac:dyDescent="0.3">
      <c r="I14197"/>
      <c r="J14197"/>
    </row>
    <row r="14198" spans="9:10" x14ac:dyDescent="0.3">
      <c r="I14198"/>
      <c r="J14198"/>
    </row>
    <row r="14199" spans="9:10" x14ac:dyDescent="0.3">
      <c r="I14199"/>
      <c r="J14199"/>
    </row>
    <row r="14200" spans="9:10" x14ac:dyDescent="0.3">
      <c r="I14200"/>
      <c r="J14200"/>
    </row>
    <row r="14201" spans="9:10" x14ac:dyDescent="0.3">
      <c r="I14201"/>
      <c r="J14201"/>
    </row>
    <row r="14202" spans="9:10" x14ac:dyDescent="0.3">
      <c r="I14202"/>
      <c r="J14202"/>
    </row>
    <row r="14203" spans="9:10" x14ac:dyDescent="0.3">
      <c r="I14203"/>
      <c r="J14203"/>
    </row>
    <row r="14204" spans="9:10" x14ac:dyDescent="0.3">
      <c r="I14204"/>
      <c r="J14204"/>
    </row>
    <row r="14205" spans="9:10" x14ac:dyDescent="0.3">
      <c r="I14205"/>
      <c r="J14205"/>
    </row>
    <row r="14206" spans="9:10" x14ac:dyDescent="0.3">
      <c r="I14206"/>
      <c r="J14206"/>
    </row>
    <row r="14207" spans="9:10" x14ac:dyDescent="0.3">
      <c r="I14207"/>
      <c r="J14207"/>
    </row>
    <row r="14208" spans="9:10" x14ac:dyDescent="0.3">
      <c r="I14208"/>
      <c r="J14208"/>
    </row>
    <row r="14209" spans="9:10" x14ac:dyDescent="0.3">
      <c r="I14209"/>
      <c r="J14209"/>
    </row>
    <row r="14210" spans="9:10" x14ac:dyDescent="0.3">
      <c r="I14210"/>
      <c r="J14210"/>
    </row>
    <row r="14211" spans="9:10" x14ac:dyDescent="0.3">
      <c r="I14211"/>
      <c r="J14211"/>
    </row>
    <row r="14212" spans="9:10" x14ac:dyDescent="0.3">
      <c r="I14212"/>
      <c r="J14212"/>
    </row>
    <row r="14213" spans="9:10" x14ac:dyDescent="0.3">
      <c r="I14213"/>
      <c r="J14213"/>
    </row>
    <row r="14214" spans="9:10" x14ac:dyDescent="0.3">
      <c r="I14214"/>
      <c r="J14214"/>
    </row>
    <row r="14215" spans="9:10" x14ac:dyDescent="0.3">
      <c r="I14215"/>
      <c r="J14215"/>
    </row>
    <row r="14216" spans="9:10" x14ac:dyDescent="0.3">
      <c r="I14216"/>
      <c r="J14216"/>
    </row>
    <row r="14217" spans="9:10" x14ac:dyDescent="0.3">
      <c r="I14217"/>
      <c r="J14217"/>
    </row>
    <row r="14218" spans="9:10" x14ac:dyDescent="0.3">
      <c r="I14218"/>
      <c r="J14218"/>
    </row>
    <row r="14219" spans="9:10" x14ac:dyDescent="0.3">
      <c r="I14219"/>
      <c r="J14219"/>
    </row>
    <row r="14220" spans="9:10" x14ac:dyDescent="0.3">
      <c r="I14220"/>
      <c r="J14220"/>
    </row>
    <row r="14221" spans="9:10" x14ac:dyDescent="0.3">
      <c r="I14221"/>
      <c r="J14221"/>
    </row>
    <row r="14222" spans="9:10" x14ac:dyDescent="0.3">
      <c r="I14222"/>
      <c r="J14222"/>
    </row>
    <row r="14223" spans="9:10" x14ac:dyDescent="0.3">
      <c r="I14223"/>
      <c r="J14223"/>
    </row>
    <row r="14224" spans="9:10" x14ac:dyDescent="0.3">
      <c r="I14224"/>
      <c r="J14224"/>
    </row>
    <row r="14225" spans="9:10" x14ac:dyDescent="0.3">
      <c r="I14225"/>
      <c r="J14225"/>
    </row>
    <row r="14226" spans="9:10" x14ac:dyDescent="0.3">
      <c r="I14226"/>
      <c r="J14226"/>
    </row>
    <row r="14227" spans="9:10" x14ac:dyDescent="0.3">
      <c r="I14227"/>
      <c r="J14227"/>
    </row>
    <row r="14228" spans="9:10" x14ac:dyDescent="0.3">
      <c r="I14228"/>
      <c r="J14228"/>
    </row>
    <row r="14229" spans="9:10" x14ac:dyDescent="0.3">
      <c r="I14229"/>
      <c r="J14229"/>
    </row>
    <row r="14230" spans="9:10" x14ac:dyDescent="0.3">
      <c r="I14230"/>
      <c r="J14230"/>
    </row>
    <row r="14231" spans="9:10" x14ac:dyDescent="0.3">
      <c r="I14231"/>
      <c r="J14231"/>
    </row>
    <row r="14232" spans="9:10" x14ac:dyDescent="0.3">
      <c r="I14232"/>
      <c r="J14232"/>
    </row>
    <row r="14233" spans="9:10" x14ac:dyDescent="0.3">
      <c r="I14233"/>
      <c r="J14233"/>
    </row>
    <row r="14234" spans="9:10" x14ac:dyDescent="0.3">
      <c r="I14234"/>
      <c r="J14234"/>
    </row>
    <row r="14235" spans="9:10" x14ac:dyDescent="0.3">
      <c r="I14235"/>
      <c r="J14235"/>
    </row>
    <row r="14236" spans="9:10" x14ac:dyDescent="0.3">
      <c r="I14236"/>
      <c r="J14236"/>
    </row>
    <row r="14237" spans="9:10" x14ac:dyDescent="0.3">
      <c r="I14237"/>
      <c r="J14237"/>
    </row>
    <row r="14238" spans="9:10" x14ac:dyDescent="0.3">
      <c r="I14238"/>
      <c r="J14238"/>
    </row>
    <row r="14239" spans="9:10" x14ac:dyDescent="0.3">
      <c r="I14239"/>
      <c r="J14239"/>
    </row>
    <row r="14240" spans="9:10" x14ac:dyDescent="0.3">
      <c r="I14240"/>
      <c r="J14240"/>
    </row>
    <row r="14241" spans="9:10" x14ac:dyDescent="0.3">
      <c r="I14241"/>
      <c r="J14241"/>
    </row>
    <row r="14242" spans="9:10" x14ac:dyDescent="0.3">
      <c r="I14242"/>
      <c r="J14242"/>
    </row>
    <row r="14243" spans="9:10" x14ac:dyDescent="0.3">
      <c r="I14243"/>
      <c r="J14243"/>
    </row>
    <row r="14244" spans="9:10" x14ac:dyDescent="0.3">
      <c r="I14244"/>
      <c r="J14244"/>
    </row>
    <row r="14245" spans="9:10" x14ac:dyDescent="0.3">
      <c r="I14245"/>
      <c r="J14245"/>
    </row>
    <row r="14246" spans="9:10" x14ac:dyDescent="0.3">
      <c r="I14246"/>
      <c r="J14246"/>
    </row>
    <row r="14247" spans="9:10" x14ac:dyDescent="0.3">
      <c r="I14247"/>
      <c r="J14247"/>
    </row>
    <row r="14248" spans="9:10" x14ac:dyDescent="0.3">
      <c r="I14248"/>
      <c r="J14248"/>
    </row>
    <row r="14249" spans="9:10" x14ac:dyDescent="0.3">
      <c r="I14249"/>
      <c r="J14249"/>
    </row>
    <row r="14250" spans="9:10" x14ac:dyDescent="0.3">
      <c r="I14250"/>
      <c r="J14250"/>
    </row>
    <row r="14251" spans="9:10" x14ac:dyDescent="0.3">
      <c r="I14251"/>
      <c r="J14251"/>
    </row>
    <row r="14252" spans="9:10" x14ac:dyDescent="0.3">
      <c r="I14252"/>
      <c r="J14252"/>
    </row>
    <row r="14253" spans="9:10" x14ac:dyDescent="0.3">
      <c r="I14253"/>
      <c r="J14253"/>
    </row>
    <row r="14254" spans="9:10" x14ac:dyDescent="0.3">
      <c r="I14254"/>
      <c r="J14254"/>
    </row>
    <row r="14255" spans="9:10" x14ac:dyDescent="0.3">
      <c r="I14255"/>
      <c r="J14255"/>
    </row>
    <row r="14256" spans="9:10" x14ac:dyDescent="0.3">
      <c r="I14256"/>
      <c r="J14256"/>
    </row>
    <row r="14257" spans="9:10" x14ac:dyDescent="0.3">
      <c r="I14257"/>
      <c r="J14257"/>
    </row>
    <row r="14258" spans="9:10" x14ac:dyDescent="0.3">
      <c r="I14258"/>
      <c r="J14258"/>
    </row>
    <row r="14259" spans="9:10" x14ac:dyDescent="0.3">
      <c r="I14259"/>
      <c r="J14259"/>
    </row>
    <row r="14260" spans="9:10" x14ac:dyDescent="0.3">
      <c r="I14260"/>
      <c r="J14260"/>
    </row>
    <row r="14261" spans="9:10" x14ac:dyDescent="0.3">
      <c r="I14261"/>
      <c r="J14261"/>
    </row>
    <row r="14262" spans="9:10" x14ac:dyDescent="0.3">
      <c r="I14262"/>
      <c r="J14262"/>
    </row>
    <row r="14263" spans="9:10" x14ac:dyDescent="0.3">
      <c r="I14263"/>
      <c r="J14263"/>
    </row>
    <row r="14264" spans="9:10" x14ac:dyDescent="0.3">
      <c r="I14264"/>
      <c r="J14264"/>
    </row>
    <row r="14265" spans="9:10" x14ac:dyDescent="0.3">
      <c r="I14265"/>
      <c r="J14265"/>
    </row>
    <row r="14266" spans="9:10" x14ac:dyDescent="0.3">
      <c r="I14266"/>
      <c r="J14266"/>
    </row>
    <row r="14267" spans="9:10" x14ac:dyDescent="0.3">
      <c r="I14267"/>
      <c r="J14267"/>
    </row>
    <row r="14268" spans="9:10" x14ac:dyDescent="0.3">
      <c r="I14268"/>
      <c r="J14268"/>
    </row>
    <row r="14269" spans="9:10" x14ac:dyDescent="0.3">
      <c r="I14269"/>
      <c r="J14269"/>
    </row>
    <row r="14270" spans="9:10" x14ac:dyDescent="0.3">
      <c r="I14270"/>
      <c r="J14270"/>
    </row>
    <row r="14271" spans="9:10" x14ac:dyDescent="0.3">
      <c r="I14271"/>
      <c r="J14271"/>
    </row>
    <row r="14272" spans="9:10" x14ac:dyDescent="0.3">
      <c r="I14272"/>
      <c r="J14272"/>
    </row>
    <row r="14273" spans="9:10" x14ac:dyDescent="0.3">
      <c r="I14273"/>
      <c r="J14273"/>
    </row>
    <row r="14274" spans="9:10" x14ac:dyDescent="0.3">
      <c r="I14274"/>
      <c r="J14274"/>
    </row>
    <row r="14275" spans="9:10" x14ac:dyDescent="0.3">
      <c r="I14275"/>
      <c r="J14275"/>
    </row>
    <row r="14276" spans="9:10" x14ac:dyDescent="0.3">
      <c r="I14276"/>
      <c r="J14276"/>
    </row>
    <row r="14277" spans="9:10" x14ac:dyDescent="0.3">
      <c r="I14277"/>
      <c r="J14277"/>
    </row>
    <row r="14278" spans="9:10" x14ac:dyDescent="0.3">
      <c r="I14278"/>
      <c r="J14278"/>
    </row>
    <row r="14279" spans="9:10" x14ac:dyDescent="0.3">
      <c r="I14279"/>
      <c r="J14279"/>
    </row>
    <row r="14280" spans="9:10" x14ac:dyDescent="0.3">
      <c r="I14280"/>
      <c r="J14280"/>
    </row>
    <row r="14281" spans="9:10" x14ac:dyDescent="0.3">
      <c r="I14281"/>
      <c r="J14281"/>
    </row>
    <row r="14282" spans="9:10" x14ac:dyDescent="0.3">
      <c r="I14282"/>
      <c r="J14282"/>
    </row>
    <row r="14283" spans="9:10" x14ac:dyDescent="0.3">
      <c r="I14283"/>
      <c r="J14283"/>
    </row>
    <row r="14284" spans="9:10" x14ac:dyDescent="0.3">
      <c r="I14284"/>
      <c r="J14284"/>
    </row>
    <row r="14285" spans="9:10" x14ac:dyDescent="0.3">
      <c r="I14285"/>
      <c r="J14285"/>
    </row>
    <row r="14286" spans="9:10" x14ac:dyDescent="0.3">
      <c r="I14286"/>
      <c r="J14286"/>
    </row>
    <row r="14287" spans="9:10" x14ac:dyDescent="0.3">
      <c r="I14287"/>
      <c r="J14287"/>
    </row>
    <row r="14288" spans="9:10" x14ac:dyDescent="0.3">
      <c r="I14288"/>
      <c r="J14288"/>
    </row>
    <row r="14289" spans="9:10" x14ac:dyDescent="0.3">
      <c r="I14289"/>
      <c r="J14289"/>
    </row>
    <row r="14290" spans="9:10" x14ac:dyDescent="0.3">
      <c r="I14290"/>
      <c r="J14290"/>
    </row>
    <row r="14291" spans="9:10" x14ac:dyDescent="0.3">
      <c r="I14291"/>
      <c r="J14291"/>
    </row>
    <row r="14292" spans="9:10" x14ac:dyDescent="0.3">
      <c r="I14292"/>
      <c r="J14292"/>
    </row>
    <row r="14293" spans="9:10" x14ac:dyDescent="0.3">
      <c r="I14293"/>
      <c r="J14293"/>
    </row>
    <row r="14294" spans="9:10" x14ac:dyDescent="0.3">
      <c r="I14294"/>
      <c r="J14294"/>
    </row>
    <row r="14295" spans="9:10" x14ac:dyDescent="0.3">
      <c r="I14295"/>
      <c r="J14295"/>
    </row>
    <row r="14296" spans="9:10" x14ac:dyDescent="0.3">
      <c r="I14296"/>
      <c r="J14296"/>
    </row>
    <row r="14297" spans="9:10" x14ac:dyDescent="0.3">
      <c r="I14297"/>
      <c r="J14297"/>
    </row>
    <row r="14298" spans="9:10" x14ac:dyDescent="0.3">
      <c r="I14298"/>
      <c r="J14298"/>
    </row>
    <row r="14299" spans="9:10" x14ac:dyDescent="0.3">
      <c r="I14299"/>
      <c r="J14299"/>
    </row>
    <row r="14300" spans="9:10" x14ac:dyDescent="0.3">
      <c r="I14300"/>
      <c r="J14300"/>
    </row>
    <row r="14301" spans="9:10" x14ac:dyDescent="0.3">
      <c r="I14301"/>
      <c r="J14301"/>
    </row>
    <row r="14302" spans="9:10" x14ac:dyDescent="0.3">
      <c r="I14302"/>
      <c r="J14302"/>
    </row>
    <row r="14303" spans="9:10" x14ac:dyDescent="0.3">
      <c r="I14303"/>
      <c r="J14303"/>
    </row>
    <row r="14304" spans="9:10" x14ac:dyDescent="0.3">
      <c r="I14304"/>
      <c r="J14304"/>
    </row>
    <row r="14305" spans="9:10" x14ac:dyDescent="0.3">
      <c r="I14305"/>
      <c r="J14305"/>
    </row>
    <row r="14306" spans="9:10" x14ac:dyDescent="0.3">
      <c r="I14306"/>
      <c r="J14306"/>
    </row>
    <row r="14307" spans="9:10" x14ac:dyDescent="0.3">
      <c r="I14307"/>
      <c r="J14307"/>
    </row>
    <row r="14308" spans="9:10" x14ac:dyDescent="0.3">
      <c r="I14308"/>
      <c r="J14308"/>
    </row>
    <row r="14309" spans="9:10" x14ac:dyDescent="0.3">
      <c r="I14309"/>
      <c r="J14309"/>
    </row>
    <row r="14310" spans="9:10" x14ac:dyDescent="0.3">
      <c r="I14310"/>
      <c r="J14310"/>
    </row>
    <row r="14311" spans="9:10" x14ac:dyDescent="0.3">
      <c r="I14311"/>
      <c r="J14311"/>
    </row>
    <row r="14312" spans="9:10" x14ac:dyDescent="0.3">
      <c r="I14312"/>
      <c r="J14312"/>
    </row>
    <row r="14313" spans="9:10" x14ac:dyDescent="0.3">
      <c r="I14313"/>
      <c r="J14313"/>
    </row>
    <row r="14314" spans="9:10" x14ac:dyDescent="0.3">
      <c r="I14314"/>
      <c r="J14314"/>
    </row>
    <row r="14315" spans="9:10" x14ac:dyDescent="0.3">
      <c r="I14315"/>
      <c r="J14315"/>
    </row>
    <row r="14316" spans="9:10" x14ac:dyDescent="0.3">
      <c r="I14316"/>
      <c r="J14316"/>
    </row>
    <row r="14317" spans="9:10" x14ac:dyDescent="0.3">
      <c r="I14317"/>
      <c r="J14317"/>
    </row>
    <row r="14318" spans="9:10" x14ac:dyDescent="0.3">
      <c r="I14318"/>
      <c r="J14318"/>
    </row>
    <row r="14319" spans="9:10" x14ac:dyDescent="0.3">
      <c r="I14319"/>
      <c r="J14319"/>
    </row>
    <row r="14320" spans="9:10" x14ac:dyDescent="0.3">
      <c r="I14320"/>
      <c r="J14320"/>
    </row>
    <row r="14321" spans="9:10" x14ac:dyDescent="0.3">
      <c r="I14321"/>
      <c r="J14321"/>
    </row>
    <row r="14322" spans="9:10" x14ac:dyDescent="0.3">
      <c r="I14322"/>
      <c r="J14322"/>
    </row>
    <row r="14323" spans="9:10" x14ac:dyDescent="0.3">
      <c r="I14323"/>
      <c r="J14323"/>
    </row>
    <row r="14324" spans="9:10" x14ac:dyDescent="0.3">
      <c r="I14324"/>
      <c r="J14324"/>
    </row>
    <row r="14325" spans="9:10" x14ac:dyDescent="0.3">
      <c r="I14325"/>
      <c r="J14325"/>
    </row>
    <row r="14326" spans="9:10" x14ac:dyDescent="0.3">
      <c r="I14326"/>
      <c r="J14326"/>
    </row>
    <row r="14327" spans="9:10" x14ac:dyDescent="0.3">
      <c r="I14327"/>
      <c r="J14327"/>
    </row>
    <row r="14328" spans="9:10" x14ac:dyDescent="0.3">
      <c r="I14328"/>
      <c r="J14328"/>
    </row>
    <row r="14329" spans="9:10" x14ac:dyDescent="0.3">
      <c r="I14329"/>
      <c r="J14329"/>
    </row>
    <row r="14330" spans="9:10" x14ac:dyDescent="0.3">
      <c r="I14330"/>
      <c r="J14330"/>
    </row>
    <row r="14331" spans="9:10" x14ac:dyDescent="0.3">
      <c r="I14331"/>
      <c r="J14331"/>
    </row>
    <row r="14332" spans="9:10" x14ac:dyDescent="0.3">
      <c r="I14332"/>
      <c r="J14332"/>
    </row>
    <row r="14333" spans="9:10" x14ac:dyDescent="0.3">
      <c r="I14333"/>
      <c r="J14333"/>
    </row>
    <row r="14334" spans="9:10" x14ac:dyDescent="0.3">
      <c r="I14334"/>
      <c r="J14334"/>
    </row>
    <row r="14335" spans="9:10" x14ac:dyDescent="0.3">
      <c r="I14335"/>
      <c r="J14335"/>
    </row>
    <row r="14336" spans="9:10" x14ac:dyDescent="0.3">
      <c r="I14336"/>
      <c r="J14336"/>
    </row>
    <row r="14337" spans="9:10" x14ac:dyDescent="0.3">
      <c r="I14337"/>
      <c r="J14337"/>
    </row>
    <row r="14338" spans="9:10" x14ac:dyDescent="0.3">
      <c r="I14338"/>
      <c r="J14338"/>
    </row>
    <row r="14339" spans="9:10" x14ac:dyDescent="0.3">
      <c r="I14339"/>
      <c r="J14339"/>
    </row>
    <row r="14340" spans="9:10" x14ac:dyDescent="0.3">
      <c r="I14340"/>
      <c r="J14340"/>
    </row>
    <row r="14341" spans="9:10" x14ac:dyDescent="0.3">
      <c r="I14341"/>
      <c r="J14341"/>
    </row>
    <row r="14342" spans="9:10" x14ac:dyDescent="0.3">
      <c r="I14342"/>
      <c r="J14342"/>
    </row>
    <row r="14343" spans="9:10" x14ac:dyDescent="0.3">
      <c r="I14343"/>
      <c r="J14343"/>
    </row>
    <row r="14344" spans="9:10" x14ac:dyDescent="0.3">
      <c r="I14344"/>
      <c r="J14344"/>
    </row>
    <row r="14345" spans="9:10" x14ac:dyDescent="0.3">
      <c r="I14345"/>
      <c r="J14345"/>
    </row>
    <row r="14346" spans="9:10" x14ac:dyDescent="0.3">
      <c r="I14346"/>
      <c r="J14346"/>
    </row>
    <row r="14347" spans="9:10" x14ac:dyDescent="0.3">
      <c r="I14347"/>
      <c r="J14347"/>
    </row>
    <row r="14348" spans="9:10" x14ac:dyDescent="0.3">
      <c r="I14348"/>
      <c r="J14348"/>
    </row>
    <row r="14349" spans="9:10" x14ac:dyDescent="0.3">
      <c r="I14349"/>
      <c r="J14349"/>
    </row>
    <row r="14350" spans="9:10" x14ac:dyDescent="0.3">
      <c r="I14350"/>
      <c r="J14350"/>
    </row>
    <row r="14351" spans="9:10" x14ac:dyDescent="0.3">
      <c r="I14351"/>
      <c r="J14351"/>
    </row>
    <row r="14352" spans="9:10" x14ac:dyDescent="0.3">
      <c r="I14352"/>
      <c r="J14352"/>
    </row>
    <row r="14353" spans="9:10" x14ac:dyDescent="0.3">
      <c r="I14353"/>
      <c r="J14353"/>
    </row>
    <row r="14354" spans="9:10" x14ac:dyDescent="0.3">
      <c r="I14354"/>
      <c r="J14354"/>
    </row>
    <row r="14355" spans="9:10" x14ac:dyDescent="0.3">
      <c r="I14355"/>
      <c r="J14355"/>
    </row>
    <row r="14356" spans="9:10" x14ac:dyDescent="0.3">
      <c r="I14356"/>
      <c r="J14356"/>
    </row>
    <row r="14357" spans="9:10" x14ac:dyDescent="0.3">
      <c r="I14357"/>
      <c r="J14357"/>
    </row>
    <row r="14358" spans="9:10" x14ac:dyDescent="0.3">
      <c r="I14358"/>
      <c r="J14358"/>
    </row>
    <row r="14359" spans="9:10" x14ac:dyDescent="0.3">
      <c r="I14359"/>
      <c r="J14359"/>
    </row>
    <row r="14360" spans="9:10" x14ac:dyDescent="0.3">
      <c r="I14360"/>
      <c r="J14360"/>
    </row>
    <row r="14361" spans="9:10" x14ac:dyDescent="0.3">
      <c r="I14361"/>
      <c r="J14361"/>
    </row>
    <row r="14362" spans="9:10" x14ac:dyDescent="0.3">
      <c r="I14362"/>
      <c r="J14362"/>
    </row>
    <row r="14363" spans="9:10" x14ac:dyDescent="0.3">
      <c r="I14363"/>
      <c r="J14363"/>
    </row>
    <row r="14364" spans="9:10" x14ac:dyDescent="0.3">
      <c r="I14364"/>
      <c r="J14364"/>
    </row>
    <row r="14365" spans="9:10" x14ac:dyDescent="0.3">
      <c r="I14365"/>
      <c r="J14365"/>
    </row>
    <row r="14366" spans="9:10" x14ac:dyDescent="0.3">
      <c r="I14366"/>
      <c r="J14366"/>
    </row>
    <row r="14367" spans="9:10" x14ac:dyDescent="0.3">
      <c r="I14367"/>
      <c r="J14367"/>
    </row>
    <row r="14368" spans="9:10" x14ac:dyDescent="0.3">
      <c r="I14368"/>
      <c r="J14368"/>
    </row>
    <row r="14369" spans="9:10" x14ac:dyDescent="0.3">
      <c r="I14369"/>
      <c r="J14369"/>
    </row>
    <row r="14370" spans="9:10" x14ac:dyDescent="0.3">
      <c r="I14370"/>
      <c r="J14370"/>
    </row>
    <row r="14371" spans="9:10" x14ac:dyDescent="0.3">
      <c r="I14371"/>
      <c r="J14371"/>
    </row>
    <row r="14372" spans="9:10" x14ac:dyDescent="0.3">
      <c r="I14372"/>
      <c r="J14372"/>
    </row>
    <row r="14373" spans="9:10" x14ac:dyDescent="0.3">
      <c r="I14373"/>
      <c r="J14373"/>
    </row>
    <row r="14374" spans="9:10" x14ac:dyDescent="0.3">
      <c r="I14374"/>
      <c r="J14374"/>
    </row>
    <row r="14375" spans="9:10" x14ac:dyDescent="0.3">
      <c r="I14375"/>
      <c r="J14375"/>
    </row>
    <row r="14376" spans="9:10" x14ac:dyDescent="0.3">
      <c r="I14376"/>
      <c r="J14376"/>
    </row>
    <row r="14377" spans="9:10" x14ac:dyDescent="0.3">
      <c r="I14377"/>
      <c r="J14377"/>
    </row>
    <row r="14378" spans="9:10" x14ac:dyDescent="0.3">
      <c r="I14378"/>
      <c r="J14378"/>
    </row>
    <row r="14379" spans="9:10" x14ac:dyDescent="0.3">
      <c r="I14379"/>
      <c r="J14379"/>
    </row>
    <row r="14380" spans="9:10" x14ac:dyDescent="0.3">
      <c r="I14380"/>
      <c r="J14380"/>
    </row>
    <row r="14381" spans="9:10" x14ac:dyDescent="0.3">
      <c r="I14381"/>
      <c r="J14381"/>
    </row>
    <row r="14382" spans="9:10" x14ac:dyDescent="0.3">
      <c r="I14382"/>
      <c r="J14382"/>
    </row>
    <row r="14383" spans="9:10" x14ac:dyDescent="0.3">
      <c r="I14383"/>
      <c r="J14383"/>
    </row>
    <row r="14384" spans="9:10" x14ac:dyDescent="0.3">
      <c r="I14384"/>
      <c r="J14384"/>
    </row>
    <row r="14385" spans="9:10" x14ac:dyDescent="0.3">
      <c r="I14385"/>
      <c r="J14385"/>
    </row>
    <row r="14386" spans="9:10" x14ac:dyDescent="0.3">
      <c r="I14386"/>
      <c r="J14386"/>
    </row>
    <row r="14387" spans="9:10" x14ac:dyDescent="0.3">
      <c r="I14387"/>
      <c r="J14387"/>
    </row>
    <row r="14388" spans="9:10" x14ac:dyDescent="0.3">
      <c r="I14388"/>
      <c r="J14388"/>
    </row>
    <row r="14389" spans="9:10" x14ac:dyDescent="0.3">
      <c r="I14389"/>
      <c r="J14389"/>
    </row>
    <row r="14390" spans="9:10" x14ac:dyDescent="0.3">
      <c r="I14390"/>
      <c r="J14390"/>
    </row>
    <row r="14391" spans="9:10" x14ac:dyDescent="0.3">
      <c r="I14391"/>
      <c r="J14391"/>
    </row>
    <row r="14392" spans="9:10" x14ac:dyDescent="0.3">
      <c r="I14392"/>
      <c r="J14392"/>
    </row>
    <row r="14393" spans="9:10" x14ac:dyDescent="0.3">
      <c r="I14393"/>
      <c r="J14393"/>
    </row>
    <row r="14394" spans="9:10" x14ac:dyDescent="0.3">
      <c r="I14394"/>
      <c r="J14394"/>
    </row>
    <row r="14395" spans="9:10" x14ac:dyDescent="0.3">
      <c r="I14395"/>
      <c r="J14395"/>
    </row>
    <row r="14396" spans="9:10" x14ac:dyDescent="0.3">
      <c r="I14396"/>
      <c r="J14396"/>
    </row>
    <row r="14397" spans="9:10" x14ac:dyDescent="0.3">
      <c r="I14397"/>
      <c r="J14397"/>
    </row>
    <row r="14398" spans="9:10" x14ac:dyDescent="0.3">
      <c r="I14398"/>
      <c r="J14398"/>
    </row>
    <row r="14399" spans="9:10" x14ac:dyDescent="0.3">
      <c r="I14399"/>
      <c r="J14399"/>
    </row>
    <row r="14400" spans="9:10" x14ac:dyDescent="0.3">
      <c r="I14400"/>
      <c r="J14400"/>
    </row>
    <row r="14401" spans="9:10" x14ac:dyDescent="0.3">
      <c r="I14401"/>
      <c r="J14401"/>
    </row>
    <row r="14402" spans="9:10" x14ac:dyDescent="0.3">
      <c r="I14402"/>
      <c r="J14402"/>
    </row>
    <row r="14403" spans="9:10" x14ac:dyDescent="0.3">
      <c r="I14403"/>
      <c r="J14403"/>
    </row>
    <row r="14404" spans="9:10" x14ac:dyDescent="0.3">
      <c r="I14404"/>
      <c r="J14404"/>
    </row>
    <row r="14405" spans="9:10" x14ac:dyDescent="0.3">
      <c r="I14405"/>
      <c r="J14405"/>
    </row>
    <row r="14406" spans="9:10" x14ac:dyDescent="0.3">
      <c r="I14406"/>
      <c r="J14406"/>
    </row>
    <row r="14407" spans="9:10" x14ac:dyDescent="0.3">
      <c r="I14407"/>
      <c r="J14407"/>
    </row>
    <row r="14408" spans="9:10" x14ac:dyDescent="0.3">
      <c r="I14408"/>
      <c r="J14408"/>
    </row>
    <row r="14409" spans="9:10" x14ac:dyDescent="0.3">
      <c r="I14409"/>
      <c r="J14409"/>
    </row>
    <row r="14410" spans="9:10" x14ac:dyDescent="0.3">
      <c r="I14410"/>
      <c r="J14410"/>
    </row>
    <row r="14411" spans="9:10" x14ac:dyDescent="0.3">
      <c r="I14411"/>
      <c r="J14411"/>
    </row>
    <row r="14412" spans="9:10" x14ac:dyDescent="0.3">
      <c r="I14412"/>
      <c r="J14412"/>
    </row>
    <row r="14413" spans="9:10" x14ac:dyDescent="0.3">
      <c r="I14413"/>
      <c r="J14413"/>
    </row>
    <row r="14414" spans="9:10" x14ac:dyDescent="0.3">
      <c r="I14414"/>
      <c r="J14414"/>
    </row>
    <row r="14415" spans="9:10" x14ac:dyDescent="0.3">
      <c r="I14415"/>
      <c r="J14415"/>
    </row>
    <row r="14416" spans="9:10" x14ac:dyDescent="0.3">
      <c r="I14416"/>
      <c r="J14416"/>
    </row>
    <row r="14417" spans="9:10" x14ac:dyDescent="0.3">
      <c r="I14417"/>
      <c r="J14417"/>
    </row>
    <row r="14418" spans="9:10" x14ac:dyDescent="0.3">
      <c r="I14418"/>
      <c r="J14418"/>
    </row>
    <row r="14419" spans="9:10" x14ac:dyDescent="0.3">
      <c r="I14419"/>
      <c r="J14419"/>
    </row>
    <row r="14420" spans="9:10" x14ac:dyDescent="0.3">
      <c r="I14420"/>
      <c r="J14420"/>
    </row>
    <row r="14421" spans="9:10" x14ac:dyDescent="0.3">
      <c r="I14421"/>
      <c r="J14421"/>
    </row>
    <row r="14422" spans="9:10" x14ac:dyDescent="0.3">
      <c r="I14422"/>
      <c r="J14422"/>
    </row>
    <row r="14423" spans="9:10" x14ac:dyDescent="0.3">
      <c r="I14423"/>
      <c r="J14423"/>
    </row>
    <row r="14424" spans="9:10" x14ac:dyDescent="0.3">
      <c r="I14424"/>
      <c r="J14424"/>
    </row>
    <row r="14425" spans="9:10" x14ac:dyDescent="0.3">
      <c r="I14425"/>
      <c r="J14425"/>
    </row>
    <row r="14426" spans="9:10" x14ac:dyDescent="0.3">
      <c r="I14426"/>
      <c r="J14426"/>
    </row>
    <row r="14427" spans="9:10" x14ac:dyDescent="0.3">
      <c r="I14427"/>
      <c r="J14427"/>
    </row>
    <row r="14428" spans="9:10" x14ac:dyDescent="0.3">
      <c r="I14428"/>
      <c r="J14428"/>
    </row>
    <row r="14429" spans="9:10" x14ac:dyDescent="0.3">
      <c r="I14429"/>
      <c r="J14429"/>
    </row>
    <row r="14430" spans="9:10" x14ac:dyDescent="0.3">
      <c r="I14430"/>
      <c r="J14430"/>
    </row>
    <row r="14431" spans="9:10" x14ac:dyDescent="0.3">
      <c r="I14431"/>
      <c r="J14431"/>
    </row>
    <row r="14432" spans="9:10" x14ac:dyDescent="0.3">
      <c r="I14432"/>
      <c r="J14432"/>
    </row>
    <row r="14433" spans="9:10" x14ac:dyDescent="0.3">
      <c r="I14433"/>
      <c r="J14433"/>
    </row>
    <row r="14434" spans="9:10" x14ac:dyDescent="0.3">
      <c r="I14434"/>
      <c r="J14434"/>
    </row>
    <row r="14435" spans="9:10" x14ac:dyDescent="0.3">
      <c r="I14435"/>
      <c r="J14435"/>
    </row>
    <row r="14436" spans="9:10" x14ac:dyDescent="0.3">
      <c r="I14436"/>
      <c r="J14436"/>
    </row>
    <row r="14437" spans="9:10" x14ac:dyDescent="0.3">
      <c r="I14437"/>
      <c r="J14437"/>
    </row>
    <row r="14438" spans="9:10" x14ac:dyDescent="0.3">
      <c r="I14438"/>
      <c r="J14438"/>
    </row>
    <row r="14439" spans="9:10" x14ac:dyDescent="0.3">
      <c r="I14439"/>
      <c r="J14439"/>
    </row>
    <row r="14440" spans="9:10" x14ac:dyDescent="0.3">
      <c r="I14440"/>
      <c r="J14440"/>
    </row>
    <row r="14441" spans="9:10" x14ac:dyDescent="0.3">
      <c r="I14441"/>
      <c r="J14441"/>
    </row>
    <row r="14442" spans="9:10" x14ac:dyDescent="0.3">
      <c r="I14442"/>
      <c r="J14442"/>
    </row>
    <row r="14443" spans="9:10" x14ac:dyDescent="0.3">
      <c r="I14443"/>
      <c r="J14443"/>
    </row>
    <row r="14444" spans="9:10" x14ac:dyDescent="0.3">
      <c r="I14444"/>
      <c r="J14444"/>
    </row>
    <row r="14445" spans="9:10" x14ac:dyDescent="0.3">
      <c r="I14445"/>
      <c r="J14445"/>
    </row>
    <row r="14446" spans="9:10" x14ac:dyDescent="0.3">
      <c r="I14446"/>
      <c r="J14446"/>
    </row>
    <row r="14447" spans="9:10" x14ac:dyDescent="0.3">
      <c r="I14447"/>
      <c r="J14447"/>
    </row>
    <row r="14448" spans="9:10" x14ac:dyDescent="0.3">
      <c r="I14448"/>
      <c r="J14448"/>
    </row>
    <row r="14449" spans="9:10" x14ac:dyDescent="0.3">
      <c r="I14449"/>
      <c r="J14449"/>
    </row>
    <row r="14450" spans="9:10" x14ac:dyDescent="0.3">
      <c r="I14450"/>
      <c r="J14450"/>
    </row>
    <row r="14451" spans="9:10" x14ac:dyDescent="0.3">
      <c r="I14451"/>
      <c r="J14451"/>
    </row>
    <row r="14452" spans="9:10" x14ac:dyDescent="0.3">
      <c r="I14452"/>
      <c r="J14452"/>
    </row>
    <row r="14453" spans="9:10" x14ac:dyDescent="0.3">
      <c r="I14453"/>
      <c r="J14453"/>
    </row>
    <row r="14454" spans="9:10" x14ac:dyDescent="0.3">
      <c r="I14454"/>
      <c r="J14454"/>
    </row>
    <row r="14455" spans="9:10" x14ac:dyDescent="0.3">
      <c r="I14455"/>
      <c r="J14455"/>
    </row>
    <row r="14456" spans="9:10" x14ac:dyDescent="0.3">
      <c r="I14456"/>
      <c r="J14456"/>
    </row>
    <row r="14457" spans="9:10" x14ac:dyDescent="0.3">
      <c r="I14457"/>
      <c r="J14457"/>
    </row>
    <row r="14458" spans="9:10" x14ac:dyDescent="0.3">
      <c r="I14458"/>
      <c r="J14458"/>
    </row>
    <row r="14459" spans="9:10" x14ac:dyDescent="0.3">
      <c r="I14459"/>
      <c r="J14459"/>
    </row>
    <row r="14460" spans="9:10" x14ac:dyDescent="0.3">
      <c r="I14460"/>
      <c r="J14460"/>
    </row>
    <row r="14461" spans="9:10" x14ac:dyDescent="0.3">
      <c r="I14461"/>
      <c r="J14461"/>
    </row>
    <row r="14462" spans="9:10" x14ac:dyDescent="0.3">
      <c r="I14462"/>
      <c r="J14462"/>
    </row>
    <row r="14463" spans="9:10" x14ac:dyDescent="0.3">
      <c r="I14463"/>
      <c r="J14463"/>
    </row>
    <row r="14464" spans="9:10" x14ac:dyDescent="0.3">
      <c r="I14464"/>
      <c r="J14464"/>
    </row>
    <row r="14465" spans="9:10" x14ac:dyDescent="0.3">
      <c r="I14465"/>
      <c r="J14465"/>
    </row>
    <row r="14466" spans="9:10" x14ac:dyDescent="0.3">
      <c r="I14466"/>
      <c r="J14466"/>
    </row>
    <row r="14467" spans="9:10" x14ac:dyDescent="0.3">
      <c r="I14467"/>
      <c r="J14467"/>
    </row>
    <row r="14468" spans="9:10" x14ac:dyDescent="0.3">
      <c r="I14468"/>
      <c r="J14468"/>
    </row>
    <row r="14469" spans="9:10" x14ac:dyDescent="0.3">
      <c r="I14469"/>
      <c r="J14469"/>
    </row>
    <row r="14470" spans="9:10" x14ac:dyDescent="0.3">
      <c r="I14470"/>
      <c r="J14470"/>
    </row>
    <row r="14471" spans="9:10" x14ac:dyDescent="0.3">
      <c r="I14471"/>
      <c r="J14471"/>
    </row>
    <row r="14472" spans="9:10" x14ac:dyDescent="0.3">
      <c r="I14472"/>
      <c r="J14472"/>
    </row>
    <row r="14473" spans="9:10" x14ac:dyDescent="0.3">
      <c r="I14473"/>
      <c r="J14473"/>
    </row>
    <row r="14474" spans="9:10" x14ac:dyDescent="0.3">
      <c r="I14474"/>
      <c r="J14474"/>
    </row>
    <row r="14475" spans="9:10" x14ac:dyDescent="0.3">
      <c r="I14475"/>
      <c r="J14475"/>
    </row>
    <row r="14476" spans="9:10" x14ac:dyDescent="0.3">
      <c r="I14476"/>
      <c r="J14476"/>
    </row>
    <row r="14477" spans="9:10" x14ac:dyDescent="0.3">
      <c r="I14477"/>
      <c r="J14477"/>
    </row>
    <row r="14478" spans="9:10" x14ac:dyDescent="0.3">
      <c r="I14478"/>
      <c r="J14478"/>
    </row>
    <row r="14479" spans="9:10" x14ac:dyDescent="0.3">
      <c r="I14479"/>
      <c r="J14479"/>
    </row>
    <row r="14480" spans="9:10" x14ac:dyDescent="0.3">
      <c r="I14480"/>
      <c r="J14480"/>
    </row>
    <row r="14481" spans="9:10" x14ac:dyDescent="0.3">
      <c r="I14481"/>
      <c r="J14481"/>
    </row>
    <row r="14482" spans="9:10" x14ac:dyDescent="0.3">
      <c r="I14482"/>
      <c r="J14482"/>
    </row>
    <row r="14483" spans="9:10" x14ac:dyDescent="0.3">
      <c r="I14483"/>
      <c r="J14483"/>
    </row>
    <row r="14484" spans="9:10" x14ac:dyDescent="0.3">
      <c r="I14484"/>
      <c r="J14484"/>
    </row>
    <row r="14485" spans="9:10" x14ac:dyDescent="0.3">
      <c r="I14485"/>
      <c r="J14485"/>
    </row>
    <row r="14486" spans="9:10" x14ac:dyDescent="0.3">
      <c r="I14486"/>
      <c r="J14486"/>
    </row>
    <row r="14487" spans="9:10" x14ac:dyDescent="0.3">
      <c r="I14487"/>
      <c r="J14487"/>
    </row>
    <row r="14488" spans="9:10" x14ac:dyDescent="0.3">
      <c r="I14488"/>
      <c r="J14488"/>
    </row>
    <row r="14489" spans="9:10" x14ac:dyDescent="0.3">
      <c r="I14489"/>
      <c r="J14489"/>
    </row>
    <row r="14490" spans="9:10" x14ac:dyDescent="0.3">
      <c r="I14490"/>
      <c r="J14490"/>
    </row>
    <row r="14491" spans="9:10" x14ac:dyDescent="0.3">
      <c r="I14491"/>
      <c r="J14491"/>
    </row>
    <row r="14492" spans="9:10" x14ac:dyDescent="0.3">
      <c r="I14492"/>
      <c r="J14492"/>
    </row>
    <row r="14493" spans="9:10" x14ac:dyDescent="0.3">
      <c r="I14493"/>
      <c r="J14493"/>
    </row>
    <row r="14494" spans="9:10" x14ac:dyDescent="0.3">
      <c r="I14494"/>
      <c r="J14494"/>
    </row>
    <row r="14495" spans="9:10" x14ac:dyDescent="0.3">
      <c r="I14495"/>
      <c r="J14495"/>
    </row>
    <row r="14496" spans="9:10" x14ac:dyDescent="0.3">
      <c r="I14496"/>
      <c r="J14496"/>
    </row>
    <row r="14497" spans="9:10" x14ac:dyDescent="0.3">
      <c r="I14497"/>
      <c r="J14497"/>
    </row>
    <row r="14498" spans="9:10" x14ac:dyDescent="0.3">
      <c r="I14498"/>
      <c r="J14498"/>
    </row>
    <row r="14499" spans="9:10" x14ac:dyDescent="0.3">
      <c r="I14499"/>
      <c r="J14499"/>
    </row>
    <row r="14500" spans="9:10" x14ac:dyDescent="0.3">
      <c r="I14500"/>
      <c r="J14500"/>
    </row>
    <row r="14501" spans="9:10" x14ac:dyDescent="0.3">
      <c r="I14501"/>
      <c r="J14501"/>
    </row>
    <row r="14502" spans="9:10" x14ac:dyDescent="0.3">
      <c r="I14502"/>
      <c r="J14502"/>
    </row>
    <row r="14503" spans="9:10" x14ac:dyDescent="0.3">
      <c r="I14503"/>
      <c r="J14503"/>
    </row>
    <row r="14504" spans="9:10" x14ac:dyDescent="0.3">
      <c r="I14504"/>
      <c r="J14504"/>
    </row>
    <row r="14505" spans="9:10" x14ac:dyDescent="0.3">
      <c r="I14505"/>
      <c r="J14505"/>
    </row>
    <row r="14506" spans="9:10" x14ac:dyDescent="0.3">
      <c r="I14506"/>
      <c r="J14506"/>
    </row>
    <row r="14507" spans="9:10" x14ac:dyDescent="0.3">
      <c r="I14507"/>
      <c r="J14507"/>
    </row>
    <row r="14508" spans="9:10" x14ac:dyDescent="0.3">
      <c r="I14508"/>
      <c r="J14508"/>
    </row>
    <row r="14509" spans="9:10" x14ac:dyDescent="0.3">
      <c r="I14509"/>
      <c r="J14509"/>
    </row>
    <row r="14510" spans="9:10" x14ac:dyDescent="0.3">
      <c r="I14510"/>
      <c r="J14510"/>
    </row>
    <row r="14511" spans="9:10" x14ac:dyDescent="0.3">
      <c r="I14511"/>
      <c r="J14511"/>
    </row>
    <row r="14512" spans="9:10" x14ac:dyDescent="0.3">
      <c r="I14512"/>
      <c r="J14512"/>
    </row>
    <row r="14513" spans="9:10" x14ac:dyDescent="0.3">
      <c r="I14513"/>
      <c r="J14513"/>
    </row>
    <row r="14514" spans="9:10" x14ac:dyDescent="0.3">
      <c r="I14514"/>
      <c r="J14514"/>
    </row>
    <row r="14515" spans="9:10" x14ac:dyDescent="0.3">
      <c r="I14515"/>
      <c r="J14515"/>
    </row>
    <row r="14516" spans="9:10" x14ac:dyDescent="0.3">
      <c r="I14516"/>
      <c r="J14516"/>
    </row>
    <row r="14517" spans="9:10" x14ac:dyDescent="0.3">
      <c r="I14517"/>
      <c r="J14517"/>
    </row>
    <row r="14518" spans="9:10" x14ac:dyDescent="0.3">
      <c r="I14518"/>
      <c r="J14518"/>
    </row>
    <row r="14519" spans="9:10" x14ac:dyDescent="0.3">
      <c r="I14519"/>
      <c r="J14519"/>
    </row>
    <row r="14520" spans="9:10" x14ac:dyDescent="0.3">
      <c r="I14520"/>
      <c r="J14520"/>
    </row>
    <row r="14521" spans="9:10" x14ac:dyDescent="0.3">
      <c r="I14521"/>
      <c r="J14521"/>
    </row>
    <row r="14522" spans="9:10" x14ac:dyDescent="0.3">
      <c r="I14522"/>
      <c r="J14522"/>
    </row>
    <row r="14523" spans="9:10" x14ac:dyDescent="0.3">
      <c r="I14523"/>
      <c r="J14523"/>
    </row>
    <row r="14524" spans="9:10" x14ac:dyDescent="0.3">
      <c r="I14524"/>
      <c r="J14524"/>
    </row>
    <row r="14525" spans="9:10" x14ac:dyDescent="0.3">
      <c r="I14525"/>
      <c r="J14525"/>
    </row>
    <row r="14526" spans="9:10" x14ac:dyDescent="0.3">
      <c r="I14526"/>
      <c r="J14526"/>
    </row>
    <row r="14527" spans="9:10" x14ac:dyDescent="0.3">
      <c r="I14527"/>
      <c r="J14527"/>
    </row>
    <row r="14528" spans="9:10" x14ac:dyDescent="0.3">
      <c r="I14528"/>
      <c r="J14528"/>
    </row>
    <row r="14529" spans="9:10" x14ac:dyDescent="0.3">
      <c r="I14529"/>
      <c r="J14529"/>
    </row>
    <row r="14530" spans="9:10" x14ac:dyDescent="0.3">
      <c r="I14530"/>
      <c r="J14530"/>
    </row>
    <row r="14531" spans="9:10" x14ac:dyDescent="0.3">
      <c r="I14531"/>
      <c r="J14531"/>
    </row>
    <row r="14532" spans="9:10" x14ac:dyDescent="0.3">
      <c r="I14532"/>
      <c r="J14532"/>
    </row>
    <row r="14533" spans="9:10" x14ac:dyDescent="0.3">
      <c r="I14533"/>
      <c r="J14533"/>
    </row>
    <row r="14534" spans="9:10" x14ac:dyDescent="0.3">
      <c r="I14534"/>
      <c r="J14534"/>
    </row>
    <row r="14535" spans="9:10" x14ac:dyDescent="0.3">
      <c r="I14535"/>
      <c r="J14535"/>
    </row>
    <row r="14536" spans="9:10" x14ac:dyDescent="0.3">
      <c r="I14536"/>
      <c r="J14536"/>
    </row>
    <row r="14537" spans="9:10" x14ac:dyDescent="0.3">
      <c r="I14537"/>
      <c r="J14537"/>
    </row>
    <row r="14538" spans="9:10" x14ac:dyDescent="0.3">
      <c r="I14538"/>
      <c r="J14538"/>
    </row>
    <row r="14539" spans="9:10" x14ac:dyDescent="0.3">
      <c r="I14539"/>
      <c r="J14539"/>
    </row>
    <row r="14540" spans="9:10" x14ac:dyDescent="0.3">
      <c r="I14540"/>
      <c r="J14540"/>
    </row>
    <row r="14541" spans="9:10" x14ac:dyDescent="0.3">
      <c r="I14541"/>
      <c r="J14541"/>
    </row>
    <row r="14542" spans="9:10" x14ac:dyDescent="0.3">
      <c r="I14542"/>
      <c r="J14542"/>
    </row>
    <row r="14543" spans="9:10" x14ac:dyDescent="0.3">
      <c r="I14543"/>
      <c r="J14543"/>
    </row>
    <row r="14544" spans="9:10" x14ac:dyDescent="0.3">
      <c r="I14544"/>
      <c r="J14544"/>
    </row>
    <row r="14545" spans="9:10" x14ac:dyDescent="0.3">
      <c r="I14545"/>
      <c r="J14545"/>
    </row>
    <row r="14546" spans="9:10" x14ac:dyDescent="0.3">
      <c r="I14546"/>
      <c r="J14546"/>
    </row>
    <row r="14547" spans="9:10" x14ac:dyDescent="0.3">
      <c r="I14547"/>
      <c r="J14547"/>
    </row>
    <row r="14548" spans="9:10" x14ac:dyDescent="0.3">
      <c r="I14548"/>
      <c r="J14548"/>
    </row>
    <row r="14549" spans="9:10" x14ac:dyDescent="0.3">
      <c r="I14549"/>
      <c r="J14549"/>
    </row>
    <row r="14550" spans="9:10" x14ac:dyDescent="0.3">
      <c r="I14550"/>
      <c r="J14550"/>
    </row>
    <row r="14551" spans="9:10" x14ac:dyDescent="0.3">
      <c r="I14551"/>
      <c r="J14551"/>
    </row>
    <row r="14552" spans="9:10" x14ac:dyDescent="0.3">
      <c r="I14552"/>
      <c r="J14552"/>
    </row>
    <row r="14553" spans="9:10" x14ac:dyDescent="0.3">
      <c r="I14553"/>
      <c r="J14553"/>
    </row>
    <row r="14554" spans="9:10" x14ac:dyDescent="0.3">
      <c r="I14554"/>
      <c r="J14554"/>
    </row>
    <row r="14555" spans="9:10" x14ac:dyDescent="0.3">
      <c r="I14555"/>
      <c r="J14555"/>
    </row>
    <row r="14556" spans="9:10" x14ac:dyDescent="0.3">
      <c r="I14556"/>
      <c r="J14556"/>
    </row>
    <row r="14557" spans="9:10" x14ac:dyDescent="0.3">
      <c r="I14557"/>
      <c r="J14557"/>
    </row>
    <row r="14558" spans="9:10" x14ac:dyDescent="0.3">
      <c r="I14558"/>
      <c r="J14558"/>
    </row>
    <row r="14559" spans="9:10" x14ac:dyDescent="0.3">
      <c r="I14559"/>
      <c r="J14559"/>
    </row>
    <row r="14560" spans="9:10" x14ac:dyDescent="0.3">
      <c r="I14560"/>
      <c r="J14560"/>
    </row>
    <row r="14561" spans="9:10" x14ac:dyDescent="0.3">
      <c r="I14561"/>
      <c r="J14561"/>
    </row>
    <row r="14562" spans="9:10" x14ac:dyDescent="0.3">
      <c r="I14562"/>
      <c r="J14562"/>
    </row>
    <row r="14563" spans="9:10" x14ac:dyDescent="0.3">
      <c r="I14563"/>
      <c r="J14563"/>
    </row>
    <row r="14564" spans="9:10" x14ac:dyDescent="0.3">
      <c r="I14564"/>
      <c r="J14564"/>
    </row>
    <row r="14565" spans="9:10" x14ac:dyDescent="0.3">
      <c r="I14565"/>
      <c r="J14565"/>
    </row>
    <row r="14566" spans="9:10" x14ac:dyDescent="0.3">
      <c r="I14566"/>
      <c r="J14566"/>
    </row>
    <row r="14567" spans="9:10" x14ac:dyDescent="0.3">
      <c r="I14567"/>
      <c r="J14567"/>
    </row>
    <row r="14568" spans="9:10" x14ac:dyDescent="0.3">
      <c r="I14568"/>
      <c r="J14568"/>
    </row>
    <row r="14569" spans="9:10" x14ac:dyDescent="0.3">
      <c r="I14569"/>
      <c r="J14569"/>
    </row>
    <row r="14570" spans="9:10" x14ac:dyDescent="0.3">
      <c r="I14570"/>
      <c r="J14570"/>
    </row>
    <row r="14571" spans="9:10" x14ac:dyDescent="0.3">
      <c r="I14571"/>
      <c r="J14571"/>
    </row>
    <row r="14572" spans="9:10" x14ac:dyDescent="0.3">
      <c r="I14572"/>
      <c r="J14572"/>
    </row>
    <row r="14573" spans="9:10" x14ac:dyDescent="0.3">
      <c r="I14573"/>
      <c r="J14573"/>
    </row>
    <row r="14574" spans="9:10" x14ac:dyDescent="0.3">
      <c r="I14574"/>
      <c r="J14574"/>
    </row>
    <row r="14575" spans="9:10" x14ac:dyDescent="0.3">
      <c r="I14575"/>
      <c r="J14575"/>
    </row>
    <row r="14576" spans="9:10" x14ac:dyDescent="0.3">
      <c r="I14576"/>
      <c r="J14576"/>
    </row>
    <row r="14577" spans="9:10" x14ac:dyDescent="0.3">
      <c r="I14577"/>
      <c r="J14577"/>
    </row>
    <row r="14578" spans="9:10" x14ac:dyDescent="0.3">
      <c r="I14578"/>
      <c r="J14578"/>
    </row>
    <row r="14579" spans="9:10" x14ac:dyDescent="0.3">
      <c r="I14579"/>
      <c r="J14579"/>
    </row>
    <row r="14580" spans="9:10" x14ac:dyDescent="0.3">
      <c r="I14580"/>
      <c r="J14580"/>
    </row>
    <row r="14581" spans="9:10" x14ac:dyDescent="0.3">
      <c r="I14581"/>
      <c r="J14581"/>
    </row>
    <row r="14582" spans="9:10" x14ac:dyDescent="0.3">
      <c r="I14582"/>
      <c r="J14582"/>
    </row>
    <row r="14583" spans="9:10" x14ac:dyDescent="0.3">
      <c r="I14583"/>
      <c r="J14583"/>
    </row>
    <row r="14584" spans="9:10" x14ac:dyDescent="0.3">
      <c r="I14584"/>
      <c r="J14584"/>
    </row>
    <row r="14585" spans="9:10" x14ac:dyDescent="0.3">
      <c r="I14585"/>
      <c r="J14585"/>
    </row>
    <row r="14586" spans="9:10" x14ac:dyDescent="0.3">
      <c r="I14586"/>
      <c r="J14586"/>
    </row>
    <row r="14587" spans="9:10" x14ac:dyDescent="0.3">
      <c r="I14587"/>
      <c r="J14587"/>
    </row>
    <row r="14588" spans="9:10" x14ac:dyDescent="0.3">
      <c r="I14588"/>
      <c r="J14588"/>
    </row>
    <row r="14589" spans="9:10" x14ac:dyDescent="0.3">
      <c r="I14589"/>
      <c r="J14589"/>
    </row>
    <row r="14590" spans="9:10" x14ac:dyDescent="0.3">
      <c r="I14590"/>
      <c r="J14590"/>
    </row>
    <row r="14591" spans="9:10" x14ac:dyDescent="0.3">
      <c r="I14591"/>
      <c r="J14591"/>
    </row>
    <row r="14592" spans="9:10" x14ac:dyDescent="0.3">
      <c r="I14592"/>
      <c r="J14592"/>
    </row>
    <row r="14593" spans="9:10" x14ac:dyDescent="0.3">
      <c r="I14593"/>
      <c r="J14593"/>
    </row>
    <row r="14594" spans="9:10" x14ac:dyDescent="0.3">
      <c r="I14594"/>
      <c r="J14594"/>
    </row>
    <row r="14595" spans="9:10" x14ac:dyDescent="0.3">
      <c r="I14595"/>
      <c r="J14595"/>
    </row>
    <row r="14596" spans="9:10" x14ac:dyDescent="0.3">
      <c r="I14596"/>
      <c r="J14596"/>
    </row>
    <row r="14597" spans="9:10" x14ac:dyDescent="0.3">
      <c r="I14597"/>
      <c r="J14597"/>
    </row>
    <row r="14598" spans="9:10" x14ac:dyDescent="0.3">
      <c r="I14598"/>
      <c r="J14598"/>
    </row>
    <row r="14599" spans="9:10" x14ac:dyDescent="0.3">
      <c r="I14599"/>
      <c r="J14599"/>
    </row>
    <row r="14600" spans="9:10" x14ac:dyDescent="0.3">
      <c r="I14600"/>
      <c r="J14600"/>
    </row>
    <row r="14601" spans="9:10" x14ac:dyDescent="0.3">
      <c r="I14601"/>
      <c r="J14601"/>
    </row>
    <row r="14602" spans="9:10" x14ac:dyDescent="0.3">
      <c r="I14602"/>
      <c r="J14602"/>
    </row>
    <row r="14603" spans="9:10" x14ac:dyDescent="0.3">
      <c r="I14603"/>
      <c r="J14603"/>
    </row>
    <row r="14604" spans="9:10" x14ac:dyDescent="0.3">
      <c r="I14604"/>
      <c r="J14604"/>
    </row>
    <row r="14605" spans="9:10" x14ac:dyDescent="0.3">
      <c r="I14605"/>
      <c r="J14605"/>
    </row>
    <row r="14606" spans="9:10" x14ac:dyDescent="0.3">
      <c r="I14606"/>
      <c r="J14606"/>
    </row>
    <row r="14607" spans="9:10" x14ac:dyDescent="0.3">
      <c r="I14607"/>
      <c r="J14607"/>
    </row>
    <row r="14608" spans="9:10" x14ac:dyDescent="0.3">
      <c r="I14608"/>
      <c r="J14608"/>
    </row>
    <row r="14609" spans="9:10" x14ac:dyDescent="0.3">
      <c r="I14609"/>
      <c r="J14609"/>
    </row>
    <row r="14610" spans="9:10" x14ac:dyDescent="0.3">
      <c r="I14610"/>
      <c r="J14610"/>
    </row>
    <row r="14611" spans="9:10" x14ac:dyDescent="0.3">
      <c r="I14611"/>
      <c r="J14611"/>
    </row>
    <row r="14612" spans="9:10" x14ac:dyDescent="0.3">
      <c r="I14612"/>
      <c r="J14612"/>
    </row>
    <row r="14613" spans="9:10" x14ac:dyDescent="0.3">
      <c r="I14613"/>
      <c r="J14613"/>
    </row>
    <row r="14614" spans="9:10" x14ac:dyDescent="0.3">
      <c r="I14614"/>
      <c r="J14614"/>
    </row>
    <row r="14615" spans="9:10" x14ac:dyDescent="0.3">
      <c r="I14615"/>
      <c r="J14615"/>
    </row>
    <row r="14616" spans="9:10" x14ac:dyDescent="0.3">
      <c r="I14616"/>
      <c r="J14616"/>
    </row>
    <row r="14617" spans="9:10" x14ac:dyDescent="0.3">
      <c r="I14617"/>
      <c r="J14617"/>
    </row>
    <row r="14618" spans="9:10" x14ac:dyDescent="0.3">
      <c r="I14618"/>
      <c r="J14618"/>
    </row>
    <row r="14619" spans="9:10" x14ac:dyDescent="0.3">
      <c r="I14619"/>
      <c r="J14619"/>
    </row>
    <row r="14620" spans="9:10" x14ac:dyDescent="0.3">
      <c r="I14620"/>
      <c r="J14620"/>
    </row>
    <row r="14621" spans="9:10" x14ac:dyDescent="0.3">
      <c r="I14621"/>
      <c r="J14621"/>
    </row>
    <row r="14622" spans="9:10" x14ac:dyDescent="0.3">
      <c r="I14622"/>
      <c r="J14622"/>
    </row>
    <row r="14623" spans="9:10" x14ac:dyDescent="0.3">
      <c r="I14623"/>
      <c r="J14623"/>
    </row>
    <row r="14624" spans="9:10" x14ac:dyDescent="0.3">
      <c r="I14624"/>
      <c r="J14624"/>
    </row>
    <row r="14625" spans="9:10" x14ac:dyDescent="0.3">
      <c r="I14625"/>
      <c r="J14625"/>
    </row>
    <row r="14626" spans="9:10" x14ac:dyDescent="0.3">
      <c r="I14626"/>
      <c r="J14626"/>
    </row>
    <row r="14627" spans="9:10" x14ac:dyDescent="0.3">
      <c r="I14627"/>
      <c r="J14627"/>
    </row>
    <row r="14628" spans="9:10" x14ac:dyDescent="0.3">
      <c r="I14628"/>
      <c r="J14628"/>
    </row>
    <row r="14629" spans="9:10" x14ac:dyDescent="0.3">
      <c r="I14629"/>
      <c r="J14629"/>
    </row>
    <row r="14630" spans="9:10" x14ac:dyDescent="0.3">
      <c r="I14630"/>
      <c r="J14630"/>
    </row>
    <row r="14631" spans="9:10" x14ac:dyDescent="0.3">
      <c r="I14631"/>
      <c r="J14631"/>
    </row>
    <row r="14632" spans="9:10" x14ac:dyDescent="0.3">
      <c r="I14632"/>
      <c r="J14632"/>
    </row>
    <row r="14633" spans="9:10" x14ac:dyDescent="0.3">
      <c r="I14633"/>
      <c r="J14633"/>
    </row>
    <row r="14634" spans="9:10" x14ac:dyDescent="0.3">
      <c r="I14634"/>
      <c r="J14634"/>
    </row>
    <row r="14635" spans="9:10" x14ac:dyDescent="0.3">
      <c r="I14635"/>
      <c r="J14635"/>
    </row>
    <row r="14636" spans="9:10" x14ac:dyDescent="0.3">
      <c r="I14636"/>
      <c r="J14636"/>
    </row>
    <row r="14637" spans="9:10" x14ac:dyDescent="0.3">
      <c r="I14637"/>
      <c r="J14637"/>
    </row>
    <row r="14638" spans="9:10" x14ac:dyDescent="0.3">
      <c r="I14638"/>
      <c r="J14638"/>
    </row>
    <row r="14639" spans="9:10" x14ac:dyDescent="0.3">
      <c r="I14639"/>
      <c r="J14639"/>
    </row>
    <row r="14640" spans="9:10" x14ac:dyDescent="0.3">
      <c r="I14640"/>
      <c r="J14640"/>
    </row>
    <row r="14641" spans="9:10" x14ac:dyDescent="0.3">
      <c r="I14641"/>
      <c r="J14641"/>
    </row>
    <row r="14642" spans="9:10" x14ac:dyDescent="0.3">
      <c r="I14642"/>
      <c r="J14642"/>
    </row>
    <row r="14643" spans="9:10" x14ac:dyDescent="0.3">
      <c r="I14643"/>
      <c r="J14643"/>
    </row>
    <row r="14644" spans="9:10" x14ac:dyDescent="0.3">
      <c r="I14644"/>
      <c r="J14644"/>
    </row>
    <row r="14645" spans="9:10" x14ac:dyDescent="0.3">
      <c r="I14645"/>
      <c r="J14645"/>
    </row>
    <row r="14646" spans="9:10" x14ac:dyDescent="0.3">
      <c r="I14646"/>
      <c r="J14646"/>
    </row>
    <row r="14647" spans="9:10" x14ac:dyDescent="0.3">
      <c r="I14647"/>
      <c r="J14647"/>
    </row>
    <row r="14648" spans="9:10" x14ac:dyDescent="0.3">
      <c r="I14648"/>
      <c r="J14648"/>
    </row>
    <row r="14649" spans="9:10" x14ac:dyDescent="0.3">
      <c r="I14649"/>
      <c r="J14649"/>
    </row>
    <row r="14650" spans="9:10" x14ac:dyDescent="0.3">
      <c r="I14650"/>
      <c r="J14650"/>
    </row>
    <row r="14651" spans="9:10" x14ac:dyDescent="0.3">
      <c r="I14651"/>
      <c r="J14651"/>
    </row>
    <row r="14652" spans="9:10" x14ac:dyDescent="0.3">
      <c r="I14652"/>
      <c r="J14652"/>
    </row>
    <row r="14653" spans="9:10" x14ac:dyDescent="0.3">
      <c r="I14653"/>
      <c r="J14653"/>
    </row>
    <row r="14654" spans="9:10" x14ac:dyDescent="0.3">
      <c r="I14654"/>
      <c r="J14654"/>
    </row>
    <row r="14655" spans="9:10" x14ac:dyDescent="0.3">
      <c r="I14655"/>
      <c r="J14655"/>
    </row>
    <row r="14656" spans="9:10" x14ac:dyDescent="0.3">
      <c r="I14656"/>
      <c r="J14656"/>
    </row>
    <row r="14657" spans="9:10" x14ac:dyDescent="0.3">
      <c r="I14657"/>
      <c r="J14657"/>
    </row>
    <row r="14658" spans="9:10" x14ac:dyDescent="0.3">
      <c r="I14658"/>
      <c r="J14658"/>
    </row>
    <row r="14659" spans="9:10" x14ac:dyDescent="0.3">
      <c r="I14659"/>
      <c r="J14659"/>
    </row>
    <row r="14660" spans="9:10" x14ac:dyDescent="0.3">
      <c r="I14660"/>
      <c r="J14660"/>
    </row>
    <row r="14661" spans="9:10" x14ac:dyDescent="0.3">
      <c r="I14661"/>
      <c r="J14661"/>
    </row>
    <row r="14662" spans="9:10" x14ac:dyDescent="0.3">
      <c r="I14662"/>
      <c r="J14662"/>
    </row>
    <row r="14663" spans="9:10" x14ac:dyDescent="0.3">
      <c r="I14663"/>
      <c r="J14663"/>
    </row>
    <row r="14664" spans="9:10" x14ac:dyDescent="0.3">
      <c r="I14664"/>
      <c r="J14664"/>
    </row>
    <row r="14665" spans="9:10" x14ac:dyDescent="0.3">
      <c r="I14665"/>
      <c r="J14665"/>
    </row>
    <row r="14666" spans="9:10" x14ac:dyDescent="0.3">
      <c r="I14666"/>
      <c r="J14666"/>
    </row>
    <row r="14667" spans="9:10" x14ac:dyDescent="0.3">
      <c r="I14667"/>
      <c r="J14667"/>
    </row>
    <row r="14668" spans="9:10" x14ac:dyDescent="0.3">
      <c r="I14668"/>
      <c r="J14668"/>
    </row>
    <row r="14669" spans="9:10" x14ac:dyDescent="0.3">
      <c r="I14669"/>
      <c r="J14669"/>
    </row>
    <row r="14670" spans="9:10" x14ac:dyDescent="0.3">
      <c r="I14670"/>
      <c r="J14670"/>
    </row>
    <row r="14671" spans="9:10" x14ac:dyDescent="0.3">
      <c r="I14671"/>
      <c r="J14671"/>
    </row>
    <row r="14672" spans="9:10" x14ac:dyDescent="0.3">
      <c r="I14672"/>
      <c r="J14672"/>
    </row>
    <row r="14673" spans="9:10" x14ac:dyDescent="0.3">
      <c r="I14673"/>
      <c r="J14673"/>
    </row>
    <row r="14674" spans="9:10" x14ac:dyDescent="0.3">
      <c r="I14674"/>
      <c r="J14674"/>
    </row>
    <row r="14675" spans="9:10" x14ac:dyDescent="0.3">
      <c r="I14675"/>
      <c r="J14675"/>
    </row>
    <row r="14676" spans="9:10" x14ac:dyDescent="0.3">
      <c r="I14676"/>
      <c r="J14676"/>
    </row>
    <row r="14677" spans="9:10" x14ac:dyDescent="0.3">
      <c r="I14677"/>
      <c r="J14677"/>
    </row>
    <row r="14678" spans="9:10" x14ac:dyDescent="0.3">
      <c r="I14678"/>
      <c r="J14678"/>
    </row>
    <row r="14679" spans="9:10" x14ac:dyDescent="0.3">
      <c r="I14679"/>
      <c r="J14679"/>
    </row>
    <row r="14680" spans="9:10" x14ac:dyDescent="0.3">
      <c r="I14680"/>
      <c r="J14680"/>
    </row>
    <row r="14681" spans="9:10" x14ac:dyDescent="0.3">
      <c r="I14681"/>
      <c r="J14681"/>
    </row>
    <row r="14682" spans="9:10" x14ac:dyDescent="0.3">
      <c r="I14682"/>
      <c r="J14682"/>
    </row>
    <row r="14683" spans="9:10" x14ac:dyDescent="0.3">
      <c r="I14683"/>
      <c r="J14683"/>
    </row>
    <row r="14684" spans="9:10" x14ac:dyDescent="0.3">
      <c r="I14684"/>
      <c r="J14684"/>
    </row>
    <row r="14685" spans="9:10" x14ac:dyDescent="0.3">
      <c r="I14685"/>
      <c r="J14685"/>
    </row>
    <row r="14686" spans="9:10" x14ac:dyDescent="0.3">
      <c r="I14686"/>
      <c r="J14686"/>
    </row>
    <row r="14687" spans="9:10" x14ac:dyDescent="0.3">
      <c r="I14687"/>
      <c r="J14687"/>
    </row>
    <row r="14688" spans="9:10" x14ac:dyDescent="0.3">
      <c r="I14688"/>
      <c r="J14688"/>
    </row>
    <row r="14689" spans="9:10" x14ac:dyDescent="0.3">
      <c r="I14689"/>
      <c r="J14689"/>
    </row>
    <row r="14690" spans="9:10" x14ac:dyDescent="0.3">
      <c r="I14690"/>
      <c r="J14690"/>
    </row>
    <row r="14691" spans="9:10" x14ac:dyDescent="0.3">
      <c r="I14691"/>
      <c r="J14691"/>
    </row>
    <row r="14692" spans="9:10" x14ac:dyDescent="0.3">
      <c r="I14692"/>
      <c r="J14692"/>
    </row>
    <row r="14693" spans="9:10" x14ac:dyDescent="0.3">
      <c r="I14693"/>
      <c r="J14693"/>
    </row>
    <row r="14694" spans="9:10" x14ac:dyDescent="0.3">
      <c r="I14694"/>
      <c r="J14694"/>
    </row>
    <row r="14695" spans="9:10" x14ac:dyDescent="0.3">
      <c r="I14695"/>
      <c r="J14695"/>
    </row>
    <row r="14696" spans="9:10" x14ac:dyDescent="0.3">
      <c r="I14696"/>
      <c r="J14696"/>
    </row>
    <row r="14697" spans="9:10" x14ac:dyDescent="0.3">
      <c r="I14697"/>
      <c r="J14697"/>
    </row>
    <row r="14698" spans="9:10" x14ac:dyDescent="0.3">
      <c r="I14698"/>
      <c r="J14698"/>
    </row>
    <row r="14699" spans="9:10" x14ac:dyDescent="0.3">
      <c r="I14699"/>
      <c r="J14699"/>
    </row>
    <row r="14700" spans="9:10" x14ac:dyDescent="0.3">
      <c r="I14700"/>
      <c r="J14700"/>
    </row>
    <row r="14701" spans="9:10" x14ac:dyDescent="0.3">
      <c r="I14701"/>
      <c r="J14701"/>
    </row>
    <row r="14702" spans="9:10" x14ac:dyDescent="0.3">
      <c r="I14702"/>
      <c r="J14702"/>
    </row>
    <row r="14703" spans="9:10" x14ac:dyDescent="0.3">
      <c r="I14703"/>
      <c r="J14703"/>
    </row>
    <row r="14704" spans="9:10" x14ac:dyDescent="0.3">
      <c r="I14704"/>
      <c r="J14704"/>
    </row>
    <row r="14705" spans="9:10" x14ac:dyDescent="0.3">
      <c r="I14705"/>
      <c r="J14705"/>
    </row>
    <row r="14706" spans="9:10" x14ac:dyDescent="0.3">
      <c r="I14706"/>
      <c r="J14706"/>
    </row>
    <row r="14707" spans="9:10" x14ac:dyDescent="0.3">
      <c r="I14707"/>
      <c r="J14707"/>
    </row>
    <row r="14708" spans="9:10" x14ac:dyDescent="0.3">
      <c r="I14708"/>
      <c r="J14708"/>
    </row>
    <row r="14709" spans="9:10" x14ac:dyDescent="0.3">
      <c r="I14709"/>
      <c r="J14709"/>
    </row>
    <row r="14710" spans="9:10" x14ac:dyDescent="0.3">
      <c r="I14710"/>
      <c r="J14710"/>
    </row>
    <row r="14711" spans="9:10" x14ac:dyDescent="0.3">
      <c r="I14711"/>
      <c r="J14711"/>
    </row>
    <row r="14712" spans="9:10" x14ac:dyDescent="0.3">
      <c r="I14712"/>
      <c r="J14712"/>
    </row>
    <row r="14713" spans="9:10" x14ac:dyDescent="0.3">
      <c r="I14713"/>
      <c r="J14713"/>
    </row>
    <row r="14714" spans="9:10" x14ac:dyDescent="0.3">
      <c r="I14714"/>
      <c r="J14714"/>
    </row>
    <row r="14715" spans="9:10" x14ac:dyDescent="0.3">
      <c r="I14715"/>
      <c r="J14715"/>
    </row>
    <row r="14716" spans="9:10" x14ac:dyDescent="0.3">
      <c r="I14716"/>
      <c r="J14716"/>
    </row>
    <row r="14717" spans="9:10" x14ac:dyDescent="0.3">
      <c r="I14717"/>
      <c r="J14717"/>
    </row>
    <row r="14718" spans="9:10" x14ac:dyDescent="0.3">
      <c r="I14718"/>
      <c r="J14718"/>
    </row>
    <row r="14719" spans="9:10" x14ac:dyDescent="0.3">
      <c r="I14719"/>
      <c r="J14719"/>
    </row>
    <row r="14720" spans="9:10" x14ac:dyDescent="0.3">
      <c r="I14720"/>
      <c r="J14720"/>
    </row>
    <row r="14721" spans="9:10" x14ac:dyDescent="0.3">
      <c r="I14721"/>
      <c r="J14721"/>
    </row>
    <row r="14722" spans="9:10" x14ac:dyDescent="0.3">
      <c r="I14722"/>
      <c r="J14722"/>
    </row>
    <row r="14723" spans="9:10" x14ac:dyDescent="0.3">
      <c r="I14723"/>
      <c r="J14723"/>
    </row>
    <row r="14724" spans="9:10" x14ac:dyDescent="0.3">
      <c r="I14724"/>
      <c r="J14724"/>
    </row>
    <row r="14725" spans="9:10" x14ac:dyDescent="0.3">
      <c r="I14725"/>
      <c r="J14725"/>
    </row>
    <row r="14726" spans="9:10" x14ac:dyDescent="0.3">
      <c r="I14726"/>
      <c r="J14726"/>
    </row>
    <row r="14727" spans="9:10" x14ac:dyDescent="0.3">
      <c r="I14727"/>
      <c r="J14727"/>
    </row>
    <row r="14728" spans="9:10" x14ac:dyDescent="0.3">
      <c r="I14728"/>
      <c r="J14728"/>
    </row>
    <row r="14729" spans="9:10" x14ac:dyDescent="0.3">
      <c r="I14729"/>
      <c r="J14729"/>
    </row>
    <row r="14730" spans="9:10" x14ac:dyDescent="0.3">
      <c r="I14730"/>
      <c r="J14730"/>
    </row>
    <row r="14731" spans="9:10" x14ac:dyDescent="0.3">
      <c r="I14731"/>
      <c r="J14731"/>
    </row>
    <row r="14732" spans="9:10" x14ac:dyDescent="0.3">
      <c r="I14732"/>
      <c r="J14732"/>
    </row>
    <row r="14733" spans="9:10" x14ac:dyDescent="0.3">
      <c r="I14733"/>
      <c r="J14733"/>
    </row>
    <row r="14734" spans="9:10" x14ac:dyDescent="0.3">
      <c r="I14734"/>
      <c r="J14734"/>
    </row>
    <row r="14735" spans="9:10" x14ac:dyDescent="0.3">
      <c r="I14735"/>
      <c r="J14735"/>
    </row>
    <row r="14736" spans="9:10" x14ac:dyDescent="0.3">
      <c r="I14736"/>
      <c r="J14736"/>
    </row>
    <row r="14737" spans="9:10" x14ac:dyDescent="0.3">
      <c r="I14737"/>
      <c r="J14737"/>
    </row>
    <row r="14738" spans="9:10" x14ac:dyDescent="0.3">
      <c r="I14738"/>
      <c r="J14738"/>
    </row>
    <row r="14739" spans="9:10" x14ac:dyDescent="0.3">
      <c r="I14739"/>
      <c r="J14739"/>
    </row>
    <row r="14740" spans="9:10" x14ac:dyDescent="0.3">
      <c r="I14740"/>
      <c r="J14740"/>
    </row>
    <row r="14741" spans="9:10" x14ac:dyDescent="0.3">
      <c r="I14741"/>
      <c r="J14741"/>
    </row>
    <row r="14742" spans="9:10" x14ac:dyDescent="0.3">
      <c r="I14742"/>
      <c r="J14742"/>
    </row>
    <row r="14743" spans="9:10" x14ac:dyDescent="0.3">
      <c r="I14743"/>
      <c r="J14743"/>
    </row>
    <row r="14744" spans="9:10" x14ac:dyDescent="0.3">
      <c r="I14744"/>
      <c r="J14744"/>
    </row>
    <row r="14745" spans="9:10" x14ac:dyDescent="0.3">
      <c r="I14745"/>
      <c r="J14745"/>
    </row>
    <row r="14746" spans="9:10" x14ac:dyDescent="0.3">
      <c r="I14746"/>
      <c r="J14746"/>
    </row>
    <row r="14747" spans="9:10" x14ac:dyDescent="0.3">
      <c r="I14747"/>
      <c r="J14747"/>
    </row>
    <row r="14748" spans="9:10" x14ac:dyDescent="0.3">
      <c r="I14748"/>
      <c r="J14748"/>
    </row>
    <row r="14749" spans="9:10" x14ac:dyDescent="0.3">
      <c r="I14749"/>
      <c r="J14749"/>
    </row>
    <row r="14750" spans="9:10" x14ac:dyDescent="0.3">
      <c r="I14750"/>
      <c r="J14750"/>
    </row>
    <row r="14751" spans="9:10" x14ac:dyDescent="0.3">
      <c r="I14751"/>
      <c r="J14751"/>
    </row>
    <row r="14752" spans="9:10" x14ac:dyDescent="0.3">
      <c r="I14752"/>
      <c r="J14752"/>
    </row>
    <row r="14753" spans="9:10" x14ac:dyDescent="0.3">
      <c r="I14753"/>
      <c r="J14753"/>
    </row>
    <row r="14754" spans="9:10" x14ac:dyDescent="0.3">
      <c r="I14754"/>
      <c r="J14754"/>
    </row>
    <row r="14755" spans="9:10" x14ac:dyDescent="0.3">
      <c r="I14755"/>
      <c r="J14755"/>
    </row>
    <row r="14756" spans="9:10" x14ac:dyDescent="0.3">
      <c r="I14756"/>
      <c r="J14756"/>
    </row>
    <row r="14757" spans="9:10" x14ac:dyDescent="0.3">
      <c r="I14757"/>
      <c r="J14757"/>
    </row>
    <row r="14758" spans="9:10" x14ac:dyDescent="0.3">
      <c r="I14758"/>
      <c r="J14758"/>
    </row>
    <row r="14759" spans="9:10" x14ac:dyDescent="0.3">
      <c r="I14759"/>
      <c r="J14759"/>
    </row>
    <row r="14760" spans="9:10" x14ac:dyDescent="0.3">
      <c r="I14760"/>
      <c r="J14760"/>
    </row>
    <row r="14761" spans="9:10" x14ac:dyDescent="0.3">
      <c r="I14761"/>
      <c r="J14761"/>
    </row>
    <row r="14762" spans="9:10" x14ac:dyDescent="0.3">
      <c r="I14762"/>
      <c r="J14762"/>
    </row>
    <row r="14763" spans="9:10" x14ac:dyDescent="0.3">
      <c r="I14763"/>
      <c r="J14763"/>
    </row>
    <row r="14764" spans="9:10" x14ac:dyDescent="0.3">
      <c r="I14764"/>
      <c r="J14764"/>
    </row>
    <row r="14765" spans="9:10" x14ac:dyDescent="0.3">
      <c r="I14765"/>
      <c r="J14765"/>
    </row>
    <row r="14766" spans="9:10" x14ac:dyDescent="0.3">
      <c r="I14766"/>
      <c r="J14766"/>
    </row>
    <row r="14767" spans="9:10" x14ac:dyDescent="0.3">
      <c r="I14767"/>
      <c r="J14767"/>
    </row>
    <row r="14768" spans="9:10" x14ac:dyDescent="0.3">
      <c r="I14768"/>
      <c r="J14768"/>
    </row>
    <row r="14769" spans="9:10" x14ac:dyDescent="0.3">
      <c r="I14769"/>
      <c r="J14769"/>
    </row>
    <row r="14770" spans="9:10" x14ac:dyDescent="0.3">
      <c r="I14770"/>
      <c r="J14770"/>
    </row>
    <row r="14771" spans="9:10" x14ac:dyDescent="0.3">
      <c r="I14771"/>
      <c r="J14771"/>
    </row>
    <row r="14772" spans="9:10" x14ac:dyDescent="0.3">
      <c r="I14772"/>
      <c r="J14772"/>
    </row>
    <row r="14773" spans="9:10" x14ac:dyDescent="0.3">
      <c r="I14773"/>
      <c r="J14773"/>
    </row>
    <row r="14774" spans="9:10" x14ac:dyDescent="0.3">
      <c r="I14774"/>
      <c r="J14774"/>
    </row>
    <row r="14775" spans="9:10" x14ac:dyDescent="0.3">
      <c r="I14775"/>
      <c r="J14775"/>
    </row>
    <row r="14776" spans="9:10" x14ac:dyDescent="0.3">
      <c r="I14776"/>
      <c r="J14776"/>
    </row>
    <row r="14777" spans="9:10" x14ac:dyDescent="0.3">
      <c r="I14777"/>
      <c r="J14777"/>
    </row>
    <row r="14778" spans="9:10" x14ac:dyDescent="0.3">
      <c r="I14778"/>
      <c r="J14778"/>
    </row>
    <row r="14779" spans="9:10" x14ac:dyDescent="0.3">
      <c r="I14779"/>
      <c r="J14779"/>
    </row>
    <row r="14780" spans="9:10" x14ac:dyDescent="0.3">
      <c r="I14780"/>
      <c r="J14780"/>
    </row>
    <row r="14781" spans="9:10" x14ac:dyDescent="0.3">
      <c r="I14781"/>
      <c r="J14781"/>
    </row>
    <row r="14782" spans="9:10" x14ac:dyDescent="0.3">
      <c r="I14782"/>
      <c r="J14782"/>
    </row>
    <row r="14783" spans="9:10" x14ac:dyDescent="0.3">
      <c r="I14783"/>
      <c r="J14783"/>
    </row>
    <row r="14784" spans="9:10" x14ac:dyDescent="0.3">
      <c r="I14784"/>
      <c r="J14784"/>
    </row>
    <row r="14785" spans="9:10" x14ac:dyDescent="0.3">
      <c r="I14785"/>
      <c r="J14785"/>
    </row>
    <row r="14786" spans="9:10" x14ac:dyDescent="0.3">
      <c r="I14786"/>
      <c r="J14786"/>
    </row>
    <row r="14787" spans="9:10" x14ac:dyDescent="0.3">
      <c r="I14787"/>
      <c r="J14787"/>
    </row>
    <row r="14788" spans="9:10" x14ac:dyDescent="0.3">
      <c r="I14788"/>
      <c r="J14788"/>
    </row>
    <row r="14789" spans="9:10" x14ac:dyDescent="0.3">
      <c r="I14789"/>
      <c r="J14789"/>
    </row>
    <row r="14790" spans="9:10" x14ac:dyDescent="0.3">
      <c r="I14790"/>
      <c r="J14790"/>
    </row>
    <row r="14791" spans="9:10" x14ac:dyDescent="0.3">
      <c r="I14791"/>
      <c r="J14791"/>
    </row>
    <row r="14792" spans="9:10" x14ac:dyDescent="0.3">
      <c r="I14792"/>
      <c r="J14792"/>
    </row>
    <row r="14793" spans="9:10" x14ac:dyDescent="0.3">
      <c r="I14793"/>
      <c r="J14793"/>
    </row>
    <row r="14794" spans="9:10" x14ac:dyDescent="0.3">
      <c r="I14794"/>
      <c r="J14794"/>
    </row>
    <row r="14795" spans="9:10" x14ac:dyDescent="0.3">
      <c r="I14795"/>
      <c r="J14795"/>
    </row>
    <row r="14796" spans="9:10" x14ac:dyDescent="0.3">
      <c r="I14796"/>
      <c r="J14796"/>
    </row>
    <row r="14797" spans="9:10" x14ac:dyDescent="0.3">
      <c r="I14797"/>
      <c r="J14797"/>
    </row>
    <row r="14798" spans="9:10" x14ac:dyDescent="0.3">
      <c r="I14798"/>
      <c r="J14798"/>
    </row>
    <row r="14799" spans="9:10" x14ac:dyDescent="0.3">
      <c r="I14799"/>
      <c r="J14799"/>
    </row>
    <row r="14800" spans="9:10" x14ac:dyDescent="0.3">
      <c r="I14800"/>
      <c r="J14800"/>
    </row>
    <row r="14801" spans="9:10" x14ac:dyDescent="0.3">
      <c r="I14801"/>
      <c r="J14801"/>
    </row>
    <row r="14802" spans="9:10" x14ac:dyDescent="0.3">
      <c r="I14802"/>
      <c r="J14802"/>
    </row>
    <row r="14803" spans="9:10" x14ac:dyDescent="0.3">
      <c r="I14803"/>
      <c r="J14803"/>
    </row>
    <row r="14804" spans="9:10" x14ac:dyDescent="0.3">
      <c r="I14804"/>
      <c r="J14804"/>
    </row>
    <row r="14805" spans="9:10" x14ac:dyDescent="0.3">
      <c r="I14805"/>
      <c r="J14805"/>
    </row>
    <row r="14806" spans="9:10" x14ac:dyDescent="0.3">
      <c r="I14806"/>
      <c r="J14806"/>
    </row>
    <row r="14807" spans="9:10" x14ac:dyDescent="0.3">
      <c r="I14807"/>
      <c r="J14807"/>
    </row>
    <row r="14808" spans="9:10" x14ac:dyDescent="0.3">
      <c r="I14808"/>
      <c r="J14808"/>
    </row>
    <row r="14809" spans="9:10" x14ac:dyDescent="0.3">
      <c r="I14809"/>
      <c r="J14809"/>
    </row>
    <row r="14810" spans="9:10" x14ac:dyDescent="0.3">
      <c r="I14810"/>
      <c r="J14810"/>
    </row>
    <row r="14811" spans="9:10" x14ac:dyDescent="0.3">
      <c r="I14811"/>
      <c r="J14811"/>
    </row>
    <row r="14812" spans="9:10" x14ac:dyDescent="0.3">
      <c r="I14812"/>
      <c r="J14812"/>
    </row>
    <row r="14813" spans="9:10" x14ac:dyDescent="0.3">
      <c r="I14813"/>
      <c r="J14813"/>
    </row>
    <row r="14814" spans="9:10" x14ac:dyDescent="0.3">
      <c r="I14814"/>
      <c r="J14814"/>
    </row>
    <row r="14815" spans="9:10" x14ac:dyDescent="0.3">
      <c r="I14815"/>
      <c r="J14815"/>
    </row>
    <row r="14816" spans="9:10" x14ac:dyDescent="0.3">
      <c r="I14816"/>
      <c r="J14816"/>
    </row>
    <row r="14817" spans="9:10" x14ac:dyDescent="0.3">
      <c r="I14817"/>
      <c r="J14817"/>
    </row>
    <row r="14818" spans="9:10" x14ac:dyDescent="0.3">
      <c r="I14818"/>
      <c r="J14818"/>
    </row>
    <row r="14819" spans="9:10" x14ac:dyDescent="0.3">
      <c r="I14819"/>
      <c r="J14819"/>
    </row>
    <row r="14820" spans="9:10" x14ac:dyDescent="0.3">
      <c r="I14820"/>
      <c r="J14820"/>
    </row>
    <row r="14821" spans="9:10" x14ac:dyDescent="0.3">
      <c r="I14821"/>
      <c r="J14821"/>
    </row>
    <row r="14822" spans="9:10" x14ac:dyDescent="0.3">
      <c r="I14822"/>
      <c r="J14822"/>
    </row>
    <row r="14823" spans="9:10" x14ac:dyDescent="0.3">
      <c r="I14823"/>
      <c r="J14823"/>
    </row>
    <row r="14824" spans="9:10" x14ac:dyDescent="0.3">
      <c r="I14824"/>
      <c r="J14824"/>
    </row>
    <row r="14825" spans="9:10" x14ac:dyDescent="0.3">
      <c r="I14825"/>
      <c r="J14825"/>
    </row>
    <row r="14826" spans="9:10" x14ac:dyDescent="0.3">
      <c r="I14826"/>
      <c r="J14826"/>
    </row>
    <row r="14827" spans="9:10" x14ac:dyDescent="0.3">
      <c r="I14827"/>
      <c r="J14827"/>
    </row>
    <row r="14828" spans="9:10" x14ac:dyDescent="0.3">
      <c r="I14828"/>
      <c r="J14828"/>
    </row>
    <row r="14829" spans="9:10" x14ac:dyDescent="0.3">
      <c r="I14829"/>
      <c r="J14829"/>
    </row>
    <row r="14830" spans="9:10" x14ac:dyDescent="0.3">
      <c r="I14830"/>
      <c r="J14830"/>
    </row>
    <row r="14831" spans="9:10" x14ac:dyDescent="0.3">
      <c r="I14831"/>
      <c r="J14831"/>
    </row>
    <row r="14832" spans="9:10" x14ac:dyDescent="0.3">
      <c r="I14832"/>
      <c r="J14832"/>
    </row>
    <row r="14833" spans="9:10" x14ac:dyDescent="0.3">
      <c r="I14833"/>
      <c r="J14833"/>
    </row>
    <row r="14834" spans="9:10" x14ac:dyDescent="0.3">
      <c r="I14834"/>
      <c r="J14834"/>
    </row>
    <row r="14835" spans="9:10" x14ac:dyDescent="0.3">
      <c r="I14835"/>
      <c r="J14835"/>
    </row>
    <row r="14836" spans="9:10" x14ac:dyDescent="0.3">
      <c r="I14836"/>
      <c r="J14836"/>
    </row>
    <row r="14837" spans="9:10" x14ac:dyDescent="0.3">
      <c r="I14837"/>
      <c r="J14837"/>
    </row>
    <row r="14838" spans="9:10" x14ac:dyDescent="0.3">
      <c r="I14838"/>
      <c r="J14838"/>
    </row>
    <row r="14839" spans="9:10" x14ac:dyDescent="0.3">
      <c r="I14839"/>
      <c r="J14839"/>
    </row>
    <row r="14840" spans="9:10" x14ac:dyDescent="0.3">
      <c r="I14840"/>
      <c r="J14840"/>
    </row>
    <row r="14841" spans="9:10" x14ac:dyDescent="0.3">
      <c r="I14841"/>
      <c r="J14841"/>
    </row>
    <row r="14842" spans="9:10" x14ac:dyDescent="0.3">
      <c r="I14842"/>
      <c r="J14842"/>
    </row>
    <row r="14843" spans="9:10" x14ac:dyDescent="0.3">
      <c r="I14843"/>
      <c r="J14843"/>
    </row>
    <row r="14844" spans="9:10" x14ac:dyDescent="0.3">
      <c r="I14844"/>
      <c r="J14844"/>
    </row>
    <row r="14845" spans="9:10" x14ac:dyDescent="0.3">
      <c r="I14845"/>
      <c r="J14845"/>
    </row>
    <row r="14846" spans="9:10" x14ac:dyDescent="0.3">
      <c r="I14846"/>
      <c r="J14846"/>
    </row>
    <row r="14847" spans="9:10" x14ac:dyDescent="0.3">
      <c r="I14847"/>
      <c r="J14847"/>
    </row>
    <row r="14848" spans="9:10" x14ac:dyDescent="0.3">
      <c r="I14848"/>
      <c r="J14848"/>
    </row>
    <row r="14849" spans="9:10" x14ac:dyDescent="0.3">
      <c r="I14849"/>
      <c r="J14849"/>
    </row>
    <row r="14850" spans="9:10" x14ac:dyDescent="0.3">
      <c r="I14850"/>
      <c r="J14850"/>
    </row>
    <row r="14851" spans="9:10" x14ac:dyDescent="0.3">
      <c r="I14851"/>
      <c r="J14851"/>
    </row>
    <row r="14852" spans="9:10" x14ac:dyDescent="0.3">
      <c r="I14852"/>
      <c r="J14852"/>
    </row>
    <row r="14853" spans="9:10" x14ac:dyDescent="0.3">
      <c r="I14853"/>
      <c r="J14853"/>
    </row>
    <row r="14854" spans="9:10" x14ac:dyDescent="0.3">
      <c r="I14854"/>
      <c r="J14854"/>
    </row>
    <row r="14855" spans="9:10" x14ac:dyDescent="0.3">
      <c r="I14855"/>
      <c r="J14855"/>
    </row>
    <row r="14856" spans="9:10" x14ac:dyDescent="0.3">
      <c r="I14856"/>
      <c r="J14856"/>
    </row>
    <row r="14857" spans="9:10" x14ac:dyDescent="0.3">
      <c r="I14857"/>
      <c r="J14857"/>
    </row>
    <row r="14858" spans="9:10" x14ac:dyDescent="0.3">
      <c r="I14858"/>
      <c r="J14858"/>
    </row>
    <row r="14859" spans="9:10" x14ac:dyDescent="0.3">
      <c r="I14859"/>
      <c r="J14859"/>
    </row>
    <row r="14860" spans="9:10" x14ac:dyDescent="0.3">
      <c r="I14860"/>
      <c r="J14860"/>
    </row>
    <row r="14861" spans="9:10" x14ac:dyDescent="0.3">
      <c r="I14861"/>
      <c r="J14861"/>
    </row>
    <row r="14862" spans="9:10" x14ac:dyDescent="0.3">
      <c r="I14862"/>
      <c r="J14862"/>
    </row>
    <row r="14863" spans="9:10" x14ac:dyDescent="0.3">
      <c r="I14863"/>
      <c r="J14863"/>
    </row>
    <row r="14864" spans="9:10" x14ac:dyDescent="0.3">
      <c r="I14864"/>
      <c r="J14864"/>
    </row>
    <row r="14865" spans="9:10" x14ac:dyDescent="0.3">
      <c r="I14865"/>
      <c r="J14865"/>
    </row>
    <row r="14866" spans="9:10" x14ac:dyDescent="0.3">
      <c r="I14866"/>
      <c r="J14866"/>
    </row>
    <row r="14867" spans="9:10" x14ac:dyDescent="0.3">
      <c r="I14867"/>
      <c r="J14867"/>
    </row>
    <row r="14868" spans="9:10" x14ac:dyDescent="0.3">
      <c r="I14868"/>
      <c r="J14868"/>
    </row>
    <row r="14869" spans="9:10" x14ac:dyDescent="0.3">
      <c r="I14869"/>
      <c r="J14869"/>
    </row>
    <row r="14870" spans="9:10" x14ac:dyDescent="0.3">
      <c r="I14870"/>
      <c r="J14870"/>
    </row>
    <row r="14871" spans="9:10" x14ac:dyDescent="0.3">
      <c r="I14871"/>
      <c r="J14871"/>
    </row>
    <row r="14872" spans="9:10" x14ac:dyDescent="0.3">
      <c r="I14872"/>
      <c r="J14872"/>
    </row>
    <row r="14873" spans="9:10" x14ac:dyDescent="0.3">
      <c r="I14873"/>
      <c r="J14873"/>
    </row>
    <row r="14874" spans="9:10" x14ac:dyDescent="0.3">
      <c r="I14874"/>
      <c r="J14874"/>
    </row>
    <row r="14875" spans="9:10" x14ac:dyDescent="0.3">
      <c r="I14875"/>
      <c r="J14875"/>
    </row>
    <row r="14876" spans="9:10" x14ac:dyDescent="0.3">
      <c r="I14876"/>
      <c r="J14876"/>
    </row>
    <row r="14877" spans="9:10" x14ac:dyDescent="0.3">
      <c r="I14877"/>
      <c r="J14877"/>
    </row>
    <row r="14878" spans="9:10" x14ac:dyDescent="0.3">
      <c r="I14878"/>
      <c r="J14878"/>
    </row>
    <row r="14879" spans="9:10" x14ac:dyDescent="0.3">
      <c r="I14879"/>
      <c r="J14879"/>
    </row>
    <row r="14880" spans="9:10" x14ac:dyDescent="0.3">
      <c r="I14880"/>
      <c r="J14880"/>
    </row>
    <row r="14881" spans="9:10" x14ac:dyDescent="0.3">
      <c r="I14881"/>
      <c r="J14881"/>
    </row>
    <row r="14882" spans="9:10" x14ac:dyDescent="0.3">
      <c r="I14882"/>
      <c r="J14882"/>
    </row>
    <row r="14883" spans="9:10" x14ac:dyDescent="0.3">
      <c r="I14883"/>
      <c r="J14883"/>
    </row>
    <row r="14884" spans="9:10" x14ac:dyDescent="0.3">
      <c r="I14884"/>
      <c r="J14884"/>
    </row>
    <row r="14885" spans="9:10" x14ac:dyDescent="0.3">
      <c r="I14885"/>
      <c r="J14885"/>
    </row>
    <row r="14886" spans="9:10" x14ac:dyDescent="0.3">
      <c r="I14886"/>
      <c r="J14886"/>
    </row>
    <row r="14887" spans="9:10" x14ac:dyDescent="0.3">
      <c r="I14887"/>
      <c r="J14887"/>
    </row>
    <row r="14888" spans="9:10" x14ac:dyDescent="0.3">
      <c r="I14888"/>
      <c r="J14888"/>
    </row>
    <row r="14889" spans="9:10" x14ac:dyDescent="0.3">
      <c r="I14889"/>
      <c r="J14889"/>
    </row>
    <row r="14890" spans="9:10" x14ac:dyDescent="0.3">
      <c r="I14890"/>
      <c r="J14890"/>
    </row>
    <row r="14891" spans="9:10" x14ac:dyDescent="0.3">
      <c r="I14891"/>
      <c r="J14891"/>
    </row>
    <row r="14892" spans="9:10" x14ac:dyDescent="0.3">
      <c r="I14892"/>
      <c r="J14892"/>
    </row>
    <row r="14893" spans="9:10" x14ac:dyDescent="0.3">
      <c r="I14893"/>
      <c r="J14893"/>
    </row>
    <row r="14894" spans="9:10" x14ac:dyDescent="0.3">
      <c r="I14894"/>
      <c r="J14894"/>
    </row>
    <row r="14895" spans="9:10" x14ac:dyDescent="0.3">
      <c r="I14895"/>
      <c r="J14895"/>
    </row>
    <row r="14896" spans="9:10" x14ac:dyDescent="0.3">
      <c r="I14896"/>
      <c r="J14896"/>
    </row>
    <row r="14897" spans="9:10" x14ac:dyDescent="0.3">
      <c r="I14897"/>
      <c r="J14897"/>
    </row>
    <row r="14898" spans="9:10" x14ac:dyDescent="0.3">
      <c r="I14898"/>
      <c r="J14898"/>
    </row>
    <row r="14899" spans="9:10" x14ac:dyDescent="0.3">
      <c r="I14899"/>
      <c r="J14899"/>
    </row>
    <row r="14900" spans="9:10" x14ac:dyDescent="0.3">
      <c r="I14900"/>
      <c r="J14900"/>
    </row>
    <row r="14901" spans="9:10" x14ac:dyDescent="0.3">
      <c r="I14901"/>
      <c r="J14901"/>
    </row>
    <row r="14902" spans="9:10" x14ac:dyDescent="0.3">
      <c r="I14902"/>
      <c r="J14902"/>
    </row>
    <row r="14903" spans="9:10" x14ac:dyDescent="0.3">
      <c r="I14903"/>
      <c r="J14903"/>
    </row>
    <row r="14904" spans="9:10" x14ac:dyDescent="0.3">
      <c r="I14904"/>
      <c r="J14904"/>
    </row>
    <row r="14905" spans="9:10" x14ac:dyDescent="0.3">
      <c r="I14905"/>
      <c r="J14905"/>
    </row>
    <row r="14906" spans="9:10" x14ac:dyDescent="0.3">
      <c r="I14906"/>
      <c r="J14906"/>
    </row>
    <row r="14907" spans="9:10" x14ac:dyDescent="0.3">
      <c r="I14907"/>
      <c r="J14907"/>
    </row>
    <row r="14908" spans="9:10" x14ac:dyDescent="0.3">
      <c r="I14908"/>
      <c r="J14908"/>
    </row>
    <row r="14909" spans="9:10" x14ac:dyDescent="0.3">
      <c r="I14909"/>
      <c r="J14909"/>
    </row>
    <row r="14910" spans="9:10" x14ac:dyDescent="0.3">
      <c r="I14910"/>
      <c r="J14910"/>
    </row>
    <row r="14911" spans="9:10" x14ac:dyDescent="0.3">
      <c r="I14911"/>
      <c r="J14911"/>
    </row>
    <row r="14912" spans="9:10" x14ac:dyDescent="0.3">
      <c r="I14912"/>
      <c r="J14912"/>
    </row>
    <row r="14913" spans="9:10" x14ac:dyDescent="0.3">
      <c r="I14913"/>
      <c r="J14913"/>
    </row>
    <row r="14914" spans="9:10" x14ac:dyDescent="0.3">
      <c r="I14914"/>
      <c r="J14914"/>
    </row>
    <row r="14915" spans="9:10" x14ac:dyDescent="0.3">
      <c r="I14915"/>
      <c r="J14915"/>
    </row>
    <row r="14916" spans="9:10" x14ac:dyDescent="0.3">
      <c r="I14916"/>
      <c r="J14916"/>
    </row>
    <row r="14917" spans="9:10" x14ac:dyDescent="0.3">
      <c r="I14917"/>
      <c r="J14917"/>
    </row>
    <row r="14918" spans="9:10" x14ac:dyDescent="0.3">
      <c r="I14918"/>
      <c r="J14918"/>
    </row>
    <row r="14919" spans="9:10" x14ac:dyDescent="0.3">
      <c r="I14919"/>
      <c r="J14919"/>
    </row>
    <row r="14920" spans="9:10" x14ac:dyDescent="0.3">
      <c r="I14920"/>
      <c r="J14920"/>
    </row>
    <row r="14921" spans="9:10" x14ac:dyDescent="0.3">
      <c r="I14921"/>
      <c r="J14921"/>
    </row>
    <row r="14922" spans="9:10" x14ac:dyDescent="0.3">
      <c r="I14922"/>
      <c r="J14922"/>
    </row>
    <row r="14923" spans="9:10" x14ac:dyDescent="0.3">
      <c r="I14923"/>
      <c r="J14923"/>
    </row>
    <row r="14924" spans="9:10" x14ac:dyDescent="0.3">
      <c r="I14924"/>
      <c r="J14924"/>
    </row>
    <row r="14925" spans="9:10" x14ac:dyDescent="0.3">
      <c r="I14925"/>
      <c r="J14925"/>
    </row>
    <row r="14926" spans="9:10" x14ac:dyDescent="0.3">
      <c r="I14926"/>
      <c r="J14926"/>
    </row>
    <row r="14927" spans="9:10" x14ac:dyDescent="0.3">
      <c r="I14927"/>
      <c r="J14927"/>
    </row>
    <row r="14928" spans="9:10" x14ac:dyDescent="0.3">
      <c r="I14928"/>
      <c r="J14928"/>
    </row>
    <row r="14929" spans="9:10" x14ac:dyDescent="0.3">
      <c r="I14929"/>
      <c r="J14929"/>
    </row>
    <row r="14930" spans="9:10" x14ac:dyDescent="0.3">
      <c r="I14930"/>
      <c r="J14930"/>
    </row>
    <row r="14931" spans="9:10" x14ac:dyDescent="0.3">
      <c r="I14931"/>
      <c r="J14931"/>
    </row>
    <row r="14932" spans="9:10" x14ac:dyDescent="0.3">
      <c r="I14932"/>
      <c r="J14932"/>
    </row>
    <row r="14933" spans="9:10" x14ac:dyDescent="0.3">
      <c r="I14933"/>
      <c r="J14933"/>
    </row>
    <row r="14934" spans="9:10" x14ac:dyDescent="0.3">
      <c r="I14934"/>
      <c r="J14934"/>
    </row>
    <row r="14935" spans="9:10" x14ac:dyDescent="0.3">
      <c r="I14935"/>
      <c r="J14935"/>
    </row>
    <row r="14936" spans="9:10" x14ac:dyDescent="0.3">
      <c r="I14936"/>
      <c r="J14936"/>
    </row>
    <row r="14937" spans="9:10" x14ac:dyDescent="0.3">
      <c r="I14937"/>
      <c r="J14937"/>
    </row>
    <row r="14938" spans="9:10" x14ac:dyDescent="0.3">
      <c r="I14938"/>
      <c r="J14938"/>
    </row>
    <row r="14939" spans="9:10" x14ac:dyDescent="0.3">
      <c r="I14939"/>
      <c r="J14939"/>
    </row>
    <row r="14940" spans="9:10" x14ac:dyDescent="0.3">
      <c r="I14940"/>
      <c r="J14940"/>
    </row>
    <row r="14941" spans="9:10" x14ac:dyDescent="0.3">
      <c r="I14941"/>
      <c r="J14941"/>
    </row>
    <row r="14942" spans="9:10" x14ac:dyDescent="0.3">
      <c r="I14942"/>
      <c r="J14942"/>
    </row>
    <row r="14943" spans="9:10" x14ac:dyDescent="0.3">
      <c r="I14943"/>
      <c r="J14943"/>
    </row>
    <row r="14944" spans="9:10" x14ac:dyDescent="0.3">
      <c r="I14944"/>
      <c r="J14944"/>
    </row>
    <row r="14945" spans="9:10" x14ac:dyDescent="0.3">
      <c r="I14945"/>
      <c r="J14945"/>
    </row>
    <row r="14946" spans="9:10" x14ac:dyDescent="0.3">
      <c r="I14946"/>
      <c r="J14946"/>
    </row>
    <row r="14947" spans="9:10" x14ac:dyDescent="0.3">
      <c r="I14947"/>
      <c r="J14947"/>
    </row>
    <row r="14948" spans="9:10" x14ac:dyDescent="0.3">
      <c r="I14948"/>
      <c r="J14948"/>
    </row>
    <row r="14949" spans="9:10" x14ac:dyDescent="0.3">
      <c r="I14949"/>
      <c r="J14949"/>
    </row>
    <row r="14950" spans="9:10" x14ac:dyDescent="0.3">
      <c r="I14950"/>
      <c r="J14950"/>
    </row>
    <row r="14951" spans="9:10" x14ac:dyDescent="0.3">
      <c r="I14951"/>
      <c r="J14951"/>
    </row>
    <row r="14952" spans="9:10" x14ac:dyDescent="0.3">
      <c r="I14952"/>
      <c r="J14952"/>
    </row>
    <row r="14953" spans="9:10" x14ac:dyDescent="0.3">
      <c r="I14953"/>
      <c r="J14953"/>
    </row>
    <row r="14954" spans="9:10" x14ac:dyDescent="0.3">
      <c r="I14954"/>
      <c r="J14954"/>
    </row>
    <row r="14955" spans="9:10" x14ac:dyDescent="0.3">
      <c r="I14955"/>
      <c r="J14955"/>
    </row>
    <row r="14956" spans="9:10" x14ac:dyDescent="0.3">
      <c r="I14956"/>
      <c r="J14956"/>
    </row>
    <row r="14957" spans="9:10" x14ac:dyDescent="0.3">
      <c r="I14957"/>
      <c r="J14957"/>
    </row>
    <row r="14958" spans="9:10" x14ac:dyDescent="0.3">
      <c r="I14958"/>
      <c r="J14958"/>
    </row>
    <row r="14959" spans="9:10" x14ac:dyDescent="0.3">
      <c r="I14959"/>
      <c r="J14959"/>
    </row>
    <row r="14960" spans="9:10" x14ac:dyDescent="0.3">
      <c r="I14960"/>
      <c r="J14960"/>
    </row>
    <row r="14961" spans="9:10" x14ac:dyDescent="0.3">
      <c r="I14961"/>
      <c r="J14961"/>
    </row>
    <row r="14962" spans="9:10" x14ac:dyDescent="0.3">
      <c r="I14962"/>
      <c r="J14962"/>
    </row>
    <row r="14963" spans="9:10" x14ac:dyDescent="0.3">
      <c r="I14963"/>
      <c r="J14963"/>
    </row>
    <row r="14964" spans="9:10" x14ac:dyDescent="0.3">
      <c r="I14964"/>
      <c r="J14964"/>
    </row>
    <row r="14965" spans="9:10" x14ac:dyDescent="0.3">
      <c r="I14965"/>
      <c r="J14965"/>
    </row>
    <row r="14966" spans="9:10" x14ac:dyDescent="0.3">
      <c r="I14966"/>
      <c r="J14966"/>
    </row>
    <row r="14967" spans="9:10" x14ac:dyDescent="0.3">
      <c r="I14967"/>
      <c r="J14967"/>
    </row>
    <row r="14968" spans="9:10" x14ac:dyDescent="0.3">
      <c r="I14968"/>
      <c r="J14968"/>
    </row>
    <row r="14969" spans="9:10" x14ac:dyDescent="0.3">
      <c r="I14969"/>
      <c r="J14969"/>
    </row>
    <row r="14970" spans="9:10" x14ac:dyDescent="0.3">
      <c r="I14970"/>
      <c r="J14970"/>
    </row>
    <row r="14971" spans="9:10" x14ac:dyDescent="0.3">
      <c r="I14971"/>
      <c r="J14971"/>
    </row>
    <row r="14972" spans="9:10" x14ac:dyDescent="0.3">
      <c r="I14972"/>
      <c r="J14972"/>
    </row>
    <row r="14973" spans="9:10" x14ac:dyDescent="0.3">
      <c r="I14973"/>
      <c r="J14973"/>
    </row>
    <row r="14974" spans="9:10" x14ac:dyDescent="0.3">
      <c r="I14974"/>
      <c r="J14974"/>
    </row>
    <row r="14975" spans="9:10" x14ac:dyDescent="0.3">
      <c r="I14975"/>
      <c r="J14975"/>
    </row>
    <row r="14976" spans="9:10" x14ac:dyDescent="0.3">
      <c r="I14976"/>
      <c r="J14976"/>
    </row>
    <row r="14977" spans="9:10" x14ac:dyDescent="0.3">
      <c r="I14977"/>
      <c r="J14977"/>
    </row>
    <row r="14978" spans="9:10" x14ac:dyDescent="0.3">
      <c r="I14978"/>
      <c r="J14978"/>
    </row>
    <row r="14979" spans="9:10" x14ac:dyDescent="0.3">
      <c r="I14979"/>
      <c r="J14979"/>
    </row>
    <row r="14980" spans="9:10" x14ac:dyDescent="0.3">
      <c r="I14980"/>
      <c r="J14980"/>
    </row>
    <row r="14981" spans="9:10" x14ac:dyDescent="0.3">
      <c r="I14981"/>
      <c r="J14981"/>
    </row>
    <row r="14982" spans="9:10" x14ac:dyDescent="0.3">
      <c r="I14982"/>
      <c r="J14982"/>
    </row>
    <row r="14983" spans="9:10" x14ac:dyDescent="0.3">
      <c r="I14983"/>
      <c r="J14983"/>
    </row>
    <row r="14984" spans="9:10" x14ac:dyDescent="0.3">
      <c r="I14984"/>
      <c r="J14984"/>
    </row>
    <row r="14985" spans="9:10" x14ac:dyDescent="0.3">
      <c r="I14985"/>
      <c r="J14985"/>
    </row>
    <row r="14986" spans="9:10" x14ac:dyDescent="0.3">
      <c r="I14986"/>
      <c r="J14986"/>
    </row>
    <row r="14987" spans="9:10" x14ac:dyDescent="0.3">
      <c r="I14987"/>
      <c r="J14987"/>
    </row>
    <row r="14988" spans="9:10" x14ac:dyDescent="0.3">
      <c r="I14988"/>
      <c r="J14988"/>
    </row>
    <row r="14989" spans="9:10" x14ac:dyDescent="0.3">
      <c r="I14989"/>
      <c r="J14989"/>
    </row>
    <row r="14990" spans="9:10" x14ac:dyDescent="0.3">
      <c r="I14990"/>
      <c r="J14990"/>
    </row>
    <row r="14991" spans="9:10" x14ac:dyDescent="0.3">
      <c r="I14991"/>
      <c r="J14991"/>
    </row>
    <row r="14992" spans="9:10" x14ac:dyDescent="0.3">
      <c r="I14992"/>
      <c r="J14992"/>
    </row>
    <row r="14993" spans="9:10" x14ac:dyDescent="0.3">
      <c r="I14993"/>
      <c r="J14993"/>
    </row>
    <row r="14994" spans="9:10" x14ac:dyDescent="0.3">
      <c r="I14994"/>
      <c r="J14994"/>
    </row>
    <row r="14995" spans="9:10" x14ac:dyDescent="0.3">
      <c r="I14995"/>
      <c r="J14995"/>
    </row>
    <row r="14996" spans="9:10" x14ac:dyDescent="0.3">
      <c r="I14996"/>
      <c r="J14996"/>
    </row>
    <row r="14997" spans="9:10" x14ac:dyDescent="0.3">
      <c r="I14997"/>
      <c r="J14997"/>
    </row>
    <row r="14998" spans="9:10" x14ac:dyDescent="0.3">
      <c r="I14998"/>
      <c r="J14998"/>
    </row>
    <row r="14999" spans="9:10" x14ac:dyDescent="0.3">
      <c r="I14999"/>
      <c r="J14999"/>
    </row>
    <row r="15000" spans="9:10" x14ac:dyDescent="0.3">
      <c r="I15000"/>
      <c r="J15000"/>
    </row>
    <row r="15001" spans="9:10" x14ac:dyDescent="0.3">
      <c r="I15001"/>
      <c r="J15001"/>
    </row>
    <row r="15002" spans="9:10" x14ac:dyDescent="0.3">
      <c r="I15002"/>
      <c r="J15002"/>
    </row>
    <row r="15003" spans="9:10" x14ac:dyDescent="0.3">
      <c r="I15003"/>
      <c r="J15003"/>
    </row>
    <row r="15004" spans="9:10" x14ac:dyDescent="0.3">
      <c r="I15004"/>
      <c r="J15004"/>
    </row>
    <row r="15005" spans="9:10" x14ac:dyDescent="0.3">
      <c r="I15005"/>
      <c r="J15005"/>
    </row>
    <row r="15006" spans="9:10" x14ac:dyDescent="0.3">
      <c r="I15006"/>
      <c r="J15006"/>
    </row>
    <row r="15007" spans="9:10" x14ac:dyDescent="0.3">
      <c r="I15007"/>
      <c r="J15007"/>
    </row>
    <row r="15008" spans="9:10" x14ac:dyDescent="0.3">
      <c r="I15008"/>
      <c r="J15008"/>
    </row>
    <row r="15009" spans="9:10" x14ac:dyDescent="0.3">
      <c r="I15009"/>
      <c r="J15009"/>
    </row>
    <row r="15010" spans="9:10" x14ac:dyDescent="0.3">
      <c r="I15010"/>
      <c r="J15010"/>
    </row>
    <row r="15011" spans="9:10" x14ac:dyDescent="0.3">
      <c r="I15011"/>
      <c r="J15011"/>
    </row>
    <row r="15012" spans="9:10" x14ac:dyDescent="0.3">
      <c r="I15012"/>
      <c r="J15012"/>
    </row>
    <row r="15013" spans="9:10" x14ac:dyDescent="0.3">
      <c r="I15013"/>
      <c r="J15013"/>
    </row>
    <row r="15014" spans="9:10" x14ac:dyDescent="0.3">
      <c r="I15014"/>
      <c r="J15014"/>
    </row>
    <row r="15015" spans="9:10" x14ac:dyDescent="0.3">
      <c r="I15015"/>
      <c r="J15015"/>
    </row>
    <row r="15016" spans="9:10" x14ac:dyDescent="0.3">
      <c r="I15016"/>
      <c r="J15016"/>
    </row>
    <row r="15017" spans="9:10" x14ac:dyDescent="0.3">
      <c r="I15017"/>
      <c r="J15017"/>
    </row>
    <row r="15018" spans="9:10" x14ac:dyDescent="0.3">
      <c r="I15018"/>
      <c r="J15018"/>
    </row>
    <row r="15019" spans="9:10" x14ac:dyDescent="0.3">
      <c r="I15019"/>
      <c r="J15019"/>
    </row>
    <row r="15020" spans="9:10" x14ac:dyDescent="0.3">
      <c r="I15020"/>
      <c r="J15020"/>
    </row>
    <row r="15021" spans="9:10" x14ac:dyDescent="0.3">
      <c r="I15021"/>
      <c r="J15021"/>
    </row>
    <row r="15022" spans="9:10" x14ac:dyDescent="0.3">
      <c r="I15022"/>
      <c r="J15022"/>
    </row>
    <row r="15023" spans="9:10" x14ac:dyDescent="0.3">
      <c r="I15023"/>
      <c r="J15023"/>
    </row>
    <row r="15024" spans="9:10" x14ac:dyDescent="0.3">
      <c r="I15024"/>
      <c r="J15024"/>
    </row>
    <row r="15025" spans="9:10" x14ac:dyDescent="0.3">
      <c r="I15025"/>
      <c r="J15025"/>
    </row>
    <row r="15026" spans="9:10" x14ac:dyDescent="0.3">
      <c r="I15026"/>
      <c r="J15026"/>
    </row>
    <row r="15027" spans="9:10" x14ac:dyDescent="0.3">
      <c r="I15027"/>
      <c r="J15027"/>
    </row>
    <row r="15028" spans="9:10" x14ac:dyDescent="0.3">
      <c r="I15028"/>
      <c r="J15028"/>
    </row>
    <row r="15029" spans="9:10" x14ac:dyDescent="0.3">
      <c r="I15029"/>
      <c r="J15029"/>
    </row>
    <row r="15030" spans="9:10" x14ac:dyDescent="0.3">
      <c r="I15030"/>
      <c r="J15030"/>
    </row>
    <row r="15031" spans="9:10" x14ac:dyDescent="0.3">
      <c r="I15031"/>
      <c r="J15031"/>
    </row>
    <row r="15032" spans="9:10" x14ac:dyDescent="0.3">
      <c r="I15032"/>
      <c r="J15032"/>
    </row>
    <row r="15033" spans="9:10" x14ac:dyDescent="0.3">
      <c r="I15033"/>
      <c r="J15033"/>
    </row>
    <row r="15034" spans="9:10" x14ac:dyDescent="0.3">
      <c r="I15034"/>
      <c r="J15034"/>
    </row>
    <row r="15035" spans="9:10" x14ac:dyDescent="0.3">
      <c r="I15035"/>
      <c r="J15035"/>
    </row>
    <row r="15036" spans="9:10" x14ac:dyDescent="0.3">
      <c r="I15036"/>
      <c r="J15036"/>
    </row>
    <row r="15037" spans="9:10" x14ac:dyDescent="0.3">
      <c r="I15037"/>
      <c r="J15037"/>
    </row>
    <row r="15038" spans="9:10" x14ac:dyDescent="0.3">
      <c r="I15038"/>
      <c r="J15038"/>
    </row>
    <row r="15039" spans="9:10" x14ac:dyDescent="0.3">
      <c r="I15039"/>
      <c r="J15039"/>
    </row>
    <row r="15040" spans="9:10" x14ac:dyDescent="0.3">
      <c r="I15040"/>
      <c r="J15040"/>
    </row>
    <row r="15041" spans="9:10" x14ac:dyDescent="0.3">
      <c r="I15041"/>
      <c r="J15041"/>
    </row>
    <row r="15042" spans="9:10" x14ac:dyDescent="0.3">
      <c r="I15042"/>
      <c r="J15042"/>
    </row>
    <row r="15043" spans="9:10" x14ac:dyDescent="0.3">
      <c r="I15043"/>
      <c r="J15043"/>
    </row>
    <row r="15044" spans="9:10" x14ac:dyDescent="0.3">
      <c r="I15044"/>
      <c r="J15044"/>
    </row>
    <row r="15045" spans="9:10" x14ac:dyDescent="0.3">
      <c r="I15045"/>
      <c r="J15045"/>
    </row>
    <row r="15046" spans="9:10" x14ac:dyDescent="0.3">
      <c r="I15046"/>
      <c r="J15046"/>
    </row>
    <row r="15047" spans="9:10" x14ac:dyDescent="0.3">
      <c r="I15047"/>
      <c r="J15047"/>
    </row>
    <row r="15048" spans="9:10" x14ac:dyDescent="0.3">
      <c r="I15048"/>
      <c r="J15048"/>
    </row>
    <row r="15049" spans="9:10" x14ac:dyDescent="0.3">
      <c r="I15049"/>
      <c r="J15049"/>
    </row>
    <row r="15050" spans="9:10" x14ac:dyDescent="0.3">
      <c r="I15050"/>
      <c r="J15050"/>
    </row>
    <row r="15051" spans="9:10" x14ac:dyDescent="0.3">
      <c r="I15051"/>
      <c r="J15051"/>
    </row>
    <row r="15052" spans="9:10" x14ac:dyDescent="0.3">
      <c r="I15052"/>
      <c r="J15052"/>
    </row>
    <row r="15053" spans="9:10" x14ac:dyDescent="0.3">
      <c r="I15053"/>
      <c r="J15053"/>
    </row>
    <row r="15054" spans="9:10" x14ac:dyDescent="0.3">
      <c r="I15054"/>
      <c r="J15054"/>
    </row>
    <row r="15055" spans="9:10" x14ac:dyDescent="0.3">
      <c r="I15055"/>
      <c r="J15055"/>
    </row>
    <row r="15056" spans="9:10" x14ac:dyDescent="0.3">
      <c r="I15056"/>
      <c r="J15056"/>
    </row>
    <row r="15057" spans="9:10" x14ac:dyDescent="0.3">
      <c r="I15057"/>
      <c r="J15057"/>
    </row>
    <row r="15058" spans="9:10" x14ac:dyDescent="0.3">
      <c r="I15058"/>
      <c r="J15058"/>
    </row>
    <row r="15059" spans="9:10" x14ac:dyDescent="0.3">
      <c r="I15059"/>
      <c r="J15059"/>
    </row>
    <row r="15060" spans="9:10" x14ac:dyDescent="0.3">
      <c r="I15060"/>
      <c r="J15060"/>
    </row>
    <row r="15061" spans="9:10" x14ac:dyDescent="0.3">
      <c r="I15061"/>
      <c r="J15061"/>
    </row>
    <row r="15062" spans="9:10" x14ac:dyDescent="0.3">
      <c r="I15062"/>
      <c r="J15062"/>
    </row>
    <row r="15063" spans="9:10" x14ac:dyDescent="0.3">
      <c r="I15063"/>
      <c r="J15063"/>
    </row>
    <row r="15064" spans="9:10" x14ac:dyDescent="0.3">
      <c r="I15064"/>
      <c r="J15064"/>
    </row>
    <row r="15065" spans="9:10" x14ac:dyDescent="0.3">
      <c r="I15065"/>
      <c r="J15065"/>
    </row>
    <row r="15066" spans="9:10" x14ac:dyDescent="0.3">
      <c r="I15066"/>
      <c r="J15066"/>
    </row>
    <row r="15067" spans="9:10" x14ac:dyDescent="0.3">
      <c r="I15067"/>
      <c r="J15067"/>
    </row>
    <row r="15068" spans="9:10" x14ac:dyDescent="0.3">
      <c r="I15068"/>
      <c r="J15068"/>
    </row>
    <row r="15069" spans="9:10" x14ac:dyDescent="0.3">
      <c r="I15069"/>
      <c r="J15069"/>
    </row>
    <row r="15070" spans="9:10" x14ac:dyDescent="0.3">
      <c r="I15070"/>
      <c r="J15070"/>
    </row>
    <row r="15071" spans="9:10" x14ac:dyDescent="0.3">
      <c r="I15071"/>
      <c r="J15071"/>
    </row>
    <row r="15072" spans="9:10" x14ac:dyDescent="0.3">
      <c r="I15072"/>
      <c r="J15072"/>
    </row>
    <row r="15073" spans="9:10" x14ac:dyDescent="0.3">
      <c r="I15073"/>
      <c r="J15073"/>
    </row>
    <row r="15074" spans="9:10" x14ac:dyDescent="0.3">
      <c r="I15074"/>
      <c r="J15074"/>
    </row>
    <row r="15075" spans="9:10" x14ac:dyDescent="0.3">
      <c r="I15075"/>
      <c r="J15075"/>
    </row>
    <row r="15076" spans="9:10" x14ac:dyDescent="0.3">
      <c r="I15076"/>
      <c r="J15076"/>
    </row>
    <row r="15077" spans="9:10" x14ac:dyDescent="0.3">
      <c r="I15077"/>
      <c r="J15077"/>
    </row>
    <row r="15078" spans="9:10" x14ac:dyDescent="0.3">
      <c r="I15078"/>
      <c r="J15078"/>
    </row>
    <row r="15079" spans="9:10" x14ac:dyDescent="0.3">
      <c r="I15079"/>
      <c r="J15079"/>
    </row>
    <row r="15080" spans="9:10" x14ac:dyDescent="0.3">
      <c r="I15080"/>
      <c r="J15080"/>
    </row>
    <row r="15081" spans="9:10" x14ac:dyDescent="0.3">
      <c r="I15081"/>
      <c r="J15081"/>
    </row>
    <row r="15082" spans="9:10" x14ac:dyDescent="0.3">
      <c r="I15082"/>
      <c r="J15082"/>
    </row>
    <row r="15083" spans="9:10" x14ac:dyDescent="0.3">
      <c r="I15083"/>
      <c r="J15083"/>
    </row>
    <row r="15084" spans="9:10" x14ac:dyDescent="0.3">
      <c r="I15084"/>
      <c r="J15084"/>
    </row>
    <row r="15085" spans="9:10" x14ac:dyDescent="0.3">
      <c r="I15085"/>
      <c r="J15085"/>
    </row>
    <row r="15086" spans="9:10" x14ac:dyDescent="0.3">
      <c r="I15086"/>
      <c r="J15086"/>
    </row>
    <row r="15087" spans="9:10" x14ac:dyDescent="0.3">
      <c r="I15087"/>
      <c r="J15087"/>
    </row>
    <row r="15088" spans="9:10" x14ac:dyDescent="0.3">
      <c r="I15088"/>
      <c r="J15088"/>
    </row>
    <row r="15089" spans="9:10" x14ac:dyDescent="0.3">
      <c r="I15089"/>
      <c r="J15089"/>
    </row>
    <row r="15090" spans="9:10" x14ac:dyDescent="0.3">
      <c r="I15090"/>
      <c r="J15090"/>
    </row>
    <row r="15091" spans="9:10" x14ac:dyDescent="0.3">
      <c r="I15091"/>
      <c r="J15091"/>
    </row>
    <row r="15092" spans="9:10" x14ac:dyDescent="0.3">
      <c r="I15092"/>
      <c r="J15092"/>
    </row>
    <row r="15093" spans="9:10" x14ac:dyDescent="0.3">
      <c r="I15093"/>
      <c r="J15093"/>
    </row>
    <row r="15094" spans="9:10" x14ac:dyDescent="0.3">
      <c r="I15094"/>
      <c r="J15094"/>
    </row>
    <row r="15095" spans="9:10" x14ac:dyDescent="0.3">
      <c r="I15095"/>
      <c r="J15095"/>
    </row>
    <row r="15096" spans="9:10" x14ac:dyDescent="0.3">
      <c r="I15096"/>
      <c r="J15096"/>
    </row>
    <row r="15097" spans="9:10" x14ac:dyDescent="0.3">
      <c r="I15097"/>
      <c r="J15097"/>
    </row>
    <row r="15098" spans="9:10" x14ac:dyDescent="0.3">
      <c r="I15098"/>
      <c r="J15098"/>
    </row>
    <row r="15099" spans="9:10" x14ac:dyDescent="0.3">
      <c r="I15099"/>
      <c r="J15099"/>
    </row>
    <row r="15100" spans="9:10" x14ac:dyDescent="0.3">
      <c r="I15100"/>
      <c r="J15100"/>
    </row>
    <row r="15101" spans="9:10" x14ac:dyDescent="0.3">
      <c r="I15101"/>
      <c r="J15101"/>
    </row>
    <row r="15102" spans="9:10" x14ac:dyDescent="0.3">
      <c r="I15102"/>
      <c r="J15102"/>
    </row>
    <row r="15103" spans="9:10" x14ac:dyDescent="0.3">
      <c r="I15103"/>
      <c r="J15103"/>
    </row>
    <row r="15104" spans="9:10" x14ac:dyDescent="0.3">
      <c r="I15104"/>
      <c r="J15104"/>
    </row>
    <row r="15105" spans="9:10" x14ac:dyDescent="0.3">
      <c r="I15105"/>
      <c r="J15105"/>
    </row>
    <row r="15106" spans="9:10" x14ac:dyDescent="0.3">
      <c r="I15106"/>
      <c r="J15106"/>
    </row>
    <row r="15107" spans="9:10" x14ac:dyDescent="0.3">
      <c r="I15107"/>
      <c r="J15107"/>
    </row>
    <row r="15108" spans="9:10" x14ac:dyDescent="0.3">
      <c r="I15108"/>
      <c r="J15108"/>
    </row>
    <row r="15109" spans="9:10" x14ac:dyDescent="0.3">
      <c r="I15109"/>
      <c r="J15109"/>
    </row>
    <row r="15110" spans="9:10" x14ac:dyDescent="0.3">
      <c r="I15110"/>
      <c r="J15110"/>
    </row>
    <row r="15111" spans="9:10" x14ac:dyDescent="0.3">
      <c r="I15111"/>
      <c r="J15111"/>
    </row>
    <row r="15112" spans="9:10" x14ac:dyDescent="0.3">
      <c r="I15112"/>
      <c r="J15112"/>
    </row>
    <row r="15113" spans="9:10" x14ac:dyDescent="0.3">
      <c r="I15113"/>
      <c r="J15113"/>
    </row>
    <row r="15114" spans="9:10" x14ac:dyDescent="0.3">
      <c r="I15114"/>
      <c r="J15114"/>
    </row>
    <row r="15115" spans="9:10" x14ac:dyDescent="0.3">
      <c r="I15115"/>
      <c r="J15115"/>
    </row>
    <row r="15116" spans="9:10" x14ac:dyDescent="0.3">
      <c r="I15116"/>
      <c r="J15116"/>
    </row>
    <row r="15117" spans="9:10" x14ac:dyDescent="0.3">
      <c r="I15117"/>
      <c r="J15117"/>
    </row>
    <row r="15118" spans="9:10" x14ac:dyDescent="0.3">
      <c r="I15118"/>
      <c r="J15118"/>
    </row>
    <row r="15119" spans="9:10" x14ac:dyDescent="0.3">
      <c r="I15119"/>
      <c r="J15119"/>
    </row>
    <row r="15120" spans="9:10" x14ac:dyDescent="0.3">
      <c r="I15120"/>
      <c r="J15120"/>
    </row>
    <row r="15121" spans="9:10" x14ac:dyDescent="0.3">
      <c r="I15121"/>
      <c r="J15121"/>
    </row>
    <row r="15122" spans="9:10" x14ac:dyDescent="0.3">
      <c r="I15122"/>
      <c r="J15122"/>
    </row>
    <row r="15123" spans="9:10" x14ac:dyDescent="0.3">
      <c r="I15123"/>
      <c r="J15123"/>
    </row>
    <row r="15124" spans="9:10" x14ac:dyDescent="0.3">
      <c r="I15124"/>
      <c r="J15124"/>
    </row>
    <row r="15125" spans="9:10" x14ac:dyDescent="0.3">
      <c r="I15125"/>
      <c r="J15125"/>
    </row>
    <row r="15126" spans="9:10" x14ac:dyDescent="0.3">
      <c r="I15126"/>
      <c r="J15126"/>
    </row>
    <row r="15127" spans="9:10" x14ac:dyDescent="0.3">
      <c r="I15127"/>
      <c r="J15127"/>
    </row>
    <row r="15128" spans="9:10" x14ac:dyDescent="0.3">
      <c r="I15128"/>
      <c r="J15128"/>
    </row>
    <row r="15129" spans="9:10" x14ac:dyDescent="0.3">
      <c r="I15129"/>
      <c r="J15129"/>
    </row>
    <row r="15130" spans="9:10" x14ac:dyDescent="0.3">
      <c r="I15130"/>
      <c r="J15130"/>
    </row>
    <row r="15131" spans="9:10" x14ac:dyDescent="0.3">
      <c r="I15131"/>
      <c r="J15131"/>
    </row>
    <row r="15132" spans="9:10" x14ac:dyDescent="0.3">
      <c r="I15132"/>
      <c r="J15132"/>
    </row>
    <row r="15133" spans="9:10" x14ac:dyDescent="0.3">
      <c r="I15133"/>
      <c r="J15133"/>
    </row>
    <row r="15134" spans="9:10" x14ac:dyDescent="0.3">
      <c r="I15134"/>
      <c r="J15134"/>
    </row>
    <row r="15135" spans="9:10" x14ac:dyDescent="0.3">
      <c r="I15135"/>
      <c r="J15135"/>
    </row>
    <row r="15136" spans="9:10" x14ac:dyDescent="0.3">
      <c r="I15136"/>
      <c r="J15136"/>
    </row>
    <row r="15137" spans="9:10" x14ac:dyDescent="0.3">
      <c r="I15137"/>
      <c r="J15137"/>
    </row>
    <row r="15138" spans="9:10" x14ac:dyDescent="0.3">
      <c r="I15138"/>
      <c r="J15138"/>
    </row>
    <row r="15139" spans="9:10" x14ac:dyDescent="0.3">
      <c r="I15139"/>
      <c r="J15139"/>
    </row>
    <row r="15140" spans="9:10" x14ac:dyDescent="0.3">
      <c r="I15140"/>
      <c r="J15140"/>
    </row>
    <row r="15141" spans="9:10" x14ac:dyDescent="0.3">
      <c r="I15141"/>
      <c r="J15141"/>
    </row>
    <row r="15142" spans="9:10" x14ac:dyDescent="0.3">
      <c r="I15142"/>
      <c r="J15142"/>
    </row>
    <row r="15143" spans="9:10" x14ac:dyDescent="0.3">
      <c r="I15143"/>
      <c r="J15143"/>
    </row>
    <row r="15144" spans="9:10" x14ac:dyDescent="0.3">
      <c r="I15144"/>
      <c r="J15144"/>
    </row>
    <row r="15145" spans="9:10" x14ac:dyDescent="0.3">
      <c r="I15145"/>
      <c r="J15145"/>
    </row>
    <row r="15146" spans="9:10" x14ac:dyDescent="0.3">
      <c r="I15146"/>
      <c r="J15146"/>
    </row>
    <row r="15147" spans="9:10" x14ac:dyDescent="0.3">
      <c r="I15147"/>
      <c r="J15147"/>
    </row>
    <row r="15148" spans="9:10" x14ac:dyDescent="0.3">
      <c r="I15148"/>
      <c r="J15148"/>
    </row>
    <row r="15149" spans="9:10" x14ac:dyDescent="0.3">
      <c r="I15149"/>
      <c r="J15149"/>
    </row>
    <row r="15150" spans="9:10" x14ac:dyDescent="0.3">
      <c r="I15150"/>
      <c r="J15150"/>
    </row>
    <row r="15151" spans="9:10" x14ac:dyDescent="0.3">
      <c r="I15151"/>
      <c r="J15151"/>
    </row>
    <row r="15152" spans="9:10" x14ac:dyDescent="0.3">
      <c r="I15152"/>
      <c r="J15152"/>
    </row>
    <row r="15153" spans="9:10" x14ac:dyDescent="0.3">
      <c r="I15153"/>
      <c r="J15153"/>
    </row>
    <row r="15154" spans="9:10" x14ac:dyDescent="0.3">
      <c r="I15154"/>
      <c r="J15154"/>
    </row>
    <row r="15155" spans="9:10" x14ac:dyDescent="0.3">
      <c r="I15155"/>
      <c r="J15155"/>
    </row>
    <row r="15156" spans="9:10" x14ac:dyDescent="0.3">
      <c r="I15156"/>
      <c r="J15156"/>
    </row>
    <row r="15157" spans="9:10" x14ac:dyDescent="0.3">
      <c r="I15157"/>
      <c r="J15157"/>
    </row>
    <row r="15158" spans="9:10" x14ac:dyDescent="0.3">
      <c r="I15158"/>
      <c r="J15158"/>
    </row>
    <row r="15159" spans="9:10" x14ac:dyDescent="0.3">
      <c r="I15159"/>
      <c r="J15159"/>
    </row>
    <row r="15160" spans="9:10" x14ac:dyDescent="0.3">
      <c r="I15160"/>
      <c r="J15160"/>
    </row>
    <row r="15161" spans="9:10" x14ac:dyDescent="0.3">
      <c r="I15161"/>
      <c r="J15161"/>
    </row>
    <row r="15162" spans="9:10" x14ac:dyDescent="0.3">
      <c r="I15162"/>
      <c r="J15162"/>
    </row>
    <row r="15163" spans="9:10" x14ac:dyDescent="0.3">
      <c r="I15163"/>
      <c r="J15163"/>
    </row>
    <row r="15164" spans="9:10" x14ac:dyDescent="0.3">
      <c r="I15164"/>
      <c r="J15164"/>
    </row>
    <row r="15165" spans="9:10" x14ac:dyDescent="0.3">
      <c r="I15165"/>
      <c r="J15165"/>
    </row>
    <row r="15166" spans="9:10" x14ac:dyDescent="0.3">
      <c r="I15166"/>
      <c r="J15166"/>
    </row>
    <row r="15167" spans="9:10" x14ac:dyDescent="0.3">
      <c r="I15167"/>
      <c r="J15167"/>
    </row>
    <row r="15168" spans="9:10" x14ac:dyDescent="0.3">
      <c r="I15168"/>
      <c r="J15168"/>
    </row>
    <row r="15169" spans="9:10" x14ac:dyDescent="0.3">
      <c r="I15169"/>
      <c r="J15169"/>
    </row>
    <row r="15170" spans="9:10" x14ac:dyDescent="0.3">
      <c r="I15170"/>
      <c r="J15170"/>
    </row>
    <row r="15171" spans="9:10" x14ac:dyDescent="0.3">
      <c r="I15171"/>
      <c r="J15171"/>
    </row>
    <row r="15172" spans="9:10" x14ac:dyDescent="0.3">
      <c r="I15172"/>
      <c r="J15172"/>
    </row>
    <row r="15173" spans="9:10" x14ac:dyDescent="0.3">
      <c r="I15173"/>
      <c r="J15173"/>
    </row>
    <row r="15174" spans="9:10" x14ac:dyDescent="0.3">
      <c r="I15174"/>
      <c r="J15174"/>
    </row>
    <row r="15175" spans="9:10" x14ac:dyDescent="0.3">
      <c r="I15175"/>
      <c r="J15175"/>
    </row>
    <row r="15176" spans="9:10" x14ac:dyDescent="0.3">
      <c r="I15176"/>
      <c r="J15176"/>
    </row>
    <row r="15177" spans="9:10" x14ac:dyDescent="0.3">
      <c r="I15177"/>
      <c r="J15177"/>
    </row>
    <row r="15178" spans="9:10" x14ac:dyDescent="0.3">
      <c r="I15178"/>
      <c r="J15178"/>
    </row>
    <row r="15179" spans="9:10" x14ac:dyDescent="0.3">
      <c r="I15179"/>
      <c r="J15179"/>
    </row>
    <row r="15180" spans="9:10" x14ac:dyDescent="0.3">
      <c r="I15180"/>
      <c r="J15180"/>
    </row>
    <row r="15181" spans="9:10" x14ac:dyDescent="0.3">
      <c r="I15181"/>
      <c r="J15181"/>
    </row>
    <row r="15182" spans="9:10" x14ac:dyDescent="0.3">
      <c r="I15182"/>
      <c r="J15182"/>
    </row>
    <row r="15183" spans="9:10" x14ac:dyDescent="0.3">
      <c r="I15183"/>
      <c r="J15183"/>
    </row>
    <row r="15184" spans="9:10" x14ac:dyDescent="0.3">
      <c r="I15184"/>
      <c r="J15184"/>
    </row>
    <row r="15185" spans="9:10" x14ac:dyDescent="0.3">
      <c r="I15185"/>
      <c r="J15185"/>
    </row>
    <row r="15186" spans="9:10" x14ac:dyDescent="0.3">
      <c r="I15186"/>
      <c r="J15186"/>
    </row>
    <row r="15187" spans="9:10" x14ac:dyDescent="0.3">
      <c r="I15187"/>
      <c r="J15187"/>
    </row>
    <row r="15188" spans="9:10" x14ac:dyDescent="0.3">
      <c r="I15188"/>
      <c r="J15188"/>
    </row>
    <row r="15189" spans="9:10" x14ac:dyDescent="0.3">
      <c r="I15189"/>
      <c r="J15189"/>
    </row>
    <row r="15190" spans="9:10" x14ac:dyDescent="0.3">
      <c r="I15190"/>
      <c r="J15190"/>
    </row>
    <row r="15191" spans="9:10" x14ac:dyDescent="0.3">
      <c r="I15191"/>
      <c r="J15191"/>
    </row>
    <row r="15192" spans="9:10" x14ac:dyDescent="0.3">
      <c r="I15192"/>
      <c r="J15192"/>
    </row>
    <row r="15193" spans="9:10" x14ac:dyDescent="0.3">
      <c r="I15193"/>
      <c r="J15193"/>
    </row>
    <row r="15194" spans="9:10" x14ac:dyDescent="0.3">
      <c r="I15194"/>
      <c r="J15194"/>
    </row>
    <row r="15195" spans="9:10" x14ac:dyDescent="0.3">
      <c r="I15195"/>
      <c r="J15195"/>
    </row>
    <row r="15196" spans="9:10" x14ac:dyDescent="0.3">
      <c r="I15196"/>
      <c r="J15196"/>
    </row>
    <row r="15197" spans="9:10" x14ac:dyDescent="0.3">
      <c r="I15197"/>
      <c r="J15197"/>
    </row>
    <row r="15198" spans="9:10" x14ac:dyDescent="0.3">
      <c r="I15198"/>
      <c r="J15198"/>
    </row>
    <row r="15199" spans="9:10" x14ac:dyDescent="0.3">
      <c r="I15199"/>
      <c r="J15199"/>
    </row>
    <row r="15200" spans="9:10" x14ac:dyDescent="0.3">
      <c r="I15200"/>
      <c r="J15200"/>
    </row>
    <row r="15201" spans="9:10" x14ac:dyDescent="0.3">
      <c r="I15201"/>
      <c r="J15201"/>
    </row>
    <row r="15202" spans="9:10" x14ac:dyDescent="0.3">
      <c r="I15202"/>
      <c r="J15202"/>
    </row>
    <row r="15203" spans="9:10" x14ac:dyDescent="0.3">
      <c r="I15203"/>
      <c r="J15203"/>
    </row>
    <row r="15204" spans="9:10" x14ac:dyDescent="0.3">
      <c r="I15204"/>
      <c r="J15204"/>
    </row>
    <row r="15205" spans="9:10" x14ac:dyDescent="0.3">
      <c r="I15205"/>
      <c r="J15205"/>
    </row>
    <row r="15206" spans="9:10" x14ac:dyDescent="0.3">
      <c r="I15206"/>
      <c r="J15206"/>
    </row>
    <row r="15207" spans="9:10" x14ac:dyDescent="0.3">
      <c r="I15207"/>
      <c r="J15207"/>
    </row>
    <row r="15208" spans="9:10" x14ac:dyDescent="0.3">
      <c r="I15208"/>
      <c r="J15208"/>
    </row>
    <row r="15209" spans="9:10" x14ac:dyDescent="0.3">
      <c r="I15209"/>
      <c r="J15209"/>
    </row>
    <row r="15210" spans="9:10" x14ac:dyDescent="0.3">
      <c r="I15210"/>
      <c r="J15210"/>
    </row>
    <row r="15211" spans="9:10" x14ac:dyDescent="0.3">
      <c r="I15211"/>
      <c r="J15211"/>
    </row>
    <row r="15212" spans="9:10" x14ac:dyDescent="0.3">
      <c r="I15212"/>
      <c r="J15212"/>
    </row>
    <row r="15213" spans="9:10" x14ac:dyDescent="0.3">
      <c r="I15213"/>
      <c r="J15213"/>
    </row>
    <row r="15214" spans="9:10" x14ac:dyDescent="0.3">
      <c r="I15214"/>
      <c r="J15214"/>
    </row>
    <row r="15215" spans="9:10" x14ac:dyDescent="0.3">
      <c r="I15215"/>
      <c r="J15215"/>
    </row>
    <row r="15216" spans="9:10" x14ac:dyDescent="0.3">
      <c r="I15216"/>
      <c r="J15216"/>
    </row>
    <row r="15217" spans="9:10" x14ac:dyDescent="0.3">
      <c r="I15217"/>
      <c r="J15217"/>
    </row>
    <row r="15218" spans="9:10" x14ac:dyDescent="0.3">
      <c r="I15218"/>
      <c r="J15218"/>
    </row>
    <row r="15219" spans="9:10" x14ac:dyDescent="0.3">
      <c r="I15219"/>
      <c r="J15219"/>
    </row>
    <row r="15220" spans="9:10" x14ac:dyDescent="0.3">
      <c r="I15220"/>
      <c r="J15220"/>
    </row>
    <row r="15221" spans="9:10" x14ac:dyDescent="0.3">
      <c r="I15221"/>
      <c r="J15221"/>
    </row>
    <row r="15222" spans="9:10" x14ac:dyDescent="0.3">
      <c r="I15222"/>
      <c r="J15222"/>
    </row>
    <row r="15223" spans="9:10" x14ac:dyDescent="0.3">
      <c r="I15223"/>
      <c r="J15223"/>
    </row>
    <row r="15224" spans="9:10" x14ac:dyDescent="0.3">
      <c r="I15224"/>
      <c r="J15224"/>
    </row>
    <row r="15225" spans="9:10" x14ac:dyDescent="0.3">
      <c r="I15225"/>
      <c r="J15225"/>
    </row>
    <row r="15226" spans="9:10" x14ac:dyDescent="0.3">
      <c r="I15226"/>
      <c r="J15226"/>
    </row>
    <row r="15227" spans="9:10" x14ac:dyDescent="0.3">
      <c r="I15227"/>
      <c r="J15227"/>
    </row>
    <row r="15228" spans="9:10" x14ac:dyDescent="0.3">
      <c r="I15228"/>
      <c r="J15228"/>
    </row>
    <row r="15229" spans="9:10" x14ac:dyDescent="0.3">
      <c r="I15229"/>
      <c r="J15229"/>
    </row>
    <row r="15230" spans="9:10" x14ac:dyDescent="0.3">
      <c r="I15230"/>
      <c r="J15230"/>
    </row>
    <row r="15231" spans="9:10" x14ac:dyDescent="0.3">
      <c r="I15231"/>
      <c r="J15231"/>
    </row>
    <row r="15232" spans="9:10" x14ac:dyDescent="0.3">
      <c r="I15232"/>
      <c r="J15232"/>
    </row>
    <row r="15233" spans="9:10" x14ac:dyDescent="0.3">
      <c r="I15233"/>
      <c r="J15233"/>
    </row>
    <row r="15234" spans="9:10" x14ac:dyDescent="0.3">
      <c r="I15234"/>
      <c r="J15234"/>
    </row>
    <row r="15235" spans="9:10" x14ac:dyDescent="0.3">
      <c r="I15235"/>
      <c r="J15235"/>
    </row>
    <row r="15236" spans="9:10" x14ac:dyDescent="0.3">
      <c r="I15236"/>
      <c r="J15236"/>
    </row>
    <row r="15237" spans="9:10" x14ac:dyDescent="0.3">
      <c r="I15237"/>
      <c r="J15237"/>
    </row>
    <row r="15238" spans="9:10" x14ac:dyDescent="0.3">
      <c r="I15238"/>
      <c r="J15238"/>
    </row>
    <row r="15239" spans="9:10" x14ac:dyDescent="0.3">
      <c r="I15239"/>
      <c r="J15239"/>
    </row>
    <row r="15240" spans="9:10" x14ac:dyDescent="0.3">
      <c r="I15240"/>
      <c r="J15240"/>
    </row>
    <row r="15241" spans="9:10" x14ac:dyDescent="0.3">
      <c r="I15241"/>
      <c r="J15241"/>
    </row>
    <row r="15242" spans="9:10" x14ac:dyDescent="0.3">
      <c r="I15242"/>
      <c r="J15242"/>
    </row>
    <row r="15243" spans="9:10" x14ac:dyDescent="0.3">
      <c r="I15243"/>
      <c r="J15243"/>
    </row>
    <row r="15244" spans="9:10" x14ac:dyDescent="0.3">
      <c r="I15244"/>
      <c r="J15244"/>
    </row>
    <row r="15245" spans="9:10" x14ac:dyDescent="0.3">
      <c r="I15245"/>
      <c r="J15245"/>
    </row>
    <row r="15246" spans="9:10" x14ac:dyDescent="0.3">
      <c r="I15246"/>
      <c r="J15246"/>
    </row>
    <row r="15247" spans="9:10" x14ac:dyDescent="0.3">
      <c r="I15247"/>
      <c r="J15247"/>
    </row>
    <row r="15248" spans="9:10" x14ac:dyDescent="0.3">
      <c r="I15248"/>
      <c r="J15248"/>
    </row>
    <row r="15249" spans="9:10" x14ac:dyDescent="0.3">
      <c r="I15249"/>
      <c r="J15249"/>
    </row>
    <row r="15250" spans="9:10" x14ac:dyDescent="0.3">
      <c r="I15250"/>
      <c r="J15250"/>
    </row>
    <row r="15251" spans="9:10" x14ac:dyDescent="0.3">
      <c r="I15251"/>
      <c r="J15251"/>
    </row>
    <row r="15252" spans="9:10" x14ac:dyDescent="0.3">
      <c r="I15252"/>
      <c r="J15252"/>
    </row>
    <row r="15253" spans="9:10" x14ac:dyDescent="0.3">
      <c r="I15253"/>
      <c r="J15253"/>
    </row>
    <row r="15254" spans="9:10" x14ac:dyDescent="0.3">
      <c r="I15254"/>
      <c r="J15254"/>
    </row>
    <row r="15255" spans="9:10" x14ac:dyDescent="0.3">
      <c r="I15255"/>
      <c r="J15255"/>
    </row>
    <row r="15256" spans="9:10" x14ac:dyDescent="0.3">
      <c r="I15256"/>
      <c r="J15256"/>
    </row>
    <row r="15257" spans="9:10" x14ac:dyDescent="0.3">
      <c r="I15257"/>
      <c r="J15257"/>
    </row>
    <row r="15258" spans="9:10" x14ac:dyDescent="0.3">
      <c r="I15258"/>
      <c r="J15258"/>
    </row>
    <row r="15259" spans="9:10" x14ac:dyDescent="0.3">
      <c r="I15259"/>
      <c r="J15259"/>
    </row>
    <row r="15260" spans="9:10" x14ac:dyDescent="0.3">
      <c r="I15260"/>
      <c r="J15260"/>
    </row>
    <row r="15261" spans="9:10" x14ac:dyDescent="0.3">
      <c r="I15261"/>
      <c r="J15261"/>
    </row>
    <row r="15262" spans="9:10" x14ac:dyDescent="0.3">
      <c r="I15262"/>
      <c r="J15262"/>
    </row>
    <row r="15263" spans="9:10" x14ac:dyDescent="0.3">
      <c r="I15263"/>
      <c r="J15263"/>
    </row>
    <row r="15264" spans="9:10" x14ac:dyDescent="0.3">
      <c r="I15264"/>
      <c r="J15264"/>
    </row>
    <row r="15265" spans="9:10" x14ac:dyDescent="0.3">
      <c r="I15265"/>
      <c r="J15265"/>
    </row>
    <row r="15266" spans="9:10" x14ac:dyDescent="0.3">
      <c r="I15266"/>
      <c r="J15266"/>
    </row>
    <row r="15267" spans="9:10" x14ac:dyDescent="0.3">
      <c r="I15267"/>
      <c r="J15267"/>
    </row>
    <row r="15268" spans="9:10" x14ac:dyDescent="0.3">
      <c r="I15268"/>
      <c r="J15268"/>
    </row>
    <row r="15269" spans="9:10" x14ac:dyDescent="0.3">
      <c r="I15269"/>
      <c r="J15269"/>
    </row>
    <row r="15270" spans="9:10" x14ac:dyDescent="0.3">
      <c r="I15270"/>
      <c r="J15270"/>
    </row>
    <row r="15271" spans="9:10" x14ac:dyDescent="0.3">
      <c r="I15271"/>
      <c r="J15271"/>
    </row>
    <row r="15272" spans="9:10" x14ac:dyDescent="0.3">
      <c r="I15272"/>
      <c r="J15272"/>
    </row>
    <row r="15273" spans="9:10" x14ac:dyDescent="0.3">
      <c r="I15273"/>
      <c r="J15273"/>
    </row>
    <row r="15274" spans="9:10" x14ac:dyDescent="0.3">
      <c r="I15274"/>
      <c r="J15274"/>
    </row>
    <row r="15275" spans="9:10" x14ac:dyDescent="0.3">
      <c r="I15275"/>
      <c r="J15275"/>
    </row>
    <row r="15276" spans="9:10" x14ac:dyDescent="0.3">
      <c r="I15276"/>
      <c r="J15276"/>
    </row>
    <row r="15277" spans="9:10" x14ac:dyDescent="0.3">
      <c r="I15277"/>
      <c r="J15277"/>
    </row>
    <row r="15278" spans="9:10" x14ac:dyDescent="0.3">
      <c r="I15278"/>
      <c r="J15278"/>
    </row>
    <row r="15279" spans="9:10" x14ac:dyDescent="0.3">
      <c r="I15279"/>
      <c r="J15279"/>
    </row>
    <row r="15280" spans="9:10" x14ac:dyDescent="0.3">
      <c r="I15280"/>
      <c r="J15280"/>
    </row>
    <row r="15281" spans="9:10" x14ac:dyDescent="0.3">
      <c r="I15281"/>
      <c r="J15281"/>
    </row>
    <row r="15282" spans="9:10" x14ac:dyDescent="0.3">
      <c r="I15282"/>
      <c r="J15282"/>
    </row>
    <row r="15283" spans="9:10" x14ac:dyDescent="0.3">
      <c r="I15283"/>
      <c r="J15283"/>
    </row>
    <row r="15284" spans="9:10" x14ac:dyDescent="0.3">
      <c r="I15284"/>
      <c r="J15284"/>
    </row>
    <row r="15285" spans="9:10" x14ac:dyDescent="0.3">
      <c r="I15285"/>
      <c r="J15285"/>
    </row>
    <row r="15286" spans="9:10" x14ac:dyDescent="0.3">
      <c r="I15286"/>
      <c r="J15286"/>
    </row>
    <row r="15287" spans="9:10" x14ac:dyDescent="0.3">
      <c r="I15287"/>
      <c r="J15287"/>
    </row>
    <row r="15288" spans="9:10" x14ac:dyDescent="0.3">
      <c r="I15288"/>
      <c r="J15288"/>
    </row>
    <row r="15289" spans="9:10" x14ac:dyDescent="0.3">
      <c r="I15289"/>
      <c r="J15289"/>
    </row>
    <row r="15290" spans="9:10" x14ac:dyDescent="0.3">
      <c r="I15290"/>
      <c r="J15290"/>
    </row>
    <row r="15291" spans="9:10" x14ac:dyDescent="0.3">
      <c r="I15291"/>
      <c r="J15291"/>
    </row>
    <row r="15292" spans="9:10" x14ac:dyDescent="0.3">
      <c r="I15292"/>
      <c r="J15292"/>
    </row>
    <row r="15293" spans="9:10" x14ac:dyDescent="0.3">
      <c r="I15293"/>
      <c r="J15293"/>
    </row>
    <row r="15294" spans="9:10" x14ac:dyDescent="0.3">
      <c r="I15294"/>
      <c r="J15294"/>
    </row>
    <row r="15295" spans="9:10" x14ac:dyDescent="0.3">
      <c r="I15295"/>
      <c r="J15295"/>
    </row>
    <row r="15296" spans="9:10" x14ac:dyDescent="0.3">
      <c r="I15296"/>
      <c r="J15296"/>
    </row>
    <row r="15297" spans="9:10" x14ac:dyDescent="0.3">
      <c r="I15297"/>
      <c r="J15297"/>
    </row>
    <row r="15298" spans="9:10" x14ac:dyDescent="0.3">
      <c r="I15298"/>
      <c r="J15298"/>
    </row>
    <row r="15299" spans="9:10" x14ac:dyDescent="0.3">
      <c r="I15299"/>
      <c r="J15299"/>
    </row>
    <row r="15300" spans="9:10" x14ac:dyDescent="0.3">
      <c r="I15300"/>
      <c r="J15300"/>
    </row>
    <row r="15301" spans="9:10" x14ac:dyDescent="0.3">
      <c r="I15301"/>
      <c r="J15301"/>
    </row>
    <row r="15302" spans="9:10" x14ac:dyDescent="0.3">
      <c r="I15302"/>
      <c r="J15302"/>
    </row>
    <row r="15303" spans="9:10" x14ac:dyDescent="0.3">
      <c r="I15303"/>
      <c r="J15303"/>
    </row>
    <row r="15304" spans="9:10" x14ac:dyDescent="0.3">
      <c r="I15304"/>
      <c r="J15304"/>
    </row>
    <row r="15305" spans="9:10" x14ac:dyDescent="0.3">
      <c r="I15305"/>
      <c r="J15305"/>
    </row>
    <row r="15306" spans="9:10" x14ac:dyDescent="0.3">
      <c r="I15306"/>
      <c r="J15306"/>
    </row>
    <row r="15307" spans="9:10" x14ac:dyDescent="0.3">
      <c r="I15307"/>
      <c r="J15307"/>
    </row>
    <row r="15308" spans="9:10" x14ac:dyDescent="0.3">
      <c r="I15308"/>
      <c r="J15308"/>
    </row>
    <row r="15309" spans="9:10" x14ac:dyDescent="0.3">
      <c r="I15309"/>
      <c r="J15309"/>
    </row>
    <row r="15310" spans="9:10" x14ac:dyDescent="0.3">
      <c r="I15310"/>
      <c r="J15310"/>
    </row>
    <row r="15311" spans="9:10" x14ac:dyDescent="0.3">
      <c r="I15311"/>
      <c r="J15311"/>
    </row>
    <row r="15312" spans="9:10" x14ac:dyDescent="0.3">
      <c r="I15312"/>
      <c r="J15312"/>
    </row>
    <row r="15313" spans="9:10" x14ac:dyDescent="0.3">
      <c r="I15313"/>
      <c r="J15313"/>
    </row>
    <row r="15314" spans="9:10" x14ac:dyDescent="0.3">
      <c r="I15314"/>
      <c r="J15314"/>
    </row>
    <row r="15315" spans="9:10" x14ac:dyDescent="0.3">
      <c r="I15315"/>
      <c r="J15315"/>
    </row>
    <row r="15316" spans="9:10" x14ac:dyDescent="0.3">
      <c r="I15316"/>
      <c r="J15316"/>
    </row>
    <row r="15317" spans="9:10" x14ac:dyDescent="0.3">
      <c r="I15317"/>
      <c r="J15317"/>
    </row>
    <row r="15318" spans="9:10" x14ac:dyDescent="0.3">
      <c r="I15318"/>
      <c r="J15318"/>
    </row>
    <row r="15319" spans="9:10" x14ac:dyDescent="0.3">
      <c r="I15319"/>
      <c r="J15319"/>
    </row>
    <row r="15320" spans="9:10" x14ac:dyDescent="0.3">
      <c r="I15320"/>
      <c r="J15320"/>
    </row>
    <row r="15321" spans="9:10" x14ac:dyDescent="0.3">
      <c r="I15321"/>
      <c r="J15321"/>
    </row>
    <row r="15322" spans="9:10" x14ac:dyDescent="0.3">
      <c r="I15322"/>
      <c r="J15322"/>
    </row>
    <row r="15323" spans="9:10" x14ac:dyDescent="0.3">
      <c r="I15323"/>
      <c r="J15323"/>
    </row>
    <row r="15324" spans="9:10" x14ac:dyDescent="0.3">
      <c r="I15324"/>
      <c r="J15324"/>
    </row>
    <row r="15325" spans="9:10" x14ac:dyDescent="0.3">
      <c r="I15325"/>
      <c r="J15325"/>
    </row>
    <row r="15326" spans="9:10" x14ac:dyDescent="0.3">
      <c r="I15326"/>
      <c r="J15326"/>
    </row>
    <row r="15327" spans="9:10" x14ac:dyDescent="0.3">
      <c r="I15327"/>
      <c r="J15327"/>
    </row>
    <row r="15328" spans="9:10" x14ac:dyDescent="0.3">
      <c r="I15328"/>
      <c r="J15328"/>
    </row>
    <row r="15329" spans="9:10" x14ac:dyDescent="0.3">
      <c r="I15329"/>
      <c r="J15329"/>
    </row>
    <row r="15330" spans="9:10" x14ac:dyDescent="0.3">
      <c r="I15330"/>
      <c r="J15330"/>
    </row>
    <row r="15331" spans="9:10" x14ac:dyDescent="0.3">
      <c r="I15331"/>
      <c r="J15331"/>
    </row>
    <row r="15332" spans="9:10" x14ac:dyDescent="0.3">
      <c r="I15332"/>
      <c r="J15332"/>
    </row>
    <row r="15333" spans="9:10" x14ac:dyDescent="0.3">
      <c r="I15333"/>
      <c r="J15333"/>
    </row>
    <row r="15334" spans="9:10" x14ac:dyDescent="0.3">
      <c r="I15334"/>
      <c r="J15334"/>
    </row>
    <row r="15335" spans="9:10" x14ac:dyDescent="0.3">
      <c r="I15335"/>
      <c r="J15335"/>
    </row>
    <row r="15336" spans="9:10" x14ac:dyDescent="0.3">
      <c r="I15336"/>
      <c r="J15336"/>
    </row>
    <row r="15337" spans="9:10" x14ac:dyDescent="0.3">
      <c r="I15337"/>
      <c r="J15337"/>
    </row>
    <row r="15338" spans="9:10" x14ac:dyDescent="0.3">
      <c r="I15338"/>
      <c r="J15338"/>
    </row>
    <row r="15339" spans="9:10" x14ac:dyDescent="0.3">
      <c r="I15339"/>
      <c r="J15339"/>
    </row>
    <row r="15340" spans="9:10" x14ac:dyDescent="0.3">
      <c r="I15340"/>
      <c r="J15340"/>
    </row>
    <row r="15341" spans="9:10" x14ac:dyDescent="0.3">
      <c r="I15341"/>
      <c r="J15341"/>
    </row>
    <row r="15342" spans="9:10" x14ac:dyDescent="0.3">
      <c r="I15342"/>
      <c r="J15342"/>
    </row>
    <row r="15343" spans="9:10" x14ac:dyDescent="0.3">
      <c r="I15343"/>
      <c r="J15343"/>
    </row>
    <row r="15344" spans="9:10" x14ac:dyDescent="0.3">
      <c r="I15344"/>
      <c r="J15344"/>
    </row>
    <row r="15345" spans="9:10" x14ac:dyDescent="0.3">
      <c r="I15345"/>
      <c r="J15345"/>
    </row>
    <row r="15346" spans="9:10" x14ac:dyDescent="0.3">
      <c r="I15346"/>
      <c r="J15346"/>
    </row>
    <row r="15347" spans="9:10" x14ac:dyDescent="0.3">
      <c r="I15347"/>
      <c r="J15347"/>
    </row>
    <row r="15348" spans="9:10" x14ac:dyDescent="0.3">
      <c r="I15348"/>
      <c r="J15348"/>
    </row>
    <row r="15349" spans="9:10" x14ac:dyDescent="0.3">
      <c r="I15349"/>
      <c r="J15349"/>
    </row>
    <row r="15350" spans="9:10" x14ac:dyDescent="0.3">
      <c r="I15350"/>
      <c r="J15350"/>
    </row>
    <row r="15351" spans="9:10" x14ac:dyDescent="0.3">
      <c r="I15351"/>
      <c r="J15351"/>
    </row>
    <row r="15352" spans="9:10" x14ac:dyDescent="0.3">
      <c r="I15352"/>
      <c r="J15352"/>
    </row>
    <row r="15353" spans="9:10" x14ac:dyDescent="0.3">
      <c r="I15353"/>
      <c r="J15353"/>
    </row>
    <row r="15354" spans="9:10" x14ac:dyDescent="0.3">
      <c r="I15354"/>
      <c r="J15354"/>
    </row>
    <row r="15355" spans="9:10" x14ac:dyDescent="0.3">
      <c r="I15355"/>
      <c r="J15355"/>
    </row>
    <row r="15356" spans="9:10" x14ac:dyDescent="0.3">
      <c r="I15356"/>
      <c r="J15356"/>
    </row>
    <row r="15357" spans="9:10" x14ac:dyDescent="0.3">
      <c r="I15357"/>
      <c r="J15357"/>
    </row>
    <row r="15358" spans="9:10" x14ac:dyDescent="0.3">
      <c r="I15358"/>
      <c r="J15358"/>
    </row>
    <row r="15359" spans="9:10" x14ac:dyDescent="0.3">
      <c r="I15359"/>
      <c r="J15359"/>
    </row>
    <row r="15360" spans="9:10" x14ac:dyDescent="0.3">
      <c r="I15360"/>
      <c r="J15360"/>
    </row>
    <row r="15361" spans="9:10" x14ac:dyDescent="0.3">
      <c r="I15361"/>
      <c r="J15361"/>
    </row>
    <row r="15362" spans="9:10" x14ac:dyDescent="0.3">
      <c r="I15362"/>
      <c r="J15362"/>
    </row>
    <row r="15363" spans="9:10" x14ac:dyDescent="0.3">
      <c r="I15363"/>
      <c r="J15363"/>
    </row>
    <row r="15364" spans="9:10" x14ac:dyDescent="0.3">
      <c r="I15364"/>
      <c r="J15364"/>
    </row>
    <row r="15365" spans="9:10" x14ac:dyDescent="0.3">
      <c r="I15365"/>
      <c r="J15365"/>
    </row>
    <row r="15366" spans="9:10" x14ac:dyDescent="0.3">
      <c r="I15366"/>
      <c r="J15366"/>
    </row>
    <row r="15367" spans="9:10" x14ac:dyDescent="0.3">
      <c r="I15367"/>
      <c r="J15367"/>
    </row>
    <row r="15368" spans="9:10" x14ac:dyDescent="0.3">
      <c r="I15368"/>
      <c r="J15368"/>
    </row>
    <row r="15369" spans="9:10" x14ac:dyDescent="0.3">
      <c r="I15369"/>
      <c r="J15369"/>
    </row>
    <row r="15370" spans="9:10" x14ac:dyDescent="0.3">
      <c r="I15370"/>
      <c r="J15370"/>
    </row>
    <row r="15371" spans="9:10" x14ac:dyDescent="0.3">
      <c r="I15371"/>
      <c r="J15371"/>
    </row>
    <row r="15372" spans="9:10" x14ac:dyDescent="0.3">
      <c r="I15372"/>
      <c r="J15372"/>
    </row>
    <row r="15373" spans="9:10" x14ac:dyDescent="0.3">
      <c r="I15373"/>
      <c r="J15373"/>
    </row>
    <row r="15374" spans="9:10" x14ac:dyDescent="0.3">
      <c r="I15374"/>
      <c r="J15374"/>
    </row>
    <row r="15375" spans="9:10" x14ac:dyDescent="0.3">
      <c r="I15375"/>
      <c r="J15375"/>
    </row>
    <row r="15376" spans="9:10" x14ac:dyDescent="0.3">
      <c r="I15376"/>
      <c r="J15376"/>
    </row>
    <row r="15377" spans="9:10" x14ac:dyDescent="0.3">
      <c r="I15377"/>
      <c r="J15377"/>
    </row>
    <row r="15378" spans="9:10" x14ac:dyDescent="0.3">
      <c r="I15378"/>
      <c r="J15378"/>
    </row>
    <row r="15379" spans="9:10" x14ac:dyDescent="0.3">
      <c r="I15379"/>
      <c r="J15379"/>
    </row>
    <row r="15380" spans="9:10" x14ac:dyDescent="0.3">
      <c r="I15380"/>
      <c r="J15380"/>
    </row>
    <row r="15381" spans="9:10" x14ac:dyDescent="0.3">
      <c r="I15381"/>
      <c r="J15381"/>
    </row>
    <row r="15382" spans="9:10" x14ac:dyDescent="0.3">
      <c r="I15382"/>
      <c r="J15382"/>
    </row>
    <row r="15383" spans="9:10" x14ac:dyDescent="0.3">
      <c r="I15383"/>
      <c r="J15383"/>
    </row>
    <row r="15384" spans="9:10" x14ac:dyDescent="0.3">
      <c r="I15384"/>
      <c r="J15384"/>
    </row>
    <row r="15385" spans="9:10" x14ac:dyDescent="0.3">
      <c r="I15385"/>
      <c r="J15385"/>
    </row>
    <row r="15386" spans="9:10" x14ac:dyDescent="0.3">
      <c r="I15386"/>
      <c r="J15386"/>
    </row>
    <row r="15387" spans="9:10" x14ac:dyDescent="0.3">
      <c r="I15387"/>
      <c r="J15387"/>
    </row>
    <row r="15388" spans="9:10" x14ac:dyDescent="0.3">
      <c r="I15388"/>
      <c r="J15388"/>
    </row>
    <row r="15389" spans="9:10" x14ac:dyDescent="0.3">
      <c r="I15389"/>
      <c r="J15389"/>
    </row>
    <row r="15390" spans="9:10" x14ac:dyDescent="0.3">
      <c r="I15390"/>
      <c r="J15390"/>
    </row>
    <row r="15391" spans="9:10" x14ac:dyDescent="0.3">
      <c r="I15391"/>
      <c r="J15391"/>
    </row>
    <row r="15392" spans="9:10" x14ac:dyDescent="0.3">
      <c r="I15392"/>
      <c r="J15392"/>
    </row>
    <row r="15393" spans="9:10" x14ac:dyDescent="0.3">
      <c r="I15393"/>
      <c r="J15393"/>
    </row>
    <row r="15394" spans="9:10" x14ac:dyDescent="0.3">
      <c r="I15394"/>
      <c r="J15394"/>
    </row>
    <row r="15395" spans="9:10" x14ac:dyDescent="0.3">
      <c r="I15395"/>
      <c r="J15395"/>
    </row>
    <row r="15396" spans="9:10" x14ac:dyDescent="0.3">
      <c r="I15396"/>
      <c r="J15396"/>
    </row>
    <row r="15397" spans="9:10" x14ac:dyDescent="0.3">
      <c r="I15397"/>
      <c r="J15397"/>
    </row>
    <row r="15398" spans="9:10" x14ac:dyDescent="0.3">
      <c r="I15398"/>
      <c r="J15398"/>
    </row>
    <row r="15399" spans="9:10" x14ac:dyDescent="0.3">
      <c r="I15399"/>
      <c r="J15399"/>
    </row>
    <row r="15400" spans="9:10" x14ac:dyDescent="0.3">
      <c r="I15400"/>
      <c r="J15400"/>
    </row>
    <row r="15401" spans="9:10" x14ac:dyDescent="0.3">
      <c r="I15401"/>
      <c r="J15401"/>
    </row>
    <row r="15402" spans="9:10" x14ac:dyDescent="0.3">
      <c r="I15402"/>
      <c r="J15402"/>
    </row>
    <row r="15403" spans="9:10" x14ac:dyDescent="0.3">
      <c r="I15403"/>
      <c r="J15403"/>
    </row>
    <row r="15404" spans="9:10" x14ac:dyDescent="0.3">
      <c r="I15404"/>
      <c r="J15404"/>
    </row>
    <row r="15405" spans="9:10" x14ac:dyDescent="0.3">
      <c r="I15405"/>
      <c r="J15405"/>
    </row>
    <row r="15406" spans="9:10" x14ac:dyDescent="0.3">
      <c r="I15406"/>
      <c r="J15406"/>
    </row>
    <row r="15407" spans="9:10" x14ac:dyDescent="0.3">
      <c r="I15407"/>
      <c r="J15407"/>
    </row>
    <row r="15408" spans="9:10" x14ac:dyDescent="0.3">
      <c r="I15408"/>
      <c r="J15408"/>
    </row>
    <row r="15409" spans="9:10" x14ac:dyDescent="0.3">
      <c r="I15409"/>
      <c r="J15409"/>
    </row>
    <row r="15410" spans="9:10" x14ac:dyDescent="0.3">
      <c r="I15410"/>
      <c r="J15410"/>
    </row>
    <row r="15411" spans="9:10" x14ac:dyDescent="0.3">
      <c r="I15411"/>
      <c r="J15411"/>
    </row>
    <row r="15412" spans="9:10" x14ac:dyDescent="0.3">
      <c r="I15412"/>
      <c r="J15412"/>
    </row>
    <row r="15413" spans="9:10" x14ac:dyDescent="0.3">
      <c r="I15413"/>
      <c r="J15413"/>
    </row>
    <row r="15414" spans="9:10" x14ac:dyDescent="0.3">
      <c r="I15414"/>
      <c r="J15414"/>
    </row>
    <row r="15415" spans="9:10" x14ac:dyDescent="0.3">
      <c r="I15415"/>
      <c r="J15415"/>
    </row>
    <row r="15416" spans="9:10" x14ac:dyDescent="0.3">
      <c r="I15416"/>
      <c r="J15416"/>
    </row>
    <row r="15417" spans="9:10" x14ac:dyDescent="0.3">
      <c r="I15417"/>
      <c r="J15417"/>
    </row>
    <row r="15418" spans="9:10" x14ac:dyDescent="0.3">
      <c r="I15418"/>
      <c r="J15418"/>
    </row>
    <row r="15419" spans="9:10" x14ac:dyDescent="0.3">
      <c r="I15419"/>
      <c r="J15419"/>
    </row>
    <row r="15420" spans="9:10" x14ac:dyDescent="0.3">
      <c r="I15420"/>
      <c r="J15420"/>
    </row>
    <row r="15421" spans="9:10" x14ac:dyDescent="0.3">
      <c r="I15421"/>
      <c r="J15421"/>
    </row>
    <row r="15422" spans="9:10" x14ac:dyDescent="0.3">
      <c r="I15422"/>
      <c r="J15422"/>
    </row>
    <row r="15423" spans="9:10" x14ac:dyDescent="0.3">
      <c r="I15423"/>
      <c r="J15423"/>
    </row>
    <row r="15424" spans="9:10" x14ac:dyDescent="0.3">
      <c r="I15424"/>
      <c r="J15424"/>
    </row>
    <row r="15425" spans="9:10" x14ac:dyDescent="0.3">
      <c r="I15425"/>
      <c r="J15425"/>
    </row>
    <row r="15426" spans="9:10" x14ac:dyDescent="0.3">
      <c r="I15426"/>
      <c r="J15426"/>
    </row>
    <row r="15427" spans="9:10" x14ac:dyDescent="0.3">
      <c r="I15427"/>
      <c r="J15427"/>
    </row>
    <row r="15428" spans="9:10" x14ac:dyDescent="0.3">
      <c r="I15428"/>
      <c r="J15428"/>
    </row>
    <row r="15429" spans="9:10" x14ac:dyDescent="0.3">
      <c r="I15429"/>
      <c r="J15429"/>
    </row>
    <row r="15430" spans="9:10" x14ac:dyDescent="0.3">
      <c r="I15430"/>
      <c r="J15430"/>
    </row>
    <row r="15431" spans="9:10" x14ac:dyDescent="0.3">
      <c r="I15431"/>
      <c r="J15431"/>
    </row>
    <row r="15432" spans="9:10" x14ac:dyDescent="0.3">
      <c r="I15432"/>
      <c r="J15432"/>
    </row>
    <row r="15433" spans="9:10" x14ac:dyDescent="0.3">
      <c r="I15433"/>
      <c r="J15433"/>
    </row>
    <row r="15434" spans="9:10" x14ac:dyDescent="0.3">
      <c r="I15434"/>
      <c r="J15434"/>
    </row>
    <row r="15435" spans="9:10" x14ac:dyDescent="0.3">
      <c r="I15435"/>
      <c r="J15435"/>
    </row>
    <row r="15436" spans="9:10" x14ac:dyDescent="0.3">
      <c r="I15436"/>
      <c r="J15436"/>
    </row>
    <row r="15437" spans="9:10" x14ac:dyDescent="0.3">
      <c r="I15437"/>
      <c r="J15437"/>
    </row>
    <row r="15438" spans="9:10" x14ac:dyDescent="0.3">
      <c r="I15438"/>
      <c r="J15438"/>
    </row>
    <row r="15439" spans="9:10" x14ac:dyDescent="0.3">
      <c r="I15439"/>
      <c r="J15439"/>
    </row>
    <row r="15440" spans="9:10" x14ac:dyDescent="0.3">
      <c r="I15440"/>
      <c r="J15440"/>
    </row>
    <row r="15441" spans="9:10" x14ac:dyDescent="0.3">
      <c r="I15441"/>
      <c r="J15441"/>
    </row>
    <row r="15442" spans="9:10" x14ac:dyDescent="0.3">
      <c r="I15442"/>
      <c r="J15442"/>
    </row>
    <row r="15443" spans="9:10" x14ac:dyDescent="0.3">
      <c r="I15443"/>
      <c r="J15443"/>
    </row>
    <row r="15444" spans="9:10" x14ac:dyDescent="0.3">
      <c r="I15444"/>
      <c r="J15444"/>
    </row>
    <row r="15445" spans="9:10" x14ac:dyDescent="0.3">
      <c r="I15445"/>
      <c r="J15445"/>
    </row>
    <row r="15446" spans="9:10" x14ac:dyDescent="0.3">
      <c r="I15446"/>
      <c r="J15446"/>
    </row>
    <row r="15447" spans="9:10" x14ac:dyDescent="0.3">
      <c r="I15447"/>
      <c r="J15447"/>
    </row>
    <row r="15448" spans="9:10" x14ac:dyDescent="0.3">
      <c r="I15448"/>
      <c r="J15448"/>
    </row>
    <row r="15449" spans="9:10" x14ac:dyDescent="0.3">
      <c r="I15449"/>
      <c r="J15449"/>
    </row>
    <row r="15450" spans="9:10" x14ac:dyDescent="0.3">
      <c r="I15450"/>
      <c r="J15450"/>
    </row>
    <row r="15451" spans="9:10" x14ac:dyDescent="0.3">
      <c r="I15451"/>
      <c r="J15451"/>
    </row>
    <row r="15452" spans="9:10" x14ac:dyDescent="0.3">
      <c r="I15452"/>
      <c r="J15452"/>
    </row>
    <row r="15453" spans="9:10" x14ac:dyDescent="0.3">
      <c r="I15453"/>
      <c r="J15453"/>
    </row>
    <row r="15454" spans="9:10" x14ac:dyDescent="0.3">
      <c r="I15454"/>
      <c r="J15454"/>
    </row>
    <row r="15455" spans="9:10" x14ac:dyDescent="0.3">
      <c r="I15455"/>
      <c r="J15455"/>
    </row>
    <row r="15456" spans="9:10" x14ac:dyDescent="0.3">
      <c r="I15456"/>
      <c r="J15456"/>
    </row>
    <row r="15457" spans="9:10" x14ac:dyDescent="0.3">
      <c r="I15457"/>
      <c r="J15457"/>
    </row>
    <row r="15458" spans="9:10" x14ac:dyDescent="0.3">
      <c r="I15458"/>
      <c r="J15458"/>
    </row>
    <row r="15459" spans="9:10" x14ac:dyDescent="0.3">
      <c r="I15459"/>
      <c r="J15459"/>
    </row>
    <row r="15460" spans="9:10" x14ac:dyDescent="0.3">
      <c r="I15460"/>
      <c r="J15460"/>
    </row>
    <row r="15461" spans="9:10" x14ac:dyDescent="0.3">
      <c r="I15461"/>
      <c r="J15461"/>
    </row>
    <row r="15462" spans="9:10" x14ac:dyDescent="0.3">
      <c r="I15462"/>
      <c r="J15462"/>
    </row>
    <row r="15463" spans="9:10" x14ac:dyDescent="0.3">
      <c r="I15463"/>
      <c r="J15463"/>
    </row>
    <row r="15464" spans="9:10" x14ac:dyDescent="0.3">
      <c r="I15464"/>
      <c r="J15464"/>
    </row>
    <row r="15465" spans="9:10" x14ac:dyDescent="0.3">
      <c r="I15465"/>
      <c r="J15465"/>
    </row>
    <row r="15466" spans="9:10" x14ac:dyDescent="0.3">
      <c r="I15466"/>
      <c r="J15466"/>
    </row>
    <row r="15467" spans="9:10" x14ac:dyDescent="0.3">
      <c r="I15467"/>
      <c r="J15467"/>
    </row>
    <row r="15468" spans="9:10" x14ac:dyDescent="0.3">
      <c r="I15468"/>
      <c r="J15468"/>
    </row>
    <row r="15469" spans="9:10" x14ac:dyDescent="0.3">
      <c r="I15469"/>
      <c r="J15469"/>
    </row>
    <row r="15470" spans="9:10" x14ac:dyDescent="0.3">
      <c r="I15470"/>
      <c r="J15470"/>
    </row>
    <row r="15471" spans="9:10" x14ac:dyDescent="0.3">
      <c r="I15471"/>
      <c r="J15471"/>
    </row>
    <row r="15472" spans="9:10" x14ac:dyDescent="0.3">
      <c r="I15472"/>
      <c r="J15472"/>
    </row>
    <row r="15473" spans="9:10" x14ac:dyDescent="0.3">
      <c r="I15473"/>
      <c r="J15473"/>
    </row>
    <row r="15474" spans="9:10" x14ac:dyDescent="0.3">
      <c r="I15474"/>
      <c r="J15474"/>
    </row>
    <row r="15475" spans="9:10" x14ac:dyDescent="0.3">
      <c r="I15475"/>
      <c r="J15475"/>
    </row>
    <row r="15476" spans="9:10" x14ac:dyDescent="0.3">
      <c r="I15476"/>
      <c r="J15476"/>
    </row>
    <row r="15477" spans="9:10" x14ac:dyDescent="0.3">
      <c r="I15477"/>
      <c r="J15477"/>
    </row>
    <row r="15478" spans="9:10" x14ac:dyDescent="0.3">
      <c r="I15478"/>
      <c r="J15478"/>
    </row>
    <row r="15479" spans="9:10" x14ac:dyDescent="0.3">
      <c r="I15479"/>
      <c r="J15479"/>
    </row>
    <row r="15480" spans="9:10" x14ac:dyDescent="0.3">
      <c r="I15480"/>
      <c r="J15480"/>
    </row>
    <row r="15481" spans="9:10" x14ac:dyDescent="0.3">
      <c r="I15481"/>
      <c r="J15481"/>
    </row>
    <row r="15482" spans="9:10" x14ac:dyDescent="0.3">
      <c r="I15482"/>
      <c r="J15482"/>
    </row>
    <row r="15483" spans="9:10" x14ac:dyDescent="0.3">
      <c r="I15483"/>
      <c r="J15483"/>
    </row>
    <row r="15484" spans="9:10" x14ac:dyDescent="0.3">
      <c r="I15484"/>
      <c r="J15484"/>
    </row>
    <row r="15485" spans="9:10" x14ac:dyDescent="0.3">
      <c r="I15485"/>
      <c r="J15485"/>
    </row>
    <row r="15486" spans="9:10" x14ac:dyDescent="0.3">
      <c r="I15486"/>
      <c r="J15486"/>
    </row>
    <row r="15487" spans="9:10" x14ac:dyDescent="0.3">
      <c r="I15487"/>
      <c r="J15487"/>
    </row>
    <row r="15488" spans="9:10" x14ac:dyDescent="0.3">
      <c r="I15488"/>
      <c r="J15488"/>
    </row>
    <row r="15489" spans="9:10" x14ac:dyDescent="0.3">
      <c r="I15489"/>
      <c r="J15489"/>
    </row>
    <row r="15490" spans="9:10" x14ac:dyDescent="0.3">
      <c r="I15490"/>
      <c r="J15490"/>
    </row>
    <row r="15491" spans="9:10" x14ac:dyDescent="0.3">
      <c r="I15491"/>
      <c r="J15491"/>
    </row>
    <row r="15492" spans="9:10" x14ac:dyDescent="0.3">
      <c r="I15492"/>
      <c r="J15492"/>
    </row>
    <row r="15493" spans="9:10" x14ac:dyDescent="0.3">
      <c r="I15493"/>
      <c r="J15493"/>
    </row>
    <row r="15494" spans="9:10" x14ac:dyDescent="0.3">
      <c r="I15494"/>
      <c r="J15494"/>
    </row>
    <row r="15495" spans="9:10" x14ac:dyDescent="0.3">
      <c r="I15495"/>
      <c r="J15495"/>
    </row>
    <row r="15496" spans="9:10" x14ac:dyDescent="0.3">
      <c r="I15496"/>
      <c r="J15496"/>
    </row>
    <row r="15497" spans="9:10" x14ac:dyDescent="0.3">
      <c r="I15497"/>
      <c r="J15497"/>
    </row>
    <row r="15498" spans="9:10" x14ac:dyDescent="0.3">
      <c r="I15498"/>
      <c r="J15498"/>
    </row>
    <row r="15499" spans="9:10" x14ac:dyDescent="0.3">
      <c r="I15499"/>
      <c r="J15499"/>
    </row>
    <row r="15500" spans="9:10" x14ac:dyDescent="0.3">
      <c r="I15500"/>
      <c r="J15500"/>
    </row>
    <row r="15501" spans="9:10" x14ac:dyDescent="0.3">
      <c r="I15501"/>
      <c r="J15501"/>
    </row>
    <row r="15502" spans="9:10" x14ac:dyDescent="0.3">
      <c r="I15502"/>
      <c r="J15502"/>
    </row>
    <row r="15503" spans="9:10" x14ac:dyDescent="0.3">
      <c r="I15503"/>
      <c r="J15503"/>
    </row>
    <row r="15504" spans="9:10" x14ac:dyDescent="0.3">
      <c r="I15504"/>
      <c r="J15504"/>
    </row>
    <row r="15505" spans="9:10" x14ac:dyDescent="0.3">
      <c r="I15505"/>
      <c r="J15505"/>
    </row>
    <row r="15506" spans="9:10" x14ac:dyDescent="0.3">
      <c r="I15506"/>
      <c r="J15506"/>
    </row>
    <row r="15507" spans="9:10" x14ac:dyDescent="0.3">
      <c r="I15507"/>
      <c r="J15507"/>
    </row>
    <row r="15508" spans="9:10" x14ac:dyDescent="0.3">
      <c r="I15508"/>
      <c r="J15508"/>
    </row>
    <row r="15509" spans="9:10" x14ac:dyDescent="0.3">
      <c r="I15509"/>
      <c r="J15509"/>
    </row>
    <row r="15510" spans="9:10" x14ac:dyDescent="0.3">
      <c r="I15510"/>
      <c r="J15510"/>
    </row>
    <row r="15511" spans="9:10" x14ac:dyDescent="0.3">
      <c r="I15511"/>
      <c r="J15511"/>
    </row>
    <row r="15512" spans="9:10" x14ac:dyDescent="0.3">
      <c r="I15512"/>
      <c r="J15512"/>
    </row>
    <row r="15513" spans="9:10" x14ac:dyDescent="0.3">
      <c r="I15513"/>
      <c r="J15513"/>
    </row>
    <row r="15514" spans="9:10" x14ac:dyDescent="0.3">
      <c r="I15514"/>
      <c r="J15514"/>
    </row>
    <row r="15515" spans="9:10" x14ac:dyDescent="0.3">
      <c r="I15515"/>
      <c r="J15515"/>
    </row>
    <row r="15516" spans="9:10" x14ac:dyDescent="0.3">
      <c r="I15516"/>
      <c r="J15516"/>
    </row>
    <row r="15517" spans="9:10" x14ac:dyDescent="0.3">
      <c r="I15517"/>
      <c r="J15517"/>
    </row>
    <row r="15518" spans="9:10" x14ac:dyDescent="0.3">
      <c r="I15518"/>
      <c r="J15518"/>
    </row>
    <row r="15519" spans="9:10" x14ac:dyDescent="0.3">
      <c r="I15519"/>
      <c r="J15519"/>
    </row>
    <row r="15520" spans="9:10" x14ac:dyDescent="0.3">
      <c r="I15520"/>
      <c r="J15520"/>
    </row>
    <row r="15521" spans="9:10" x14ac:dyDescent="0.3">
      <c r="I15521"/>
      <c r="J15521"/>
    </row>
    <row r="15522" spans="9:10" x14ac:dyDescent="0.3">
      <c r="I15522"/>
      <c r="J15522"/>
    </row>
    <row r="15523" spans="9:10" x14ac:dyDescent="0.3">
      <c r="I15523"/>
      <c r="J15523"/>
    </row>
    <row r="15524" spans="9:10" x14ac:dyDescent="0.3">
      <c r="I15524"/>
      <c r="J15524"/>
    </row>
    <row r="15525" spans="9:10" x14ac:dyDescent="0.3">
      <c r="I15525"/>
      <c r="J15525"/>
    </row>
    <row r="15526" spans="9:10" x14ac:dyDescent="0.3">
      <c r="I15526"/>
      <c r="J15526"/>
    </row>
    <row r="15527" spans="9:10" x14ac:dyDescent="0.3">
      <c r="I15527"/>
      <c r="J15527"/>
    </row>
    <row r="15528" spans="9:10" x14ac:dyDescent="0.3">
      <c r="I15528"/>
      <c r="J15528"/>
    </row>
    <row r="15529" spans="9:10" x14ac:dyDescent="0.3">
      <c r="I15529"/>
      <c r="J15529"/>
    </row>
    <row r="15530" spans="9:10" x14ac:dyDescent="0.3">
      <c r="I15530"/>
      <c r="J15530"/>
    </row>
    <row r="15531" spans="9:10" x14ac:dyDescent="0.3">
      <c r="I15531"/>
      <c r="J15531"/>
    </row>
    <row r="15532" spans="9:10" x14ac:dyDescent="0.3">
      <c r="I15532"/>
      <c r="J15532"/>
    </row>
    <row r="15533" spans="9:10" x14ac:dyDescent="0.3">
      <c r="I15533"/>
      <c r="J15533"/>
    </row>
    <row r="15534" spans="9:10" x14ac:dyDescent="0.3">
      <c r="I15534"/>
      <c r="J15534"/>
    </row>
    <row r="15535" spans="9:10" x14ac:dyDescent="0.3">
      <c r="I15535"/>
      <c r="J15535"/>
    </row>
    <row r="15536" spans="9:10" x14ac:dyDescent="0.3">
      <c r="I15536"/>
      <c r="J15536"/>
    </row>
    <row r="15537" spans="9:10" x14ac:dyDescent="0.3">
      <c r="I15537"/>
      <c r="J15537"/>
    </row>
    <row r="15538" spans="9:10" x14ac:dyDescent="0.3">
      <c r="I15538"/>
      <c r="J15538"/>
    </row>
    <row r="15539" spans="9:10" x14ac:dyDescent="0.3">
      <c r="I15539"/>
      <c r="J15539"/>
    </row>
    <row r="15540" spans="9:10" x14ac:dyDescent="0.3">
      <c r="I15540"/>
      <c r="J15540"/>
    </row>
    <row r="15541" spans="9:10" x14ac:dyDescent="0.3">
      <c r="I15541"/>
      <c r="J15541"/>
    </row>
    <row r="15542" spans="9:10" x14ac:dyDescent="0.3">
      <c r="I15542"/>
      <c r="J15542"/>
    </row>
    <row r="15543" spans="9:10" x14ac:dyDescent="0.3">
      <c r="I15543"/>
      <c r="J15543"/>
    </row>
    <row r="15544" spans="9:10" x14ac:dyDescent="0.3">
      <c r="I15544"/>
      <c r="J15544"/>
    </row>
    <row r="15545" spans="9:10" x14ac:dyDescent="0.3">
      <c r="I15545"/>
      <c r="J15545"/>
    </row>
    <row r="15546" spans="9:10" x14ac:dyDescent="0.3">
      <c r="I15546"/>
      <c r="J15546"/>
    </row>
    <row r="15547" spans="9:10" x14ac:dyDescent="0.3">
      <c r="I15547"/>
      <c r="J15547"/>
    </row>
    <row r="15548" spans="9:10" x14ac:dyDescent="0.3">
      <c r="I15548"/>
      <c r="J15548"/>
    </row>
    <row r="15549" spans="9:10" x14ac:dyDescent="0.3">
      <c r="I15549"/>
      <c r="J15549"/>
    </row>
    <row r="15550" spans="9:10" x14ac:dyDescent="0.3">
      <c r="I15550"/>
      <c r="J15550"/>
    </row>
    <row r="15551" spans="9:10" x14ac:dyDescent="0.3">
      <c r="I15551"/>
      <c r="J15551"/>
    </row>
    <row r="15552" spans="9:10" x14ac:dyDescent="0.3">
      <c r="I15552"/>
      <c r="J15552"/>
    </row>
    <row r="15553" spans="9:10" x14ac:dyDescent="0.3">
      <c r="I15553"/>
      <c r="J15553"/>
    </row>
    <row r="15554" spans="9:10" x14ac:dyDescent="0.3">
      <c r="I15554"/>
      <c r="J15554"/>
    </row>
    <row r="15555" spans="9:10" x14ac:dyDescent="0.3">
      <c r="I15555"/>
      <c r="J15555"/>
    </row>
    <row r="15556" spans="9:10" x14ac:dyDescent="0.3">
      <c r="I15556"/>
      <c r="J15556"/>
    </row>
    <row r="15557" spans="9:10" x14ac:dyDescent="0.3">
      <c r="I15557"/>
      <c r="J15557"/>
    </row>
    <row r="15558" spans="9:10" x14ac:dyDescent="0.3">
      <c r="I15558"/>
      <c r="J15558"/>
    </row>
    <row r="15559" spans="9:10" x14ac:dyDescent="0.3">
      <c r="I15559"/>
      <c r="J15559"/>
    </row>
    <row r="15560" spans="9:10" x14ac:dyDescent="0.3">
      <c r="I15560"/>
      <c r="J15560"/>
    </row>
    <row r="15561" spans="9:10" x14ac:dyDescent="0.3">
      <c r="I15561"/>
      <c r="J15561"/>
    </row>
    <row r="15562" spans="9:10" x14ac:dyDescent="0.3">
      <c r="I15562"/>
      <c r="J15562"/>
    </row>
    <row r="15563" spans="9:10" x14ac:dyDescent="0.3">
      <c r="I15563"/>
      <c r="J15563"/>
    </row>
    <row r="15564" spans="9:10" x14ac:dyDescent="0.3">
      <c r="I15564"/>
      <c r="J15564"/>
    </row>
    <row r="15565" spans="9:10" x14ac:dyDescent="0.3">
      <c r="I15565"/>
      <c r="J15565"/>
    </row>
    <row r="15566" spans="9:10" x14ac:dyDescent="0.3">
      <c r="I15566"/>
      <c r="J15566"/>
    </row>
    <row r="15567" spans="9:10" x14ac:dyDescent="0.3">
      <c r="I15567"/>
      <c r="J15567"/>
    </row>
    <row r="15568" spans="9:10" x14ac:dyDescent="0.3">
      <c r="I15568"/>
      <c r="J15568"/>
    </row>
    <row r="15569" spans="9:10" x14ac:dyDescent="0.3">
      <c r="I15569"/>
      <c r="J15569"/>
    </row>
    <row r="15570" spans="9:10" x14ac:dyDescent="0.3">
      <c r="I15570"/>
      <c r="J15570"/>
    </row>
    <row r="15571" spans="9:10" x14ac:dyDescent="0.3">
      <c r="I15571"/>
      <c r="J15571"/>
    </row>
    <row r="15572" spans="9:10" x14ac:dyDescent="0.3">
      <c r="I15572"/>
      <c r="J15572"/>
    </row>
    <row r="15573" spans="9:10" x14ac:dyDescent="0.3">
      <c r="I15573"/>
      <c r="J15573"/>
    </row>
    <row r="15574" spans="9:10" x14ac:dyDescent="0.3">
      <c r="I15574"/>
      <c r="J15574"/>
    </row>
    <row r="15575" spans="9:10" x14ac:dyDescent="0.3">
      <c r="I15575"/>
      <c r="J15575"/>
    </row>
    <row r="15576" spans="9:10" x14ac:dyDescent="0.3">
      <c r="I15576"/>
      <c r="J15576"/>
    </row>
    <row r="15577" spans="9:10" x14ac:dyDescent="0.3">
      <c r="I15577"/>
      <c r="J15577"/>
    </row>
    <row r="15578" spans="9:10" x14ac:dyDescent="0.3">
      <c r="I15578"/>
      <c r="J15578"/>
    </row>
    <row r="15579" spans="9:10" x14ac:dyDescent="0.3">
      <c r="I15579"/>
      <c r="J15579"/>
    </row>
    <row r="15580" spans="9:10" x14ac:dyDescent="0.3">
      <c r="I15580"/>
      <c r="J15580"/>
    </row>
    <row r="15581" spans="9:10" x14ac:dyDescent="0.3">
      <c r="I15581"/>
      <c r="J15581"/>
    </row>
    <row r="15582" spans="9:10" x14ac:dyDescent="0.3">
      <c r="I15582"/>
      <c r="J15582"/>
    </row>
    <row r="15583" spans="9:10" x14ac:dyDescent="0.3">
      <c r="I15583"/>
      <c r="J15583"/>
    </row>
    <row r="15584" spans="9:10" x14ac:dyDescent="0.3">
      <c r="I15584"/>
      <c r="J15584"/>
    </row>
    <row r="15585" spans="9:10" x14ac:dyDescent="0.3">
      <c r="I15585"/>
      <c r="J15585"/>
    </row>
    <row r="15586" spans="9:10" x14ac:dyDescent="0.3">
      <c r="I15586"/>
      <c r="J15586"/>
    </row>
    <row r="15587" spans="9:10" x14ac:dyDescent="0.3">
      <c r="I15587"/>
      <c r="J15587"/>
    </row>
    <row r="15588" spans="9:10" x14ac:dyDescent="0.3">
      <c r="I15588"/>
      <c r="J15588"/>
    </row>
    <row r="15589" spans="9:10" x14ac:dyDescent="0.3">
      <c r="I15589"/>
      <c r="J15589"/>
    </row>
    <row r="15590" spans="9:10" x14ac:dyDescent="0.3">
      <c r="I15590"/>
      <c r="J15590"/>
    </row>
    <row r="15591" spans="9:10" x14ac:dyDescent="0.3">
      <c r="I15591"/>
      <c r="J15591"/>
    </row>
    <row r="15592" spans="9:10" x14ac:dyDescent="0.3">
      <c r="I15592"/>
      <c r="J15592"/>
    </row>
    <row r="15593" spans="9:10" x14ac:dyDescent="0.3">
      <c r="I15593"/>
      <c r="J15593"/>
    </row>
    <row r="15594" spans="9:10" x14ac:dyDescent="0.3">
      <c r="I15594"/>
      <c r="J15594"/>
    </row>
    <row r="15595" spans="9:10" x14ac:dyDescent="0.3">
      <c r="I15595"/>
      <c r="J15595"/>
    </row>
    <row r="15596" spans="9:10" x14ac:dyDescent="0.3">
      <c r="I15596"/>
      <c r="J15596"/>
    </row>
    <row r="15597" spans="9:10" x14ac:dyDescent="0.3">
      <c r="I15597"/>
      <c r="J15597"/>
    </row>
    <row r="15598" spans="9:10" x14ac:dyDescent="0.3">
      <c r="I15598"/>
      <c r="J15598"/>
    </row>
    <row r="15599" spans="9:10" x14ac:dyDescent="0.3">
      <c r="I15599"/>
      <c r="J15599"/>
    </row>
    <row r="15600" spans="9:10" x14ac:dyDescent="0.3">
      <c r="I15600"/>
      <c r="J15600"/>
    </row>
    <row r="15601" spans="9:10" x14ac:dyDescent="0.3">
      <c r="I15601"/>
      <c r="J15601"/>
    </row>
    <row r="15602" spans="9:10" x14ac:dyDescent="0.3">
      <c r="I15602"/>
      <c r="J15602"/>
    </row>
    <row r="15603" spans="9:10" x14ac:dyDescent="0.3">
      <c r="I15603"/>
      <c r="J15603"/>
    </row>
    <row r="15604" spans="9:10" x14ac:dyDescent="0.3">
      <c r="I15604"/>
      <c r="J15604"/>
    </row>
    <row r="15605" spans="9:10" x14ac:dyDescent="0.3">
      <c r="I15605"/>
      <c r="J15605"/>
    </row>
    <row r="15606" spans="9:10" x14ac:dyDescent="0.3">
      <c r="I15606"/>
      <c r="J15606"/>
    </row>
    <row r="15607" spans="9:10" x14ac:dyDescent="0.3">
      <c r="I15607"/>
      <c r="J15607"/>
    </row>
    <row r="15608" spans="9:10" x14ac:dyDescent="0.3">
      <c r="I15608"/>
      <c r="J15608"/>
    </row>
    <row r="15609" spans="9:10" x14ac:dyDescent="0.3">
      <c r="I15609"/>
      <c r="J15609"/>
    </row>
    <row r="15610" spans="9:10" x14ac:dyDescent="0.3">
      <c r="I15610"/>
      <c r="J15610"/>
    </row>
    <row r="15611" spans="9:10" x14ac:dyDescent="0.3">
      <c r="I15611"/>
      <c r="J15611"/>
    </row>
    <row r="15612" spans="9:10" x14ac:dyDescent="0.3">
      <c r="I15612"/>
      <c r="J15612"/>
    </row>
    <row r="15613" spans="9:10" x14ac:dyDescent="0.3">
      <c r="I15613"/>
      <c r="J15613"/>
    </row>
    <row r="15614" spans="9:10" x14ac:dyDescent="0.3">
      <c r="I15614"/>
      <c r="J15614"/>
    </row>
    <row r="15615" spans="9:10" x14ac:dyDescent="0.3">
      <c r="I15615"/>
      <c r="J15615"/>
    </row>
    <row r="15616" spans="9:10" x14ac:dyDescent="0.3">
      <c r="I15616"/>
      <c r="J15616"/>
    </row>
    <row r="15617" spans="9:10" x14ac:dyDescent="0.3">
      <c r="I15617"/>
      <c r="J15617"/>
    </row>
    <row r="15618" spans="9:10" x14ac:dyDescent="0.3">
      <c r="I15618"/>
      <c r="J15618"/>
    </row>
    <row r="15619" spans="9:10" x14ac:dyDescent="0.3">
      <c r="I15619"/>
      <c r="J15619"/>
    </row>
    <row r="15620" spans="9:10" x14ac:dyDescent="0.3">
      <c r="I15620"/>
      <c r="J15620"/>
    </row>
    <row r="15621" spans="9:10" x14ac:dyDescent="0.3">
      <c r="I15621"/>
      <c r="J15621"/>
    </row>
    <row r="15622" spans="9:10" x14ac:dyDescent="0.3">
      <c r="I15622"/>
      <c r="J15622"/>
    </row>
    <row r="15623" spans="9:10" x14ac:dyDescent="0.3">
      <c r="I15623"/>
      <c r="J15623"/>
    </row>
    <row r="15624" spans="9:10" x14ac:dyDescent="0.3">
      <c r="I15624"/>
      <c r="J15624"/>
    </row>
    <row r="15625" spans="9:10" x14ac:dyDescent="0.3">
      <c r="I15625"/>
      <c r="J15625"/>
    </row>
    <row r="15626" spans="9:10" x14ac:dyDescent="0.3">
      <c r="I15626"/>
      <c r="J15626"/>
    </row>
    <row r="15627" spans="9:10" x14ac:dyDescent="0.3">
      <c r="I15627"/>
      <c r="J15627"/>
    </row>
    <row r="15628" spans="9:10" x14ac:dyDescent="0.3">
      <c r="I15628"/>
      <c r="J15628"/>
    </row>
    <row r="15629" spans="9:10" x14ac:dyDescent="0.3">
      <c r="I15629"/>
      <c r="J15629"/>
    </row>
    <row r="15630" spans="9:10" x14ac:dyDescent="0.3">
      <c r="I15630"/>
      <c r="J15630"/>
    </row>
    <row r="15631" spans="9:10" x14ac:dyDescent="0.3">
      <c r="I15631"/>
      <c r="J15631"/>
    </row>
    <row r="15632" spans="9:10" x14ac:dyDescent="0.3">
      <c r="I15632"/>
      <c r="J15632"/>
    </row>
    <row r="15633" spans="9:10" x14ac:dyDescent="0.3">
      <c r="I15633"/>
      <c r="J15633"/>
    </row>
    <row r="15634" spans="9:10" x14ac:dyDescent="0.3">
      <c r="I15634"/>
      <c r="J15634"/>
    </row>
    <row r="15635" spans="9:10" x14ac:dyDescent="0.3">
      <c r="I15635"/>
      <c r="J15635"/>
    </row>
    <row r="15636" spans="9:10" x14ac:dyDescent="0.3">
      <c r="I15636"/>
      <c r="J15636"/>
    </row>
    <row r="15637" spans="9:10" x14ac:dyDescent="0.3">
      <c r="I15637"/>
      <c r="J15637"/>
    </row>
    <row r="15638" spans="9:10" x14ac:dyDescent="0.3">
      <c r="I15638"/>
      <c r="J15638"/>
    </row>
    <row r="15639" spans="9:10" x14ac:dyDescent="0.3">
      <c r="I15639"/>
      <c r="J15639"/>
    </row>
    <row r="15640" spans="9:10" x14ac:dyDescent="0.3">
      <c r="I15640"/>
      <c r="J15640"/>
    </row>
    <row r="15641" spans="9:10" x14ac:dyDescent="0.3">
      <c r="I15641"/>
      <c r="J15641"/>
    </row>
    <row r="15642" spans="9:10" x14ac:dyDescent="0.3">
      <c r="I15642"/>
      <c r="J15642"/>
    </row>
    <row r="15643" spans="9:10" x14ac:dyDescent="0.3">
      <c r="I15643"/>
      <c r="J15643"/>
    </row>
    <row r="15644" spans="9:10" x14ac:dyDescent="0.3">
      <c r="I15644"/>
      <c r="J15644"/>
    </row>
    <row r="15645" spans="9:10" x14ac:dyDescent="0.3">
      <c r="I15645"/>
      <c r="J15645"/>
    </row>
    <row r="15646" spans="9:10" x14ac:dyDescent="0.3">
      <c r="I15646"/>
      <c r="J15646"/>
    </row>
    <row r="15647" spans="9:10" x14ac:dyDescent="0.3">
      <c r="I15647"/>
      <c r="J15647"/>
    </row>
    <row r="15648" spans="9:10" x14ac:dyDescent="0.3">
      <c r="I15648"/>
      <c r="J15648"/>
    </row>
    <row r="15649" spans="9:10" x14ac:dyDescent="0.3">
      <c r="I15649"/>
      <c r="J15649"/>
    </row>
    <row r="15650" spans="9:10" x14ac:dyDescent="0.3">
      <c r="I15650"/>
      <c r="J15650"/>
    </row>
    <row r="15651" spans="9:10" x14ac:dyDescent="0.3">
      <c r="I15651"/>
      <c r="J15651"/>
    </row>
    <row r="15652" spans="9:10" x14ac:dyDescent="0.3">
      <c r="I15652"/>
      <c r="J15652"/>
    </row>
    <row r="15653" spans="9:10" x14ac:dyDescent="0.3">
      <c r="I15653"/>
      <c r="J15653"/>
    </row>
    <row r="15654" spans="9:10" x14ac:dyDescent="0.3">
      <c r="I15654"/>
      <c r="J15654"/>
    </row>
    <row r="15655" spans="9:10" x14ac:dyDescent="0.3">
      <c r="I15655"/>
      <c r="J15655"/>
    </row>
    <row r="15656" spans="9:10" x14ac:dyDescent="0.3">
      <c r="I15656"/>
      <c r="J15656"/>
    </row>
    <row r="15657" spans="9:10" x14ac:dyDescent="0.3">
      <c r="I15657"/>
      <c r="J15657"/>
    </row>
    <row r="15658" spans="9:10" x14ac:dyDescent="0.3">
      <c r="I15658"/>
      <c r="J15658"/>
    </row>
    <row r="15659" spans="9:10" x14ac:dyDescent="0.3">
      <c r="I15659"/>
      <c r="J15659"/>
    </row>
    <row r="15660" spans="9:10" x14ac:dyDescent="0.3">
      <c r="I15660"/>
      <c r="J15660"/>
    </row>
    <row r="15661" spans="9:10" x14ac:dyDescent="0.3">
      <c r="I15661"/>
      <c r="J15661"/>
    </row>
    <row r="15662" spans="9:10" x14ac:dyDescent="0.3">
      <c r="I15662"/>
      <c r="J15662"/>
    </row>
    <row r="15663" spans="9:10" x14ac:dyDescent="0.3">
      <c r="I15663"/>
      <c r="J15663"/>
    </row>
    <row r="15664" spans="9:10" x14ac:dyDescent="0.3">
      <c r="I15664"/>
      <c r="J15664"/>
    </row>
    <row r="15665" spans="9:10" x14ac:dyDescent="0.3">
      <c r="I15665"/>
      <c r="J15665"/>
    </row>
    <row r="15666" spans="9:10" x14ac:dyDescent="0.3">
      <c r="I15666"/>
      <c r="J15666"/>
    </row>
    <row r="15667" spans="9:10" x14ac:dyDescent="0.3">
      <c r="I15667"/>
      <c r="J15667"/>
    </row>
    <row r="15668" spans="9:10" x14ac:dyDescent="0.3">
      <c r="I15668"/>
      <c r="J15668"/>
    </row>
    <row r="15669" spans="9:10" x14ac:dyDescent="0.3">
      <c r="I15669"/>
      <c r="J15669"/>
    </row>
    <row r="15670" spans="9:10" x14ac:dyDescent="0.3">
      <c r="I15670"/>
      <c r="J15670"/>
    </row>
    <row r="15671" spans="9:10" x14ac:dyDescent="0.3">
      <c r="I15671"/>
      <c r="J15671"/>
    </row>
    <row r="15672" spans="9:10" x14ac:dyDescent="0.3">
      <c r="I15672"/>
      <c r="J15672"/>
    </row>
    <row r="15673" spans="9:10" x14ac:dyDescent="0.3">
      <c r="I15673"/>
      <c r="J15673"/>
    </row>
    <row r="15674" spans="9:10" x14ac:dyDescent="0.3">
      <c r="I15674"/>
      <c r="J15674"/>
    </row>
    <row r="15675" spans="9:10" x14ac:dyDescent="0.3">
      <c r="I15675"/>
      <c r="J15675"/>
    </row>
    <row r="15676" spans="9:10" x14ac:dyDescent="0.3">
      <c r="I15676"/>
      <c r="J15676"/>
    </row>
    <row r="15677" spans="9:10" x14ac:dyDescent="0.3">
      <c r="I15677"/>
      <c r="J15677"/>
    </row>
    <row r="15678" spans="9:10" x14ac:dyDescent="0.3">
      <c r="I15678"/>
      <c r="J15678"/>
    </row>
    <row r="15679" spans="9:10" x14ac:dyDescent="0.3">
      <c r="I15679"/>
      <c r="J15679"/>
    </row>
    <row r="15680" spans="9:10" x14ac:dyDescent="0.3">
      <c r="I15680"/>
      <c r="J15680"/>
    </row>
    <row r="15681" spans="9:10" x14ac:dyDescent="0.3">
      <c r="I15681"/>
      <c r="J15681"/>
    </row>
    <row r="15682" spans="9:10" x14ac:dyDescent="0.3">
      <c r="I15682"/>
      <c r="J15682"/>
    </row>
    <row r="15683" spans="9:10" x14ac:dyDescent="0.3">
      <c r="I15683"/>
      <c r="J15683"/>
    </row>
    <row r="15684" spans="9:10" x14ac:dyDescent="0.3">
      <c r="I15684"/>
      <c r="J15684"/>
    </row>
    <row r="15685" spans="9:10" x14ac:dyDescent="0.3">
      <c r="I15685"/>
      <c r="J15685"/>
    </row>
    <row r="15686" spans="9:10" x14ac:dyDescent="0.3">
      <c r="I15686"/>
      <c r="J15686"/>
    </row>
    <row r="15687" spans="9:10" x14ac:dyDescent="0.3">
      <c r="I15687"/>
      <c r="J15687"/>
    </row>
    <row r="15688" spans="9:10" x14ac:dyDescent="0.3">
      <c r="I15688"/>
      <c r="J15688"/>
    </row>
    <row r="15689" spans="9:10" x14ac:dyDescent="0.3">
      <c r="I15689"/>
      <c r="J15689"/>
    </row>
    <row r="15690" spans="9:10" x14ac:dyDescent="0.3">
      <c r="I15690"/>
      <c r="J15690"/>
    </row>
    <row r="15691" spans="9:10" x14ac:dyDescent="0.3">
      <c r="I15691"/>
      <c r="J15691"/>
    </row>
    <row r="15692" spans="9:10" x14ac:dyDescent="0.3">
      <c r="I15692"/>
      <c r="J15692"/>
    </row>
    <row r="15693" spans="9:10" x14ac:dyDescent="0.3">
      <c r="I15693"/>
      <c r="J15693"/>
    </row>
    <row r="15694" spans="9:10" x14ac:dyDescent="0.3">
      <c r="I15694"/>
      <c r="J15694"/>
    </row>
    <row r="15695" spans="9:10" x14ac:dyDescent="0.3">
      <c r="I15695"/>
      <c r="J15695"/>
    </row>
    <row r="15696" spans="9:10" x14ac:dyDescent="0.3">
      <c r="I15696"/>
      <c r="J15696"/>
    </row>
    <row r="15697" spans="9:10" x14ac:dyDescent="0.3">
      <c r="I15697"/>
      <c r="J15697"/>
    </row>
    <row r="15698" spans="9:10" x14ac:dyDescent="0.3">
      <c r="I15698"/>
      <c r="J15698"/>
    </row>
    <row r="15699" spans="9:10" x14ac:dyDescent="0.3">
      <c r="I15699"/>
      <c r="J15699"/>
    </row>
    <row r="15700" spans="9:10" x14ac:dyDescent="0.3">
      <c r="I15700"/>
      <c r="J15700"/>
    </row>
    <row r="15701" spans="9:10" x14ac:dyDescent="0.3">
      <c r="I15701"/>
      <c r="J15701"/>
    </row>
    <row r="15702" spans="9:10" x14ac:dyDescent="0.3">
      <c r="I15702"/>
      <c r="J15702"/>
    </row>
    <row r="15703" spans="9:10" x14ac:dyDescent="0.3">
      <c r="I15703"/>
      <c r="J15703"/>
    </row>
    <row r="15704" spans="9:10" x14ac:dyDescent="0.3">
      <c r="I15704"/>
      <c r="J15704"/>
    </row>
    <row r="15705" spans="9:10" x14ac:dyDescent="0.3">
      <c r="I15705"/>
      <c r="J15705"/>
    </row>
    <row r="15706" spans="9:10" x14ac:dyDescent="0.3">
      <c r="I15706"/>
      <c r="J15706"/>
    </row>
    <row r="15707" spans="9:10" x14ac:dyDescent="0.3">
      <c r="I15707"/>
      <c r="J15707"/>
    </row>
    <row r="15708" spans="9:10" x14ac:dyDescent="0.3">
      <c r="I15708"/>
      <c r="J15708"/>
    </row>
    <row r="15709" spans="9:10" x14ac:dyDescent="0.3">
      <c r="I15709"/>
      <c r="J15709"/>
    </row>
    <row r="15710" spans="9:10" x14ac:dyDescent="0.3">
      <c r="I15710"/>
      <c r="J15710"/>
    </row>
    <row r="15711" spans="9:10" x14ac:dyDescent="0.3">
      <c r="I15711"/>
      <c r="J15711"/>
    </row>
    <row r="15712" spans="9:10" x14ac:dyDescent="0.3">
      <c r="I15712"/>
      <c r="J15712"/>
    </row>
    <row r="15713" spans="9:10" x14ac:dyDescent="0.3">
      <c r="I15713"/>
      <c r="J15713"/>
    </row>
    <row r="15714" spans="9:10" x14ac:dyDescent="0.3">
      <c r="I15714"/>
      <c r="J15714"/>
    </row>
    <row r="15715" spans="9:10" x14ac:dyDescent="0.3">
      <c r="I15715"/>
      <c r="J15715"/>
    </row>
    <row r="15716" spans="9:10" x14ac:dyDescent="0.3">
      <c r="I15716"/>
      <c r="J15716"/>
    </row>
    <row r="15717" spans="9:10" x14ac:dyDescent="0.3">
      <c r="I15717"/>
      <c r="J15717"/>
    </row>
    <row r="15718" spans="9:10" x14ac:dyDescent="0.3">
      <c r="I15718"/>
      <c r="J15718"/>
    </row>
    <row r="15719" spans="9:10" x14ac:dyDescent="0.3">
      <c r="I15719"/>
      <c r="J15719"/>
    </row>
    <row r="15720" spans="9:10" x14ac:dyDescent="0.3">
      <c r="I15720"/>
      <c r="J15720"/>
    </row>
    <row r="15721" spans="9:10" x14ac:dyDescent="0.3">
      <c r="I15721"/>
      <c r="J15721"/>
    </row>
    <row r="15722" spans="9:10" x14ac:dyDescent="0.3">
      <c r="I15722"/>
      <c r="J15722"/>
    </row>
    <row r="15723" spans="9:10" x14ac:dyDescent="0.3">
      <c r="I15723"/>
      <c r="J15723"/>
    </row>
    <row r="15724" spans="9:10" x14ac:dyDescent="0.3">
      <c r="I15724"/>
      <c r="J15724"/>
    </row>
    <row r="15725" spans="9:10" x14ac:dyDescent="0.3">
      <c r="I15725"/>
      <c r="J15725"/>
    </row>
    <row r="15726" spans="9:10" x14ac:dyDescent="0.3">
      <c r="I15726"/>
      <c r="J15726"/>
    </row>
    <row r="15727" spans="9:10" x14ac:dyDescent="0.3">
      <c r="I15727"/>
      <c r="J15727"/>
    </row>
    <row r="15728" spans="9:10" x14ac:dyDescent="0.3">
      <c r="I15728"/>
      <c r="J15728"/>
    </row>
    <row r="15729" spans="9:10" x14ac:dyDescent="0.3">
      <c r="I15729"/>
      <c r="J15729"/>
    </row>
    <row r="15730" spans="9:10" x14ac:dyDescent="0.3">
      <c r="I15730"/>
      <c r="J15730"/>
    </row>
    <row r="15731" spans="9:10" x14ac:dyDescent="0.3">
      <c r="I15731"/>
      <c r="J15731"/>
    </row>
    <row r="15732" spans="9:10" x14ac:dyDescent="0.3">
      <c r="I15732"/>
      <c r="J15732"/>
    </row>
    <row r="15733" spans="9:10" x14ac:dyDescent="0.3">
      <c r="I15733"/>
      <c r="J15733"/>
    </row>
    <row r="15734" spans="9:10" x14ac:dyDescent="0.3">
      <c r="I15734"/>
      <c r="J15734"/>
    </row>
    <row r="15735" spans="9:10" x14ac:dyDescent="0.3">
      <c r="I15735"/>
      <c r="J15735"/>
    </row>
    <row r="15736" spans="9:10" x14ac:dyDescent="0.3">
      <c r="I15736"/>
      <c r="J15736"/>
    </row>
    <row r="15737" spans="9:10" x14ac:dyDescent="0.3">
      <c r="I15737"/>
      <c r="J15737"/>
    </row>
    <row r="15738" spans="9:10" x14ac:dyDescent="0.3">
      <c r="I15738"/>
      <c r="J15738"/>
    </row>
    <row r="15739" spans="9:10" x14ac:dyDescent="0.3">
      <c r="I15739"/>
      <c r="J15739"/>
    </row>
    <row r="15740" spans="9:10" x14ac:dyDescent="0.3">
      <c r="I15740"/>
      <c r="J15740"/>
    </row>
    <row r="15741" spans="9:10" x14ac:dyDescent="0.3">
      <c r="I15741"/>
      <c r="J15741"/>
    </row>
    <row r="15742" spans="9:10" x14ac:dyDescent="0.3">
      <c r="I15742"/>
      <c r="J15742"/>
    </row>
    <row r="15743" spans="9:10" x14ac:dyDescent="0.3">
      <c r="I15743"/>
      <c r="J15743"/>
    </row>
    <row r="15744" spans="9:10" x14ac:dyDescent="0.3">
      <c r="I15744"/>
      <c r="J15744"/>
    </row>
    <row r="15745" spans="9:10" x14ac:dyDescent="0.3">
      <c r="I15745"/>
      <c r="J15745"/>
    </row>
    <row r="15746" spans="9:10" x14ac:dyDescent="0.3">
      <c r="I15746"/>
      <c r="J15746"/>
    </row>
    <row r="15747" spans="9:10" x14ac:dyDescent="0.3">
      <c r="I15747"/>
      <c r="J15747"/>
    </row>
    <row r="15748" spans="9:10" x14ac:dyDescent="0.3">
      <c r="I15748"/>
      <c r="J15748"/>
    </row>
    <row r="15749" spans="9:10" x14ac:dyDescent="0.3">
      <c r="I15749"/>
      <c r="J15749"/>
    </row>
    <row r="15750" spans="9:10" x14ac:dyDescent="0.3">
      <c r="I15750"/>
      <c r="J15750"/>
    </row>
    <row r="15751" spans="9:10" x14ac:dyDescent="0.3">
      <c r="I15751"/>
      <c r="J15751"/>
    </row>
    <row r="15752" spans="9:10" x14ac:dyDescent="0.3">
      <c r="I15752"/>
      <c r="J15752"/>
    </row>
    <row r="15753" spans="9:10" x14ac:dyDescent="0.3">
      <c r="I15753"/>
      <c r="J15753"/>
    </row>
    <row r="15754" spans="9:10" x14ac:dyDescent="0.3">
      <c r="I15754"/>
      <c r="J15754"/>
    </row>
    <row r="15755" spans="9:10" x14ac:dyDescent="0.3">
      <c r="I15755"/>
      <c r="J15755"/>
    </row>
    <row r="15756" spans="9:10" x14ac:dyDescent="0.3">
      <c r="I15756"/>
      <c r="J15756"/>
    </row>
    <row r="15757" spans="9:10" x14ac:dyDescent="0.3">
      <c r="I15757"/>
      <c r="J15757"/>
    </row>
    <row r="15758" spans="9:10" x14ac:dyDescent="0.3">
      <c r="I15758"/>
      <c r="J15758"/>
    </row>
    <row r="15759" spans="9:10" x14ac:dyDescent="0.3">
      <c r="I15759"/>
      <c r="J15759"/>
    </row>
    <row r="15760" spans="9:10" x14ac:dyDescent="0.3">
      <c r="I15760"/>
      <c r="J15760"/>
    </row>
    <row r="15761" spans="9:10" x14ac:dyDescent="0.3">
      <c r="I15761"/>
      <c r="J15761"/>
    </row>
    <row r="15762" spans="9:10" x14ac:dyDescent="0.3">
      <c r="I15762"/>
      <c r="J15762"/>
    </row>
    <row r="15763" spans="9:10" x14ac:dyDescent="0.3">
      <c r="I15763"/>
      <c r="J15763"/>
    </row>
    <row r="15764" spans="9:10" x14ac:dyDescent="0.3">
      <c r="I15764"/>
      <c r="J15764"/>
    </row>
    <row r="15765" spans="9:10" x14ac:dyDescent="0.3">
      <c r="I15765"/>
      <c r="J15765"/>
    </row>
    <row r="15766" spans="9:10" x14ac:dyDescent="0.3">
      <c r="I15766"/>
      <c r="J15766"/>
    </row>
    <row r="15767" spans="9:10" x14ac:dyDescent="0.3">
      <c r="I15767"/>
      <c r="J15767"/>
    </row>
    <row r="15768" spans="9:10" x14ac:dyDescent="0.3">
      <c r="I15768"/>
      <c r="J15768"/>
    </row>
    <row r="15769" spans="9:10" x14ac:dyDescent="0.3">
      <c r="I15769"/>
      <c r="J15769"/>
    </row>
    <row r="15770" spans="9:10" x14ac:dyDescent="0.3">
      <c r="I15770"/>
      <c r="J15770"/>
    </row>
    <row r="15771" spans="9:10" x14ac:dyDescent="0.3">
      <c r="I15771"/>
      <c r="J15771"/>
    </row>
    <row r="15772" spans="9:10" x14ac:dyDescent="0.3">
      <c r="I15772"/>
      <c r="J15772"/>
    </row>
    <row r="15773" spans="9:10" x14ac:dyDescent="0.3">
      <c r="I15773"/>
      <c r="J15773"/>
    </row>
    <row r="15774" spans="9:10" x14ac:dyDescent="0.3">
      <c r="I15774"/>
      <c r="J15774"/>
    </row>
    <row r="15775" spans="9:10" x14ac:dyDescent="0.3">
      <c r="I15775"/>
      <c r="J15775"/>
    </row>
    <row r="15776" spans="9:10" x14ac:dyDescent="0.3">
      <c r="I15776"/>
      <c r="J15776"/>
    </row>
    <row r="15777" spans="9:10" x14ac:dyDescent="0.3">
      <c r="I15777"/>
      <c r="J15777"/>
    </row>
    <row r="15778" spans="9:10" x14ac:dyDescent="0.3">
      <c r="I15778"/>
      <c r="J15778"/>
    </row>
    <row r="15779" spans="9:10" x14ac:dyDescent="0.3">
      <c r="I15779"/>
      <c r="J15779"/>
    </row>
    <row r="15780" spans="9:10" x14ac:dyDescent="0.3">
      <c r="I15780"/>
      <c r="J15780"/>
    </row>
    <row r="15781" spans="9:10" x14ac:dyDescent="0.3">
      <c r="I15781"/>
      <c r="J15781"/>
    </row>
    <row r="15782" spans="9:10" x14ac:dyDescent="0.3">
      <c r="I15782"/>
      <c r="J15782"/>
    </row>
    <row r="15783" spans="9:10" x14ac:dyDescent="0.3">
      <c r="I15783"/>
      <c r="J15783"/>
    </row>
    <row r="15784" spans="9:10" x14ac:dyDescent="0.3">
      <c r="I15784"/>
      <c r="J15784"/>
    </row>
    <row r="15785" spans="9:10" x14ac:dyDescent="0.3">
      <c r="I15785"/>
      <c r="J15785"/>
    </row>
    <row r="15786" spans="9:10" x14ac:dyDescent="0.3">
      <c r="I15786"/>
      <c r="J15786"/>
    </row>
    <row r="15787" spans="9:10" x14ac:dyDescent="0.3">
      <c r="I15787"/>
      <c r="J15787"/>
    </row>
    <row r="15788" spans="9:10" x14ac:dyDescent="0.3">
      <c r="I15788"/>
      <c r="J15788"/>
    </row>
    <row r="15789" spans="9:10" x14ac:dyDescent="0.3">
      <c r="I15789"/>
      <c r="J15789"/>
    </row>
    <row r="15790" spans="9:10" x14ac:dyDescent="0.3">
      <c r="I15790"/>
      <c r="J15790"/>
    </row>
    <row r="15791" spans="9:10" x14ac:dyDescent="0.3">
      <c r="I15791"/>
      <c r="J15791"/>
    </row>
    <row r="15792" spans="9:10" x14ac:dyDescent="0.3">
      <c r="I15792"/>
      <c r="J15792"/>
    </row>
    <row r="15793" spans="9:10" x14ac:dyDescent="0.3">
      <c r="I15793"/>
      <c r="J15793"/>
    </row>
    <row r="15794" spans="9:10" x14ac:dyDescent="0.3">
      <c r="I15794"/>
      <c r="J15794"/>
    </row>
    <row r="15795" spans="9:10" x14ac:dyDescent="0.3">
      <c r="I15795"/>
      <c r="J15795"/>
    </row>
    <row r="15796" spans="9:10" x14ac:dyDescent="0.3">
      <c r="I15796"/>
      <c r="J15796"/>
    </row>
    <row r="15797" spans="9:10" x14ac:dyDescent="0.3">
      <c r="I15797"/>
      <c r="J15797"/>
    </row>
    <row r="15798" spans="9:10" x14ac:dyDescent="0.3">
      <c r="I15798"/>
      <c r="J15798"/>
    </row>
    <row r="15799" spans="9:10" x14ac:dyDescent="0.3">
      <c r="I15799"/>
      <c r="J15799"/>
    </row>
    <row r="15800" spans="9:10" x14ac:dyDescent="0.3">
      <c r="I15800"/>
      <c r="J15800"/>
    </row>
    <row r="15801" spans="9:10" x14ac:dyDescent="0.3">
      <c r="I15801"/>
      <c r="J15801"/>
    </row>
    <row r="15802" spans="9:10" x14ac:dyDescent="0.3">
      <c r="I15802"/>
      <c r="J15802"/>
    </row>
    <row r="15803" spans="9:10" x14ac:dyDescent="0.3">
      <c r="I15803"/>
      <c r="J15803"/>
    </row>
    <row r="15804" spans="9:10" x14ac:dyDescent="0.3">
      <c r="I15804"/>
      <c r="J15804"/>
    </row>
    <row r="15805" spans="9:10" x14ac:dyDescent="0.3">
      <c r="I15805"/>
      <c r="J15805"/>
    </row>
    <row r="15806" spans="9:10" x14ac:dyDescent="0.3">
      <c r="I15806"/>
      <c r="J15806"/>
    </row>
    <row r="15807" spans="9:10" x14ac:dyDescent="0.3">
      <c r="I15807"/>
      <c r="J15807"/>
    </row>
    <row r="15808" spans="9:10" x14ac:dyDescent="0.3">
      <c r="I15808"/>
      <c r="J15808"/>
    </row>
    <row r="15809" spans="9:10" x14ac:dyDescent="0.3">
      <c r="I15809"/>
      <c r="J15809"/>
    </row>
    <row r="15810" spans="9:10" x14ac:dyDescent="0.3">
      <c r="I15810"/>
      <c r="J15810"/>
    </row>
    <row r="15811" spans="9:10" x14ac:dyDescent="0.3">
      <c r="I15811"/>
      <c r="J15811"/>
    </row>
    <row r="15812" spans="9:10" x14ac:dyDescent="0.3">
      <c r="I15812"/>
      <c r="J15812"/>
    </row>
    <row r="15813" spans="9:10" x14ac:dyDescent="0.3">
      <c r="I15813"/>
      <c r="J15813"/>
    </row>
    <row r="15814" spans="9:10" x14ac:dyDescent="0.3">
      <c r="I15814"/>
      <c r="J15814"/>
    </row>
    <row r="15815" spans="9:10" x14ac:dyDescent="0.3">
      <c r="I15815"/>
      <c r="J15815"/>
    </row>
    <row r="15816" spans="9:10" x14ac:dyDescent="0.3">
      <c r="I15816"/>
      <c r="J15816"/>
    </row>
    <row r="15817" spans="9:10" x14ac:dyDescent="0.3">
      <c r="I15817"/>
      <c r="J15817"/>
    </row>
    <row r="15818" spans="9:10" x14ac:dyDescent="0.3">
      <c r="I15818"/>
      <c r="J15818"/>
    </row>
    <row r="15819" spans="9:10" x14ac:dyDescent="0.3">
      <c r="I15819"/>
      <c r="J15819"/>
    </row>
    <row r="15820" spans="9:10" x14ac:dyDescent="0.3">
      <c r="I15820"/>
      <c r="J15820"/>
    </row>
    <row r="15821" spans="9:10" x14ac:dyDescent="0.3">
      <c r="I15821"/>
      <c r="J15821"/>
    </row>
    <row r="15822" spans="9:10" x14ac:dyDescent="0.3">
      <c r="I15822"/>
      <c r="J15822"/>
    </row>
    <row r="15823" spans="9:10" x14ac:dyDescent="0.3">
      <c r="I15823"/>
      <c r="J15823"/>
    </row>
    <row r="15824" spans="9:10" x14ac:dyDescent="0.3">
      <c r="I15824"/>
      <c r="J15824"/>
    </row>
    <row r="15825" spans="9:10" x14ac:dyDescent="0.3">
      <c r="I15825"/>
      <c r="J15825"/>
    </row>
    <row r="15826" spans="9:10" x14ac:dyDescent="0.3">
      <c r="I15826"/>
      <c r="J15826"/>
    </row>
    <row r="15827" spans="9:10" x14ac:dyDescent="0.3">
      <c r="I15827"/>
      <c r="J15827"/>
    </row>
    <row r="15828" spans="9:10" x14ac:dyDescent="0.3">
      <c r="I15828"/>
      <c r="J15828"/>
    </row>
    <row r="15829" spans="9:10" x14ac:dyDescent="0.3">
      <c r="I15829"/>
      <c r="J15829"/>
    </row>
    <row r="15830" spans="9:10" x14ac:dyDescent="0.3">
      <c r="I15830"/>
      <c r="J15830"/>
    </row>
    <row r="15831" spans="9:10" x14ac:dyDescent="0.3">
      <c r="I15831"/>
      <c r="J15831"/>
    </row>
    <row r="15832" spans="9:10" x14ac:dyDescent="0.3">
      <c r="I15832"/>
      <c r="J15832"/>
    </row>
    <row r="15833" spans="9:10" x14ac:dyDescent="0.3">
      <c r="I15833"/>
      <c r="J15833"/>
    </row>
    <row r="15834" spans="9:10" x14ac:dyDescent="0.3">
      <c r="I15834"/>
      <c r="J15834"/>
    </row>
    <row r="15835" spans="9:10" x14ac:dyDescent="0.3">
      <c r="I15835"/>
      <c r="J15835"/>
    </row>
    <row r="15836" spans="9:10" x14ac:dyDescent="0.3">
      <c r="I15836"/>
      <c r="J15836"/>
    </row>
    <row r="15837" spans="9:10" x14ac:dyDescent="0.3">
      <c r="I15837"/>
      <c r="J15837"/>
    </row>
    <row r="15838" spans="9:10" x14ac:dyDescent="0.3">
      <c r="I15838"/>
      <c r="J15838"/>
    </row>
    <row r="15839" spans="9:10" x14ac:dyDescent="0.3">
      <c r="I15839"/>
      <c r="J15839"/>
    </row>
    <row r="15840" spans="9:10" x14ac:dyDescent="0.3">
      <c r="I15840"/>
      <c r="J15840"/>
    </row>
    <row r="15841" spans="9:10" x14ac:dyDescent="0.3">
      <c r="I15841"/>
      <c r="J15841"/>
    </row>
    <row r="15842" spans="9:10" x14ac:dyDescent="0.3">
      <c r="I15842"/>
      <c r="J15842"/>
    </row>
    <row r="15843" spans="9:10" x14ac:dyDescent="0.3">
      <c r="I15843"/>
      <c r="J15843"/>
    </row>
    <row r="15844" spans="9:10" x14ac:dyDescent="0.3">
      <c r="I15844"/>
      <c r="J15844"/>
    </row>
    <row r="15845" spans="9:10" x14ac:dyDescent="0.3">
      <c r="I15845"/>
      <c r="J15845"/>
    </row>
    <row r="15846" spans="9:10" x14ac:dyDescent="0.3">
      <c r="I15846"/>
      <c r="J15846"/>
    </row>
    <row r="15847" spans="9:10" x14ac:dyDescent="0.3">
      <c r="I15847"/>
      <c r="J15847"/>
    </row>
    <row r="15848" spans="9:10" x14ac:dyDescent="0.3">
      <c r="I15848"/>
      <c r="J15848"/>
    </row>
    <row r="15849" spans="9:10" x14ac:dyDescent="0.3">
      <c r="I15849"/>
      <c r="J15849"/>
    </row>
    <row r="15850" spans="9:10" x14ac:dyDescent="0.3">
      <c r="I15850"/>
      <c r="J15850"/>
    </row>
    <row r="15851" spans="9:10" x14ac:dyDescent="0.3">
      <c r="I15851"/>
      <c r="J15851"/>
    </row>
    <row r="15852" spans="9:10" x14ac:dyDescent="0.3">
      <c r="I15852"/>
      <c r="J15852"/>
    </row>
    <row r="15853" spans="9:10" x14ac:dyDescent="0.3">
      <c r="I15853"/>
      <c r="J15853"/>
    </row>
    <row r="15854" spans="9:10" x14ac:dyDescent="0.3">
      <c r="I15854"/>
      <c r="J15854"/>
    </row>
    <row r="15855" spans="9:10" x14ac:dyDescent="0.3">
      <c r="I15855"/>
      <c r="J15855"/>
    </row>
    <row r="15856" spans="9:10" x14ac:dyDescent="0.3">
      <c r="I15856"/>
      <c r="J15856"/>
    </row>
    <row r="15857" spans="9:10" x14ac:dyDescent="0.3">
      <c r="I15857"/>
      <c r="J15857"/>
    </row>
    <row r="15858" spans="9:10" x14ac:dyDescent="0.3">
      <c r="I15858"/>
      <c r="J15858"/>
    </row>
    <row r="15859" spans="9:10" x14ac:dyDescent="0.3">
      <c r="I15859"/>
      <c r="J15859"/>
    </row>
    <row r="15860" spans="9:10" x14ac:dyDescent="0.3">
      <c r="I15860"/>
      <c r="J15860"/>
    </row>
    <row r="15861" spans="9:10" x14ac:dyDescent="0.3">
      <c r="I15861"/>
      <c r="J15861"/>
    </row>
    <row r="15862" spans="9:10" x14ac:dyDescent="0.3">
      <c r="I15862"/>
      <c r="J15862"/>
    </row>
    <row r="15863" spans="9:10" x14ac:dyDescent="0.3">
      <c r="I15863"/>
      <c r="J15863"/>
    </row>
    <row r="15864" spans="9:10" x14ac:dyDescent="0.3">
      <c r="I15864"/>
      <c r="J15864"/>
    </row>
    <row r="15865" spans="9:10" x14ac:dyDescent="0.3">
      <c r="I15865"/>
      <c r="J15865"/>
    </row>
    <row r="15866" spans="9:10" x14ac:dyDescent="0.3">
      <c r="I15866"/>
      <c r="J15866"/>
    </row>
    <row r="15867" spans="9:10" x14ac:dyDescent="0.3">
      <c r="I15867"/>
      <c r="J15867"/>
    </row>
    <row r="15868" spans="9:10" x14ac:dyDescent="0.3">
      <c r="I15868"/>
      <c r="J15868"/>
    </row>
    <row r="15869" spans="9:10" x14ac:dyDescent="0.3">
      <c r="I15869"/>
      <c r="J15869"/>
    </row>
    <row r="15870" spans="9:10" x14ac:dyDescent="0.3">
      <c r="I15870"/>
      <c r="J15870"/>
    </row>
    <row r="15871" spans="9:10" x14ac:dyDescent="0.3">
      <c r="I15871"/>
      <c r="J15871"/>
    </row>
    <row r="15872" spans="9:10" x14ac:dyDescent="0.3">
      <c r="I15872"/>
      <c r="J15872"/>
    </row>
    <row r="15873" spans="9:10" x14ac:dyDescent="0.3">
      <c r="I15873"/>
      <c r="J15873"/>
    </row>
    <row r="15874" spans="9:10" x14ac:dyDescent="0.3">
      <c r="I15874"/>
      <c r="J15874"/>
    </row>
    <row r="15875" spans="9:10" x14ac:dyDescent="0.3">
      <c r="I15875"/>
      <c r="J15875"/>
    </row>
    <row r="15876" spans="9:10" x14ac:dyDescent="0.3">
      <c r="I15876"/>
      <c r="J15876"/>
    </row>
    <row r="15877" spans="9:10" x14ac:dyDescent="0.3">
      <c r="I15877"/>
      <c r="J15877"/>
    </row>
    <row r="15878" spans="9:10" x14ac:dyDescent="0.3">
      <c r="I15878"/>
      <c r="J15878"/>
    </row>
    <row r="15879" spans="9:10" x14ac:dyDescent="0.3">
      <c r="I15879"/>
      <c r="J15879"/>
    </row>
    <row r="15880" spans="9:10" x14ac:dyDescent="0.3">
      <c r="I15880"/>
      <c r="J15880"/>
    </row>
    <row r="15881" spans="9:10" x14ac:dyDescent="0.3">
      <c r="I15881"/>
      <c r="J15881"/>
    </row>
    <row r="15882" spans="9:10" x14ac:dyDescent="0.3">
      <c r="I15882"/>
      <c r="J15882"/>
    </row>
    <row r="15883" spans="9:10" x14ac:dyDescent="0.3">
      <c r="I15883"/>
      <c r="J15883"/>
    </row>
    <row r="15884" spans="9:10" x14ac:dyDescent="0.3">
      <c r="I15884"/>
      <c r="J15884"/>
    </row>
    <row r="15885" spans="9:10" x14ac:dyDescent="0.3">
      <c r="I15885"/>
      <c r="J15885"/>
    </row>
    <row r="15886" spans="9:10" x14ac:dyDescent="0.3">
      <c r="I15886"/>
      <c r="J15886"/>
    </row>
    <row r="15887" spans="9:10" x14ac:dyDescent="0.3">
      <c r="I15887"/>
      <c r="J15887"/>
    </row>
    <row r="15888" spans="9:10" x14ac:dyDescent="0.3">
      <c r="I15888"/>
      <c r="J15888"/>
    </row>
    <row r="15889" spans="9:10" x14ac:dyDescent="0.3">
      <c r="I15889"/>
      <c r="J15889"/>
    </row>
    <row r="15890" spans="9:10" x14ac:dyDescent="0.3">
      <c r="I15890"/>
      <c r="J15890"/>
    </row>
    <row r="15891" spans="9:10" x14ac:dyDescent="0.3">
      <c r="I15891"/>
      <c r="J15891"/>
    </row>
    <row r="15892" spans="9:10" x14ac:dyDescent="0.3">
      <c r="I15892"/>
      <c r="J15892"/>
    </row>
    <row r="15893" spans="9:10" x14ac:dyDescent="0.3">
      <c r="I15893"/>
      <c r="J15893"/>
    </row>
    <row r="15894" spans="9:10" x14ac:dyDescent="0.3">
      <c r="I15894"/>
      <c r="J15894"/>
    </row>
    <row r="15895" spans="9:10" x14ac:dyDescent="0.3">
      <c r="I15895"/>
      <c r="J15895"/>
    </row>
    <row r="15896" spans="9:10" x14ac:dyDescent="0.3">
      <c r="I15896"/>
      <c r="J15896"/>
    </row>
    <row r="15897" spans="9:10" x14ac:dyDescent="0.3">
      <c r="I15897"/>
      <c r="J15897"/>
    </row>
    <row r="15898" spans="9:10" x14ac:dyDescent="0.3">
      <c r="I15898"/>
      <c r="J15898"/>
    </row>
    <row r="15899" spans="9:10" x14ac:dyDescent="0.3">
      <c r="I15899"/>
      <c r="J15899"/>
    </row>
    <row r="15900" spans="9:10" x14ac:dyDescent="0.3">
      <c r="I15900"/>
      <c r="J15900"/>
    </row>
    <row r="15901" spans="9:10" x14ac:dyDescent="0.3">
      <c r="I15901"/>
      <c r="J15901"/>
    </row>
    <row r="15902" spans="9:10" x14ac:dyDescent="0.3">
      <c r="I15902"/>
      <c r="J15902"/>
    </row>
    <row r="15903" spans="9:10" x14ac:dyDescent="0.3">
      <c r="I15903"/>
      <c r="J15903"/>
    </row>
    <row r="15904" spans="9:10" x14ac:dyDescent="0.3">
      <c r="I15904"/>
      <c r="J15904"/>
    </row>
    <row r="15905" spans="9:10" x14ac:dyDescent="0.3">
      <c r="I15905"/>
      <c r="J15905"/>
    </row>
    <row r="15906" spans="9:10" x14ac:dyDescent="0.3">
      <c r="I15906"/>
      <c r="J15906"/>
    </row>
    <row r="15907" spans="9:10" x14ac:dyDescent="0.3">
      <c r="I15907"/>
      <c r="J15907"/>
    </row>
    <row r="15908" spans="9:10" x14ac:dyDescent="0.3">
      <c r="I15908"/>
      <c r="J15908"/>
    </row>
    <row r="15909" spans="9:10" x14ac:dyDescent="0.3">
      <c r="I15909"/>
      <c r="J15909"/>
    </row>
    <row r="15910" spans="9:10" x14ac:dyDescent="0.3">
      <c r="I15910"/>
      <c r="J15910"/>
    </row>
    <row r="15911" spans="9:10" x14ac:dyDescent="0.3">
      <c r="I15911"/>
      <c r="J15911"/>
    </row>
    <row r="15912" spans="9:10" x14ac:dyDescent="0.3">
      <c r="I15912"/>
      <c r="J15912"/>
    </row>
    <row r="15913" spans="9:10" x14ac:dyDescent="0.3">
      <c r="I15913"/>
      <c r="J15913"/>
    </row>
    <row r="15914" spans="9:10" x14ac:dyDescent="0.3">
      <c r="I15914"/>
      <c r="J15914"/>
    </row>
    <row r="15915" spans="9:10" x14ac:dyDescent="0.3">
      <c r="I15915"/>
      <c r="J15915"/>
    </row>
    <row r="15916" spans="9:10" x14ac:dyDescent="0.3">
      <c r="I15916"/>
      <c r="J15916"/>
    </row>
    <row r="15917" spans="9:10" x14ac:dyDescent="0.3">
      <c r="I15917"/>
      <c r="J15917"/>
    </row>
    <row r="15918" spans="9:10" x14ac:dyDescent="0.3">
      <c r="I15918"/>
      <c r="J15918"/>
    </row>
    <row r="15919" spans="9:10" x14ac:dyDescent="0.3">
      <c r="I15919"/>
      <c r="J15919"/>
    </row>
    <row r="15920" spans="9:10" x14ac:dyDescent="0.3">
      <c r="I15920"/>
      <c r="J15920"/>
    </row>
    <row r="15921" spans="9:10" x14ac:dyDescent="0.3">
      <c r="I15921"/>
      <c r="J15921"/>
    </row>
    <row r="15922" spans="9:10" x14ac:dyDescent="0.3">
      <c r="I15922"/>
      <c r="J15922"/>
    </row>
    <row r="15923" spans="9:10" x14ac:dyDescent="0.3">
      <c r="I15923"/>
      <c r="J15923"/>
    </row>
    <row r="15924" spans="9:10" x14ac:dyDescent="0.3">
      <c r="I15924"/>
      <c r="J15924"/>
    </row>
    <row r="15925" spans="9:10" x14ac:dyDescent="0.3">
      <c r="I15925"/>
      <c r="J15925"/>
    </row>
    <row r="15926" spans="9:10" x14ac:dyDescent="0.3">
      <c r="I15926"/>
      <c r="J15926"/>
    </row>
    <row r="15927" spans="9:10" x14ac:dyDescent="0.3">
      <c r="I15927"/>
      <c r="J15927"/>
    </row>
    <row r="15928" spans="9:10" x14ac:dyDescent="0.3">
      <c r="I15928"/>
      <c r="J15928"/>
    </row>
    <row r="15929" spans="9:10" x14ac:dyDescent="0.3">
      <c r="I15929"/>
      <c r="J15929"/>
    </row>
    <row r="15930" spans="9:10" x14ac:dyDescent="0.3">
      <c r="I15930"/>
      <c r="J15930"/>
    </row>
    <row r="15931" spans="9:10" x14ac:dyDescent="0.3">
      <c r="I15931"/>
      <c r="J15931"/>
    </row>
    <row r="15932" spans="9:10" x14ac:dyDescent="0.3">
      <c r="I15932"/>
      <c r="J15932"/>
    </row>
    <row r="15933" spans="9:10" x14ac:dyDescent="0.3">
      <c r="I15933"/>
      <c r="J15933"/>
    </row>
    <row r="15934" spans="9:10" x14ac:dyDescent="0.3">
      <c r="I15934"/>
      <c r="J15934"/>
    </row>
    <row r="15935" spans="9:10" x14ac:dyDescent="0.3">
      <c r="I15935"/>
      <c r="J15935"/>
    </row>
    <row r="15936" spans="9:10" x14ac:dyDescent="0.3">
      <c r="I15936"/>
      <c r="J15936"/>
    </row>
    <row r="15937" spans="9:10" x14ac:dyDescent="0.3">
      <c r="I15937"/>
      <c r="J15937"/>
    </row>
    <row r="15938" spans="9:10" x14ac:dyDescent="0.3">
      <c r="I15938"/>
      <c r="J15938"/>
    </row>
    <row r="15939" spans="9:10" x14ac:dyDescent="0.3">
      <c r="I15939"/>
      <c r="J15939"/>
    </row>
    <row r="15940" spans="9:10" x14ac:dyDescent="0.3">
      <c r="I15940"/>
      <c r="J15940"/>
    </row>
    <row r="15941" spans="9:10" x14ac:dyDescent="0.3">
      <c r="I15941"/>
      <c r="J15941"/>
    </row>
    <row r="15942" spans="9:10" x14ac:dyDescent="0.3">
      <c r="I15942"/>
      <c r="J15942"/>
    </row>
    <row r="15943" spans="9:10" x14ac:dyDescent="0.3">
      <c r="I15943"/>
      <c r="J15943"/>
    </row>
    <row r="15944" spans="9:10" x14ac:dyDescent="0.3">
      <c r="I15944"/>
      <c r="J15944"/>
    </row>
    <row r="15945" spans="9:10" x14ac:dyDescent="0.3">
      <c r="I15945"/>
      <c r="J15945"/>
    </row>
    <row r="15946" spans="9:10" x14ac:dyDescent="0.3">
      <c r="I15946"/>
      <c r="J15946"/>
    </row>
    <row r="15947" spans="9:10" x14ac:dyDescent="0.3">
      <c r="I15947"/>
      <c r="J15947"/>
    </row>
    <row r="15948" spans="9:10" x14ac:dyDescent="0.3">
      <c r="I15948"/>
      <c r="J15948"/>
    </row>
    <row r="15949" spans="9:10" x14ac:dyDescent="0.3">
      <c r="I15949"/>
      <c r="J15949"/>
    </row>
    <row r="15950" spans="9:10" x14ac:dyDescent="0.3">
      <c r="I15950"/>
      <c r="J15950"/>
    </row>
    <row r="15951" spans="9:10" x14ac:dyDescent="0.3">
      <c r="I15951"/>
      <c r="J15951"/>
    </row>
    <row r="15952" spans="9:10" x14ac:dyDescent="0.3">
      <c r="I15952"/>
      <c r="J15952"/>
    </row>
    <row r="15953" spans="9:10" x14ac:dyDescent="0.3">
      <c r="I15953"/>
      <c r="J15953"/>
    </row>
    <row r="15954" spans="9:10" x14ac:dyDescent="0.3">
      <c r="I15954"/>
      <c r="J15954"/>
    </row>
    <row r="15955" spans="9:10" x14ac:dyDescent="0.3">
      <c r="I15955"/>
      <c r="J15955"/>
    </row>
    <row r="15956" spans="9:10" x14ac:dyDescent="0.3">
      <c r="I15956"/>
      <c r="J15956"/>
    </row>
    <row r="15957" spans="9:10" x14ac:dyDescent="0.3">
      <c r="I15957"/>
      <c r="J15957"/>
    </row>
    <row r="15958" spans="9:10" x14ac:dyDescent="0.3">
      <c r="I15958"/>
      <c r="J15958"/>
    </row>
    <row r="15959" spans="9:10" x14ac:dyDescent="0.3">
      <c r="I15959"/>
      <c r="J15959"/>
    </row>
    <row r="15960" spans="9:10" x14ac:dyDescent="0.3">
      <c r="I15960"/>
      <c r="J15960"/>
    </row>
    <row r="15961" spans="9:10" x14ac:dyDescent="0.3">
      <c r="I15961"/>
      <c r="J15961"/>
    </row>
    <row r="15962" spans="9:10" x14ac:dyDescent="0.3">
      <c r="I15962"/>
      <c r="J15962"/>
    </row>
    <row r="15963" spans="9:10" x14ac:dyDescent="0.3">
      <c r="I15963"/>
      <c r="J15963"/>
    </row>
    <row r="15964" spans="9:10" x14ac:dyDescent="0.3">
      <c r="I15964"/>
      <c r="J15964"/>
    </row>
    <row r="15965" spans="9:10" x14ac:dyDescent="0.3">
      <c r="I15965"/>
      <c r="J15965"/>
    </row>
    <row r="15966" spans="9:10" x14ac:dyDescent="0.3">
      <c r="I15966"/>
      <c r="J15966"/>
    </row>
    <row r="15967" spans="9:10" x14ac:dyDescent="0.3">
      <c r="I15967"/>
      <c r="J15967"/>
    </row>
    <row r="15968" spans="9:10" x14ac:dyDescent="0.3">
      <c r="I15968"/>
      <c r="J15968"/>
    </row>
    <row r="15969" spans="9:10" x14ac:dyDescent="0.3">
      <c r="I15969"/>
      <c r="J15969"/>
    </row>
    <row r="15970" spans="9:10" x14ac:dyDescent="0.3">
      <c r="I15970"/>
      <c r="J15970"/>
    </row>
    <row r="15971" spans="9:10" x14ac:dyDescent="0.3">
      <c r="I15971"/>
      <c r="J15971"/>
    </row>
    <row r="15972" spans="9:10" x14ac:dyDescent="0.3">
      <c r="I15972"/>
      <c r="J15972"/>
    </row>
    <row r="15973" spans="9:10" x14ac:dyDescent="0.3">
      <c r="I15973"/>
      <c r="J15973"/>
    </row>
    <row r="15974" spans="9:10" x14ac:dyDescent="0.3">
      <c r="I15974"/>
      <c r="J15974"/>
    </row>
    <row r="15975" spans="9:10" x14ac:dyDescent="0.3">
      <c r="I15975"/>
      <c r="J15975"/>
    </row>
    <row r="15976" spans="9:10" x14ac:dyDescent="0.3">
      <c r="I15976"/>
      <c r="J15976"/>
    </row>
    <row r="15977" spans="9:10" x14ac:dyDescent="0.3">
      <c r="I15977"/>
      <c r="J15977"/>
    </row>
    <row r="15978" spans="9:10" x14ac:dyDescent="0.3">
      <c r="I15978"/>
      <c r="J15978"/>
    </row>
    <row r="15979" spans="9:10" x14ac:dyDescent="0.3">
      <c r="I15979"/>
      <c r="J15979"/>
    </row>
    <row r="15980" spans="9:10" x14ac:dyDescent="0.3">
      <c r="I15980"/>
      <c r="J15980"/>
    </row>
    <row r="15981" spans="9:10" x14ac:dyDescent="0.3">
      <c r="I15981"/>
      <c r="J15981"/>
    </row>
    <row r="15982" spans="9:10" x14ac:dyDescent="0.3">
      <c r="I15982"/>
      <c r="J15982"/>
    </row>
    <row r="15983" spans="9:10" x14ac:dyDescent="0.3">
      <c r="I15983"/>
      <c r="J15983"/>
    </row>
    <row r="15984" spans="9:10" x14ac:dyDescent="0.3">
      <c r="I15984"/>
      <c r="J15984"/>
    </row>
    <row r="15985" spans="9:10" x14ac:dyDescent="0.3">
      <c r="I15985"/>
      <c r="J15985"/>
    </row>
    <row r="15986" spans="9:10" x14ac:dyDescent="0.3">
      <c r="I15986"/>
      <c r="J15986"/>
    </row>
    <row r="15987" spans="9:10" x14ac:dyDescent="0.3">
      <c r="I15987"/>
      <c r="J15987"/>
    </row>
    <row r="15988" spans="9:10" x14ac:dyDescent="0.3">
      <c r="I15988"/>
      <c r="J15988"/>
    </row>
    <row r="15989" spans="9:10" x14ac:dyDescent="0.3">
      <c r="I15989"/>
      <c r="J15989"/>
    </row>
    <row r="15990" spans="9:10" x14ac:dyDescent="0.3">
      <c r="I15990"/>
      <c r="J15990"/>
    </row>
    <row r="15991" spans="9:10" x14ac:dyDescent="0.3">
      <c r="I15991"/>
      <c r="J15991"/>
    </row>
    <row r="15992" spans="9:10" x14ac:dyDescent="0.3">
      <c r="I15992"/>
      <c r="J15992"/>
    </row>
    <row r="15993" spans="9:10" x14ac:dyDescent="0.3">
      <c r="I15993"/>
      <c r="J15993"/>
    </row>
    <row r="15994" spans="9:10" x14ac:dyDescent="0.3">
      <c r="I15994"/>
      <c r="J15994"/>
    </row>
    <row r="15995" spans="9:10" x14ac:dyDescent="0.3">
      <c r="I15995"/>
      <c r="J15995"/>
    </row>
    <row r="15996" spans="9:10" x14ac:dyDescent="0.3">
      <c r="I15996"/>
      <c r="J15996"/>
    </row>
    <row r="15997" spans="9:10" x14ac:dyDescent="0.3">
      <c r="I15997"/>
      <c r="J15997"/>
    </row>
    <row r="15998" spans="9:10" x14ac:dyDescent="0.3">
      <c r="I15998"/>
      <c r="J15998"/>
    </row>
    <row r="15999" spans="9:10" x14ac:dyDescent="0.3">
      <c r="I15999"/>
      <c r="J15999"/>
    </row>
    <row r="16000" spans="9:10" x14ac:dyDescent="0.3">
      <c r="I16000"/>
      <c r="J16000"/>
    </row>
    <row r="16001" spans="9:10" x14ac:dyDescent="0.3">
      <c r="I16001"/>
      <c r="J16001"/>
    </row>
    <row r="16002" spans="9:10" x14ac:dyDescent="0.3">
      <c r="I16002"/>
      <c r="J16002"/>
    </row>
    <row r="16003" spans="9:10" x14ac:dyDescent="0.3">
      <c r="I16003"/>
      <c r="J16003"/>
    </row>
    <row r="16004" spans="9:10" x14ac:dyDescent="0.3">
      <c r="I16004"/>
      <c r="J16004"/>
    </row>
    <row r="16005" spans="9:10" x14ac:dyDescent="0.3">
      <c r="I16005"/>
      <c r="J16005"/>
    </row>
    <row r="16006" spans="9:10" x14ac:dyDescent="0.3">
      <c r="I16006"/>
      <c r="J16006"/>
    </row>
    <row r="16007" spans="9:10" x14ac:dyDescent="0.3">
      <c r="I16007"/>
      <c r="J16007"/>
    </row>
    <row r="16008" spans="9:10" x14ac:dyDescent="0.3">
      <c r="I16008"/>
      <c r="J16008"/>
    </row>
    <row r="16009" spans="9:10" x14ac:dyDescent="0.3">
      <c r="I16009"/>
      <c r="J16009"/>
    </row>
    <row r="16010" spans="9:10" x14ac:dyDescent="0.3">
      <c r="I16010"/>
      <c r="J16010"/>
    </row>
    <row r="16011" spans="9:10" x14ac:dyDescent="0.3">
      <c r="I16011"/>
      <c r="J16011"/>
    </row>
    <row r="16012" spans="9:10" x14ac:dyDescent="0.3">
      <c r="I16012"/>
      <c r="J16012"/>
    </row>
    <row r="16013" spans="9:10" x14ac:dyDescent="0.3">
      <c r="I16013"/>
      <c r="J16013"/>
    </row>
    <row r="16014" spans="9:10" x14ac:dyDescent="0.3">
      <c r="I16014"/>
      <c r="J16014"/>
    </row>
    <row r="16015" spans="9:10" x14ac:dyDescent="0.3">
      <c r="I16015"/>
      <c r="J16015"/>
    </row>
    <row r="16016" spans="9:10" x14ac:dyDescent="0.3">
      <c r="I16016"/>
      <c r="J16016"/>
    </row>
    <row r="16017" spans="9:10" x14ac:dyDescent="0.3">
      <c r="I16017"/>
      <c r="J16017"/>
    </row>
    <row r="16018" spans="9:10" x14ac:dyDescent="0.3">
      <c r="I16018"/>
      <c r="J16018"/>
    </row>
    <row r="16019" spans="9:10" x14ac:dyDescent="0.3">
      <c r="I16019"/>
      <c r="J16019"/>
    </row>
    <row r="16020" spans="9:10" x14ac:dyDescent="0.3">
      <c r="I16020"/>
      <c r="J16020"/>
    </row>
    <row r="16021" spans="9:10" x14ac:dyDescent="0.3">
      <c r="I16021"/>
      <c r="J16021"/>
    </row>
    <row r="16022" spans="9:10" x14ac:dyDescent="0.3">
      <c r="I16022"/>
      <c r="J16022"/>
    </row>
    <row r="16023" spans="9:10" x14ac:dyDescent="0.3">
      <c r="I16023"/>
      <c r="J16023"/>
    </row>
    <row r="16024" spans="9:10" x14ac:dyDescent="0.3">
      <c r="I16024"/>
      <c r="J16024"/>
    </row>
    <row r="16025" spans="9:10" x14ac:dyDescent="0.3">
      <c r="I16025"/>
      <c r="J16025"/>
    </row>
    <row r="16026" spans="9:10" x14ac:dyDescent="0.3">
      <c r="I16026"/>
      <c r="J16026"/>
    </row>
    <row r="16027" spans="9:10" x14ac:dyDescent="0.3">
      <c r="I16027"/>
      <c r="J16027"/>
    </row>
    <row r="16028" spans="9:10" x14ac:dyDescent="0.3">
      <c r="I16028"/>
      <c r="J16028"/>
    </row>
    <row r="16029" spans="9:10" x14ac:dyDescent="0.3">
      <c r="I16029"/>
      <c r="J16029"/>
    </row>
    <row r="16030" spans="9:10" x14ac:dyDescent="0.3">
      <c r="I16030"/>
      <c r="J16030"/>
    </row>
    <row r="16031" spans="9:10" x14ac:dyDescent="0.3">
      <c r="I16031"/>
      <c r="J16031"/>
    </row>
    <row r="16032" spans="9:10" x14ac:dyDescent="0.3">
      <c r="I16032"/>
      <c r="J16032"/>
    </row>
    <row r="16033" spans="9:10" x14ac:dyDescent="0.3">
      <c r="I16033"/>
      <c r="J16033"/>
    </row>
    <row r="16034" spans="9:10" x14ac:dyDescent="0.3">
      <c r="I16034"/>
      <c r="J16034"/>
    </row>
    <row r="16035" spans="9:10" x14ac:dyDescent="0.3">
      <c r="I16035"/>
      <c r="J16035"/>
    </row>
    <row r="16036" spans="9:10" x14ac:dyDescent="0.3">
      <c r="I16036"/>
      <c r="J16036"/>
    </row>
    <row r="16037" spans="9:10" x14ac:dyDescent="0.3">
      <c r="I16037"/>
      <c r="J16037"/>
    </row>
    <row r="16038" spans="9:10" x14ac:dyDescent="0.3">
      <c r="I16038"/>
      <c r="J16038"/>
    </row>
    <row r="16039" spans="9:10" x14ac:dyDescent="0.3">
      <c r="I16039"/>
      <c r="J16039"/>
    </row>
    <row r="16040" spans="9:10" x14ac:dyDescent="0.3">
      <c r="I16040"/>
      <c r="J16040"/>
    </row>
    <row r="16041" spans="9:10" x14ac:dyDescent="0.3">
      <c r="I16041"/>
      <c r="J16041"/>
    </row>
    <row r="16042" spans="9:10" x14ac:dyDescent="0.3">
      <c r="I16042"/>
      <c r="J16042"/>
    </row>
    <row r="16043" spans="9:10" x14ac:dyDescent="0.3">
      <c r="I16043"/>
      <c r="J16043"/>
    </row>
    <row r="16044" spans="9:10" x14ac:dyDescent="0.3">
      <c r="I16044"/>
      <c r="J16044"/>
    </row>
    <row r="16045" spans="9:10" x14ac:dyDescent="0.3">
      <c r="I16045"/>
      <c r="J16045"/>
    </row>
    <row r="16046" spans="9:10" x14ac:dyDescent="0.3">
      <c r="I16046"/>
      <c r="J16046"/>
    </row>
    <row r="16047" spans="9:10" x14ac:dyDescent="0.3">
      <c r="I16047"/>
      <c r="J16047"/>
    </row>
    <row r="16048" spans="9:10" x14ac:dyDescent="0.3">
      <c r="I16048"/>
      <c r="J16048"/>
    </row>
    <row r="16049" spans="9:10" x14ac:dyDescent="0.3">
      <c r="I16049"/>
      <c r="J16049"/>
    </row>
    <row r="16050" spans="9:10" x14ac:dyDescent="0.3">
      <c r="I16050"/>
      <c r="J16050"/>
    </row>
    <row r="16051" spans="9:10" x14ac:dyDescent="0.3">
      <c r="I16051"/>
      <c r="J16051"/>
    </row>
    <row r="16052" spans="9:10" x14ac:dyDescent="0.3">
      <c r="I16052"/>
      <c r="J16052"/>
    </row>
    <row r="16053" spans="9:10" x14ac:dyDescent="0.3">
      <c r="I16053"/>
      <c r="J16053"/>
    </row>
    <row r="16054" spans="9:10" x14ac:dyDescent="0.3">
      <c r="I16054"/>
      <c r="J16054"/>
    </row>
    <row r="16055" spans="9:10" x14ac:dyDescent="0.3">
      <c r="I16055"/>
      <c r="J16055"/>
    </row>
    <row r="16056" spans="9:10" x14ac:dyDescent="0.3">
      <c r="I16056"/>
      <c r="J16056"/>
    </row>
    <row r="16057" spans="9:10" x14ac:dyDescent="0.3">
      <c r="I16057"/>
      <c r="J16057"/>
    </row>
    <row r="16058" spans="9:10" x14ac:dyDescent="0.3">
      <c r="I16058"/>
      <c r="J16058"/>
    </row>
    <row r="16059" spans="9:10" x14ac:dyDescent="0.3">
      <c r="I16059"/>
      <c r="J16059"/>
    </row>
    <row r="16060" spans="9:10" x14ac:dyDescent="0.3">
      <c r="I16060"/>
      <c r="J16060"/>
    </row>
    <row r="16061" spans="9:10" x14ac:dyDescent="0.3">
      <c r="I16061"/>
      <c r="J16061"/>
    </row>
    <row r="16062" spans="9:10" x14ac:dyDescent="0.3">
      <c r="I16062"/>
      <c r="J16062"/>
    </row>
    <row r="16063" spans="9:10" x14ac:dyDescent="0.3">
      <c r="I16063"/>
      <c r="J16063"/>
    </row>
    <row r="16064" spans="9:10" x14ac:dyDescent="0.3">
      <c r="I16064"/>
      <c r="J16064"/>
    </row>
    <row r="16065" spans="9:10" x14ac:dyDescent="0.3">
      <c r="I16065"/>
      <c r="J16065"/>
    </row>
    <row r="16066" spans="9:10" x14ac:dyDescent="0.3">
      <c r="I16066"/>
      <c r="J16066"/>
    </row>
    <row r="16067" spans="9:10" x14ac:dyDescent="0.3">
      <c r="I16067"/>
      <c r="J16067"/>
    </row>
    <row r="16068" spans="9:10" x14ac:dyDescent="0.3">
      <c r="I16068"/>
      <c r="J16068"/>
    </row>
    <row r="16069" spans="9:10" x14ac:dyDescent="0.3">
      <c r="I16069"/>
      <c r="J16069"/>
    </row>
    <row r="16070" spans="9:10" x14ac:dyDescent="0.3">
      <c r="I16070"/>
      <c r="J16070"/>
    </row>
    <row r="16071" spans="9:10" x14ac:dyDescent="0.3">
      <c r="I16071"/>
      <c r="J16071"/>
    </row>
    <row r="16072" spans="9:10" x14ac:dyDescent="0.3">
      <c r="I16072"/>
      <c r="J16072"/>
    </row>
    <row r="16073" spans="9:10" x14ac:dyDescent="0.3">
      <c r="I16073"/>
      <c r="J16073"/>
    </row>
    <row r="16074" spans="9:10" x14ac:dyDescent="0.3">
      <c r="I16074"/>
      <c r="J16074"/>
    </row>
    <row r="16075" spans="9:10" x14ac:dyDescent="0.3">
      <c r="I16075"/>
      <c r="J16075"/>
    </row>
    <row r="16076" spans="9:10" x14ac:dyDescent="0.3">
      <c r="I16076"/>
      <c r="J16076"/>
    </row>
    <row r="16077" spans="9:10" x14ac:dyDescent="0.3">
      <c r="I16077"/>
      <c r="J16077"/>
    </row>
    <row r="16078" spans="9:10" x14ac:dyDescent="0.3">
      <c r="I16078"/>
      <c r="J16078"/>
    </row>
    <row r="16079" spans="9:10" x14ac:dyDescent="0.3">
      <c r="I16079"/>
      <c r="J16079"/>
    </row>
    <row r="16080" spans="9:10" x14ac:dyDescent="0.3">
      <c r="I16080"/>
      <c r="J16080"/>
    </row>
    <row r="16081" spans="9:10" x14ac:dyDescent="0.3">
      <c r="I16081"/>
      <c r="J16081"/>
    </row>
    <row r="16082" spans="9:10" x14ac:dyDescent="0.3">
      <c r="I16082"/>
      <c r="J16082"/>
    </row>
    <row r="16083" spans="9:10" x14ac:dyDescent="0.3">
      <c r="I16083"/>
      <c r="J16083"/>
    </row>
    <row r="16084" spans="9:10" x14ac:dyDescent="0.3">
      <c r="I16084"/>
      <c r="J16084"/>
    </row>
    <row r="16085" spans="9:10" x14ac:dyDescent="0.3">
      <c r="I16085"/>
      <c r="J16085"/>
    </row>
    <row r="16086" spans="9:10" x14ac:dyDescent="0.3">
      <c r="I16086"/>
      <c r="J16086"/>
    </row>
    <row r="16087" spans="9:10" x14ac:dyDescent="0.3">
      <c r="I16087"/>
      <c r="J16087"/>
    </row>
    <row r="16088" spans="9:10" x14ac:dyDescent="0.3">
      <c r="I16088"/>
      <c r="J16088"/>
    </row>
    <row r="16089" spans="9:10" x14ac:dyDescent="0.3">
      <c r="I16089"/>
      <c r="J16089"/>
    </row>
    <row r="16090" spans="9:10" x14ac:dyDescent="0.3">
      <c r="I16090"/>
      <c r="J16090"/>
    </row>
    <row r="16091" spans="9:10" x14ac:dyDescent="0.3">
      <c r="I16091"/>
      <c r="J16091"/>
    </row>
    <row r="16092" spans="9:10" x14ac:dyDescent="0.3">
      <c r="I16092"/>
      <c r="J16092"/>
    </row>
    <row r="16093" spans="9:10" x14ac:dyDescent="0.3">
      <c r="I16093"/>
      <c r="J16093"/>
    </row>
    <row r="16094" spans="9:10" x14ac:dyDescent="0.3">
      <c r="I16094"/>
      <c r="J16094"/>
    </row>
    <row r="16095" spans="9:10" x14ac:dyDescent="0.3">
      <c r="I16095"/>
      <c r="J16095"/>
    </row>
    <row r="16096" spans="9:10" x14ac:dyDescent="0.3">
      <c r="I16096"/>
      <c r="J16096"/>
    </row>
    <row r="16097" spans="9:10" x14ac:dyDescent="0.3">
      <c r="I16097"/>
      <c r="J16097"/>
    </row>
    <row r="16098" spans="9:10" x14ac:dyDescent="0.3">
      <c r="I16098"/>
      <c r="J16098"/>
    </row>
    <row r="16099" spans="9:10" x14ac:dyDescent="0.3">
      <c r="I16099"/>
      <c r="J16099"/>
    </row>
    <row r="16100" spans="9:10" x14ac:dyDescent="0.3">
      <c r="I16100"/>
      <c r="J16100"/>
    </row>
    <row r="16101" spans="9:10" x14ac:dyDescent="0.3">
      <c r="I16101"/>
      <c r="J16101"/>
    </row>
    <row r="16102" spans="9:10" x14ac:dyDescent="0.3">
      <c r="I16102"/>
      <c r="J16102"/>
    </row>
    <row r="16103" spans="9:10" x14ac:dyDescent="0.3">
      <c r="I16103"/>
      <c r="J16103"/>
    </row>
    <row r="16104" spans="9:10" x14ac:dyDescent="0.3">
      <c r="I16104"/>
      <c r="J16104"/>
    </row>
    <row r="16105" spans="9:10" x14ac:dyDescent="0.3">
      <c r="I16105"/>
      <c r="J16105"/>
    </row>
    <row r="16106" spans="9:10" x14ac:dyDescent="0.3">
      <c r="I16106"/>
      <c r="J16106"/>
    </row>
    <row r="16107" spans="9:10" x14ac:dyDescent="0.3">
      <c r="I16107"/>
      <c r="J16107"/>
    </row>
    <row r="16108" spans="9:10" x14ac:dyDescent="0.3">
      <c r="I16108"/>
      <c r="J16108"/>
    </row>
    <row r="16109" spans="9:10" x14ac:dyDescent="0.3">
      <c r="I16109"/>
      <c r="J16109"/>
    </row>
    <row r="16110" spans="9:10" x14ac:dyDescent="0.3">
      <c r="I16110"/>
      <c r="J16110"/>
    </row>
    <row r="16111" spans="9:10" x14ac:dyDescent="0.3">
      <c r="I16111"/>
      <c r="J16111"/>
    </row>
    <row r="16112" spans="9:10" x14ac:dyDescent="0.3">
      <c r="I16112"/>
      <c r="J16112"/>
    </row>
    <row r="16113" spans="9:10" x14ac:dyDescent="0.3">
      <c r="I16113"/>
      <c r="J16113"/>
    </row>
    <row r="16114" spans="9:10" x14ac:dyDescent="0.3">
      <c r="I16114"/>
      <c r="J16114"/>
    </row>
    <row r="16115" spans="9:10" x14ac:dyDescent="0.3">
      <c r="I16115"/>
      <c r="J16115"/>
    </row>
    <row r="16116" spans="9:10" x14ac:dyDescent="0.3">
      <c r="I16116"/>
      <c r="J16116"/>
    </row>
    <row r="16117" spans="9:10" x14ac:dyDescent="0.3">
      <c r="I16117"/>
      <c r="J16117"/>
    </row>
    <row r="16118" spans="9:10" x14ac:dyDescent="0.3">
      <c r="I16118"/>
      <c r="J16118"/>
    </row>
    <row r="16119" spans="9:10" x14ac:dyDescent="0.3">
      <c r="I16119"/>
      <c r="J16119"/>
    </row>
    <row r="16120" spans="9:10" x14ac:dyDescent="0.3">
      <c r="I16120"/>
      <c r="J16120"/>
    </row>
    <row r="16121" spans="9:10" x14ac:dyDescent="0.3">
      <c r="I16121"/>
      <c r="J16121"/>
    </row>
    <row r="16122" spans="9:10" x14ac:dyDescent="0.3">
      <c r="I16122"/>
      <c r="J16122"/>
    </row>
    <row r="16123" spans="9:10" x14ac:dyDescent="0.3">
      <c r="I16123"/>
      <c r="J16123"/>
    </row>
    <row r="16124" spans="9:10" x14ac:dyDescent="0.3">
      <c r="I16124"/>
      <c r="J16124"/>
    </row>
    <row r="16125" spans="9:10" x14ac:dyDescent="0.3">
      <c r="I16125"/>
      <c r="J16125"/>
    </row>
    <row r="16126" spans="9:10" x14ac:dyDescent="0.3">
      <c r="I16126"/>
      <c r="J16126"/>
    </row>
    <row r="16127" spans="9:10" x14ac:dyDescent="0.3">
      <c r="I16127"/>
      <c r="J16127"/>
    </row>
    <row r="16128" spans="9:10" x14ac:dyDescent="0.3">
      <c r="I16128"/>
      <c r="J16128"/>
    </row>
    <row r="16129" spans="9:10" x14ac:dyDescent="0.3">
      <c r="I16129"/>
      <c r="J16129"/>
    </row>
    <row r="16130" spans="9:10" x14ac:dyDescent="0.3">
      <c r="I16130"/>
      <c r="J16130"/>
    </row>
    <row r="16131" spans="9:10" x14ac:dyDescent="0.3">
      <c r="I16131"/>
      <c r="J16131"/>
    </row>
    <row r="16132" spans="9:10" x14ac:dyDescent="0.3">
      <c r="I16132"/>
      <c r="J16132"/>
    </row>
    <row r="16133" spans="9:10" x14ac:dyDescent="0.3">
      <c r="I16133"/>
      <c r="J16133"/>
    </row>
    <row r="16134" spans="9:10" x14ac:dyDescent="0.3">
      <c r="I16134"/>
      <c r="J16134"/>
    </row>
    <row r="16135" spans="9:10" x14ac:dyDescent="0.3">
      <c r="I16135"/>
      <c r="J16135"/>
    </row>
    <row r="16136" spans="9:10" x14ac:dyDescent="0.3">
      <c r="I16136"/>
      <c r="J16136"/>
    </row>
    <row r="16137" spans="9:10" x14ac:dyDescent="0.3">
      <c r="I16137"/>
      <c r="J16137"/>
    </row>
    <row r="16138" spans="9:10" x14ac:dyDescent="0.3">
      <c r="I16138"/>
      <c r="J16138"/>
    </row>
    <row r="16139" spans="9:10" x14ac:dyDescent="0.3">
      <c r="I16139"/>
      <c r="J16139"/>
    </row>
    <row r="16140" spans="9:10" x14ac:dyDescent="0.3">
      <c r="I16140"/>
      <c r="J16140"/>
    </row>
    <row r="16141" spans="9:10" x14ac:dyDescent="0.3">
      <c r="I16141"/>
      <c r="J16141"/>
    </row>
    <row r="16142" spans="9:10" x14ac:dyDescent="0.3">
      <c r="I16142"/>
      <c r="J16142"/>
    </row>
    <row r="16143" spans="9:10" x14ac:dyDescent="0.3">
      <c r="I16143"/>
      <c r="J16143"/>
    </row>
    <row r="16144" spans="9:10" x14ac:dyDescent="0.3">
      <c r="I16144"/>
      <c r="J16144"/>
    </row>
    <row r="16145" spans="9:10" x14ac:dyDescent="0.3">
      <c r="I16145"/>
      <c r="J16145"/>
    </row>
    <row r="16146" spans="9:10" x14ac:dyDescent="0.3">
      <c r="I16146"/>
      <c r="J16146"/>
    </row>
    <row r="16147" spans="9:10" x14ac:dyDescent="0.3">
      <c r="I16147"/>
      <c r="J16147"/>
    </row>
    <row r="16148" spans="9:10" x14ac:dyDescent="0.3">
      <c r="I16148"/>
      <c r="J16148"/>
    </row>
    <row r="16149" spans="9:10" x14ac:dyDescent="0.3">
      <c r="I16149"/>
      <c r="J16149"/>
    </row>
    <row r="16150" spans="9:10" x14ac:dyDescent="0.3">
      <c r="I16150"/>
      <c r="J16150"/>
    </row>
    <row r="16151" spans="9:10" x14ac:dyDescent="0.3">
      <c r="I16151"/>
      <c r="J16151"/>
    </row>
    <row r="16152" spans="9:10" x14ac:dyDescent="0.3">
      <c r="I16152"/>
      <c r="J16152"/>
    </row>
    <row r="16153" spans="9:10" x14ac:dyDescent="0.3">
      <c r="I16153"/>
      <c r="J16153"/>
    </row>
    <row r="16154" spans="9:10" x14ac:dyDescent="0.3">
      <c r="I16154"/>
      <c r="J16154"/>
    </row>
    <row r="16155" spans="9:10" x14ac:dyDescent="0.3">
      <c r="I16155"/>
      <c r="J16155"/>
    </row>
    <row r="16156" spans="9:10" x14ac:dyDescent="0.3">
      <c r="I16156"/>
      <c r="J16156"/>
    </row>
    <row r="16157" spans="9:10" x14ac:dyDescent="0.3">
      <c r="I16157"/>
      <c r="J16157"/>
    </row>
    <row r="16158" spans="9:10" x14ac:dyDescent="0.3">
      <c r="I16158"/>
      <c r="J16158"/>
    </row>
    <row r="16159" spans="9:10" x14ac:dyDescent="0.3">
      <c r="I16159"/>
      <c r="J16159"/>
    </row>
    <row r="16160" spans="9:10" x14ac:dyDescent="0.3">
      <c r="I16160"/>
      <c r="J16160"/>
    </row>
    <row r="16161" spans="9:10" x14ac:dyDescent="0.3">
      <c r="I16161"/>
      <c r="J16161"/>
    </row>
    <row r="16162" spans="9:10" x14ac:dyDescent="0.3">
      <c r="I16162"/>
      <c r="J16162"/>
    </row>
    <row r="16163" spans="9:10" x14ac:dyDescent="0.3">
      <c r="I16163"/>
      <c r="J16163"/>
    </row>
    <row r="16164" spans="9:10" x14ac:dyDescent="0.3">
      <c r="I16164"/>
      <c r="J16164"/>
    </row>
    <row r="16165" spans="9:10" x14ac:dyDescent="0.3">
      <c r="I16165"/>
      <c r="J16165"/>
    </row>
    <row r="16166" spans="9:10" x14ac:dyDescent="0.3">
      <c r="I16166"/>
      <c r="J16166"/>
    </row>
    <row r="16167" spans="9:10" x14ac:dyDescent="0.3">
      <c r="I16167"/>
      <c r="J16167"/>
    </row>
    <row r="16168" spans="9:10" x14ac:dyDescent="0.3">
      <c r="I16168"/>
      <c r="J16168"/>
    </row>
    <row r="16169" spans="9:10" x14ac:dyDescent="0.3">
      <c r="I16169"/>
      <c r="J16169"/>
    </row>
    <row r="16170" spans="9:10" x14ac:dyDescent="0.3">
      <c r="I16170"/>
      <c r="J16170"/>
    </row>
    <row r="16171" spans="9:10" x14ac:dyDescent="0.3">
      <c r="I16171"/>
      <c r="J16171"/>
    </row>
    <row r="16172" spans="9:10" x14ac:dyDescent="0.3">
      <c r="I16172"/>
      <c r="J16172"/>
    </row>
    <row r="16173" spans="9:10" x14ac:dyDescent="0.3">
      <c r="I16173"/>
      <c r="J16173"/>
    </row>
    <row r="16174" spans="9:10" x14ac:dyDescent="0.3">
      <c r="I16174"/>
      <c r="J16174"/>
    </row>
    <row r="16175" spans="9:10" x14ac:dyDescent="0.3">
      <c r="I16175"/>
      <c r="J16175"/>
    </row>
    <row r="16176" spans="9:10" x14ac:dyDescent="0.3">
      <c r="I16176"/>
      <c r="J16176"/>
    </row>
    <row r="16177" spans="9:10" x14ac:dyDescent="0.3">
      <c r="I16177"/>
      <c r="J16177"/>
    </row>
    <row r="16178" spans="9:10" x14ac:dyDescent="0.3">
      <c r="I16178"/>
      <c r="J16178"/>
    </row>
    <row r="16179" spans="9:10" x14ac:dyDescent="0.3">
      <c r="I16179"/>
      <c r="J16179"/>
    </row>
    <row r="16180" spans="9:10" x14ac:dyDescent="0.3">
      <c r="I16180"/>
      <c r="J16180"/>
    </row>
    <row r="16181" spans="9:10" x14ac:dyDescent="0.3">
      <c r="I16181"/>
      <c r="J16181"/>
    </row>
    <row r="16182" spans="9:10" x14ac:dyDescent="0.3">
      <c r="I16182"/>
      <c r="J16182"/>
    </row>
    <row r="16183" spans="9:10" x14ac:dyDescent="0.3">
      <c r="I16183"/>
      <c r="J16183"/>
    </row>
    <row r="16184" spans="9:10" x14ac:dyDescent="0.3">
      <c r="I16184"/>
      <c r="J16184"/>
    </row>
    <row r="16185" spans="9:10" x14ac:dyDescent="0.3">
      <c r="I16185"/>
      <c r="J16185"/>
    </row>
    <row r="16186" spans="9:10" x14ac:dyDescent="0.3">
      <c r="I16186"/>
      <c r="J16186"/>
    </row>
    <row r="16187" spans="9:10" x14ac:dyDescent="0.3">
      <c r="I16187"/>
      <c r="J16187"/>
    </row>
    <row r="16188" spans="9:10" x14ac:dyDescent="0.3">
      <c r="I16188"/>
      <c r="J16188"/>
    </row>
    <row r="16189" spans="9:10" x14ac:dyDescent="0.3">
      <c r="I16189"/>
      <c r="J16189"/>
    </row>
    <row r="16190" spans="9:10" x14ac:dyDescent="0.3">
      <c r="I16190"/>
      <c r="J16190"/>
    </row>
    <row r="16191" spans="9:10" x14ac:dyDescent="0.3">
      <c r="I16191"/>
      <c r="J16191"/>
    </row>
    <row r="16192" spans="9:10" x14ac:dyDescent="0.3">
      <c r="I16192"/>
      <c r="J16192"/>
    </row>
    <row r="16193" spans="9:10" x14ac:dyDescent="0.3">
      <c r="I16193"/>
      <c r="J16193"/>
    </row>
    <row r="16194" spans="9:10" x14ac:dyDescent="0.3">
      <c r="I16194"/>
      <c r="J16194"/>
    </row>
    <row r="16195" spans="9:10" x14ac:dyDescent="0.3">
      <c r="I16195"/>
      <c r="J16195"/>
    </row>
    <row r="16196" spans="9:10" x14ac:dyDescent="0.3">
      <c r="I16196"/>
      <c r="J16196"/>
    </row>
    <row r="16197" spans="9:10" x14ac:dyDescent="0.3">
      <c r="I16197"/>
      <c r="J16197"/>
    </row>
    <row r="16198" spans="9:10" x14ac:dyDescent="0.3">
      <c r="I16198"/>
      <c r="J16198"/>
    </row>
    <row r="16199" spans="9:10" x14ac:dyDescent="0.3">
      <c r="I16199"/>
      <c r="J16199"/>
    </row>
    <row r="16200" spans="9:10" x14ac:dyDescent="0.3">
      <c r="I16200"/>
      <c r="J16200"/>
    </row>
    <row r="16201" spans="9:10" x14ac:dyDescent="0.3">
      <c r="I16201"/>
      <c r="J16201"/>
    </row>
    <row r="16202" spans="9:10" x14ac:dyDescent="0.3">
      <c r="I16202"/>
      <c r="J16202"/>
    </row>
    <row r="16203" spans="9:10" x14ac:dyDescent="0.3">
      <c r="I16203"/>
      <c r="J16203"/>
    </row>
    <row r="16204" spans="9:10" x14ac:dyDescent="0.3">
      <c r="I16204"/>
      <c r="J16204"/>
    </row>
    <row r="16205" spans="9:10" x14ac:dyDescent="0.3">
      <c r="I16205"/>
      <c r="J16205"/>
    </row>
    <row r="16206" spans="9:10" x14ac:dyDescent="0.3">
      <c r="I16206"/>
      <c r="J16206"/>
    </row>
    <row r="16207" spans="9:10" x14ac:dyDescent="0.3">
      <c r="I16207"/>
      <c r="J16207"/>
    </row>
    <row r="16208" spans="9:10" x14ac:dyDescent="0.3">
      <c r="I16208"/>
      <c r="J16208"/>
    </row>
    <row r="16209" spans="9:10" x14ac:dyDescent="0.3">
      <c r="I16209"/>
      <c r="J16209"/>
    </row>
    <row r="16210" spans="9:10" x14ac:dyDescent="0.3">
      <c r="I16210"/>
      <c r="J16210"/>
    </row>
    <row r="16211" spans="9:10" x14ac:dyDescent="0.3">
      <c r="I16211"/>
      <c r="J16211"/>
    </row>
    <row r="16212" spans="9:10" x14ac:dyDescent="0.3">
      <c r="I16212"/>
      <c r="J16212"/>
    </row>
    <row r="16213" spans="9:10" x14ac:dyDescent="0.3">
      <c r="I16213"/>
      <c r="J16213"/>
    </row>
    <row r="16214" spans="9:10" x14ac:dyDescent="0.3">
      <c r="I16214"/>
      <c r="J16214"/>
    </row>
    <row r="16215" spans="9:10" x14ac:dyDescent="0.3">
      <c r="I16215"/>
      <c r="J16215"/>
    </row>
    <row r="16216" spans="9:10" x14ac:dyDescent="0.3">
      <c r="I16216"/>
      <c r="J16216"/>
    </row>
    <row r="16217" spans="9:10" x14ac:dyDescent="0.3">
      <c r="I16217"/>
      <c r="J16217"/>
    </row>
    <row r="16218" spans="9:10" x14ac:dyDescent="0.3">
      <c r="I16218"/>
      <c r="J16218"/>
    </row>
    <row r="16219" spans="9:10" x14ac:dyDescent="0.3">
      <c r="I16219"/>
      <c r="J16219"/>
    </row>
    <row r="16220" spans="9:10" x14ac:dyDescent="0.3">
      <c r="I16220"/>
      <c r="J16220"/>
    </row>
    <row r="16221" spans="9:10" x14ac:dyDescent="0.3">
      <c r="I16221"/>
      <c r="J16221"/>
    </row>
    <row r="16222" spans="9:10" x14ac:dyDescent="0.3">
      <c r="I16222"/>
      <c r="J16222"/>
    </row>
    <row r="16223" spans="9:10" x14ac:dyDescent="0.3">
      <c r="I16223"/>
      <c r="J16223"/>
    </row>
    <row r="16224" spans="9:10" x14ac:dyDescent="0.3">
      <c r="I16224"/>
      <c r="J16224"/>
    </row>
    <row r="16225" spans="9:10" x14ac:dyDescent="0.3">
      <c r="I16225"/>
      <c r="J16225"/>
    </row>
    <row r="16226" spans="9:10" x14ac:dyDescent="0.3">
      <c r="I16226"/>
      <c r="J16226"/>
    </row>
    <row r="16227" spans="9:10" x14ac:dyDescent="0.3">
      <c r="I16227"/>
      <c r="J16227"/>
    </row>
    <row r="16228" spans="9:10" x14ac:dyDescent="0.3">
      <c r="I16228"/>
      <c r="J16228"/>
    </row>
    <row r="16229" spans="9:10" x14ac:dyDescent="0.3">
      <c r="I16229"/>
      <c r="J16229"/>
    </row>
    <row r="16230" spans="9:10" x14ac:dyDescent="0.3">
      <c r="I16230"/>
      <c r="J16230"/>
    </row>
    <row r="16231" spans="9:10" x14ac:dyDescent="0.3">
      <c r="I16231"/>
      <c r="J16231"/>
    </row>
    <row r="16232" spans="9:10" x14ac:dyDescent="0.3">
      <c r="I16232"/>
      <c r="J16232"/>
    </row>
    <row r="16233" spans="9:10" x14ac:dyDescent="0.3">
      <c r="I16233"/>
      <c r="J16233"/>
    </row>
    <row r="16234" spans="9:10" x14ac:dyDescent="0.3">
      <c r="I16234"/>
      <c r="J16234"/>
    </row>
    <row r="16235" spans="9:10" x14ac:dyDescent="0.3">
      <c r="I16235"/>
      <c r="J16235"/>
    </row>
    <row r="16236" spans="9:10" x14ac:dyDescent="0.3">
      <c r="I16236"/>
      <c r="J16236"/>
    </row>
    <row r="16237" spans="9:10" x14ac:dyDescent="0.3">
      <c r="I16237"/>
      <c r="J16237"/>
    </row>
    <row r="16238" spans="9:10" x14ac:dyDescent="0.3">
      <c r="I16238"/>
      <c r="J16238"/>
    </row>
    <row r="16239" spans="9:10" x14ac:dyDescent="0.3">
      <c r="I16239"/>
      <c r="J16239"/>
    </row>
    <row r="16240" spans="9:10" x14ac:dyDescent="0.3">
      <c r="I16240"/>
      <c r="J16240"/>
    </row>
    <row r="16241" spans="9:10" x14ac:dyDescent="0.3">
      <c r="I16241"/>
      <c r="J16241"/>
    </row>
    <row r="16242" spans="9:10" x14ac:dyDescent="0.3">
      <c r="I16242"/>
      <c r="J16242"/>
    </row>
    <row r="16243" spans="9:10" x14ac:dyDescent="0.3">
      <c r="I16243"/>
      <c r="J16243"/>
    </row>
    <row r="16244" spans="9:10" x14ac:dyDescent="0.3">
      <c r="I16244"/>
      <c r="J16244"/>
    </row>
    <row r="16245" spans="9:10" x14ac:dyDescent="0.3">
      <c r="I16245"/>
      <c r="J16245"/>
    </row>
    <row r="16246" spans="9:10" x14ac:dyDescent="0.3">
      <c r="I16246"/>
      <c r="J16246"/>
    </row>
    <row r="16247" spans="9:10" x14ac:dyDescent="0.3">
      <c r="I16247"/>
      <c r="J16247"/>
    </row>
    <row r="16248" spans="9:10" x14ac:dyDescent="0.3">
      <c r="I16248"/>
      <c r="J16248"/>
    </row>
    <row r="16249" spans="9:10" x14ac:dyDescent="0.3">
      <c r="I16249"/>
      <c r="J16249"/>
    </row>
    <row r="16250" spans="9:10" x14ac:dyDescent="0.3">
      <c r="I16250"/>
      <c r="J16250"/>
    </row>
    <row r="16251" spans="9:10" x14ac:dyDescent="0.3">
      <c r="I16251"/>
      <c r="J16251"/>
    </row>
    <row r="16252" spans="9:10" x14ac:dyDescent="0.3">
      <c r="I16252"/>
      <c r="J16252"/>
    </row>
    <row r="16253" spans="9:10" x14ac:dyDescent="0.3">
      <c r="I16253"/>
      <c r="J16253"/>
    </row>
    <row r="16254" spans="9:10" x14ac:dyDescent="0.3">
      <c r="I16254"/>
      <c r="J16254"/>
    </row>
    <row r="16255" spans="9:10" x14ac:dyDescent="0.3">
      <c r="I16255"/>
      <c r="J16255"/>
    </row>
    <row r="16256" spans="9:10" x14ac:dyDescent="0.3">
      <c r="I16256"/>
      <c r="J16256"/>
    </row>
    <row r="16257" spans="9:10" x14ac:dyDescent="0.3">
      <c r="I16257"/>
      <c r="J16257"/>
    </row>
    <row r="16258" spans="9:10" x14ac:dyDescent="0.3">
      <c r="I16258"/>
      <c r="J16258"/>
    </row>
    <row r="16259" spans="9:10" x14ac:dyDescent="0.3">
      <c r="I16259"/>
      <c r="J16259"/>
    </row>
    <row r="16260" spans="9:10" x14ac:dyDescent="0.3">
      <c r="I16260"/>
      <c r="J16260"/>
    </row>
    <row r="16261" spans="9:10" x14ac:dyDescent="0.3">
      <c r="I16261"/>
      <c r="J16261"/>
    </row>
    <row r="16262" spans="9:10" x14ac:dyDescent="0.3">
      <c r="I16262"/>
      <c r="J16262"/>
    </row>
    <row r="16263" spans="9:10" x14ac:dyDescent="0.3">
      <c r="I16263"/>
      <c r="J16263"/>
    </row>
    <row r="16264" spans="9:10" x14ac:dyDescent="0.3">
      <c r="I16264"/>
      <c r="J16264"/>
    </row>
    <row r="16265" spans="9:10" x14ac:dyDescent="0.3">
      <c r="I16265"/>
      <c r="J16265"/>
    </row>
    <row r="16266" spans="9:10" x14ac:dyDescent="0.3">
      <c r="I16266"/>
      <c r="J16266"/>
    </row>
    <row r="16267" spans="9:10" x14ac:dyDescent="0.3">
      <c r="I16267"/>
      <c r="J16267"/>
    </row>
    <row r="16268" spans="9:10" x14ac:dyDescent="0.3">
      <c r="I16268"/>
      <c r="J16268"/>
    </row>
    <row r="16269" spans="9:10" x14ac:dyDescent="0.3">
      <c r="I16269"/>
      <c r="J16269"/>
    </row>
    <row r="16270" spans="9:10" x14ac:dyDescent="0.3">
      <c r="I16270"/>
      <c r="J16270"/>
    </row>
    <row r="16271" spans="9:10" x14ac:dyDescent="0.3">
      <c r="I16271"/>
      <c r="J16271"/>
    </row>
    <row r="16272" spans="9:10" x14ac:dyDescent="0.3">
      <c r="I16272"/>
      <c r="J16272"/>
    </row>
    <row r="16273" spans="9:10" x14ac:dyDescent="0.3">
      <c r="I16273"/>
      <c r="J16273"/>
    </row>
    <row r="16274" spans="9:10" x14ac:dyDescent="0.3">
      <c r="I16274"/>
      <c r="J16274"/>
    </row>
    <row r="16275" spans="9:10" x14ac:dyDescent="0.3">
      <c r="I16275"/>
      <c r="J16275"/>
    </row>
    <row r="16276" spans="9:10" x14ac:dyDescent="0.3">
      <c r="I16276"/>
      <c r="J16276"/>
    </row>
    <row r="16277" spans="9:10" x14ac:dyDescent="0.3">
      <c r="I16277"/>
      <c r="J16277"/>
    </row>
    <row r="16278" spans="9:10" x14ac:dyDescent="0.3">
      <c r="I16278"/>
      <c r="J16278"/>
    </row>
    <row r="16279" spans="9:10" x14ac:dyDescent="0.3">
      <c r="I16279"/>
      <c r="J16279"/>
    </row>
    <row r="16280" spans="9:10" x14ac:dyDescent="0.3">
      <c r="I16280"/>
      <c r="J16280"/>
    </row>
    <row r="16281" spans="9:10" x14ac:dyDescent="0.3">
      <c r="I16281"/>
      <c r="J16281"/>
    </row>
    <row r="16282" spans="9:10" x14ac:dyDescent="0.3">
      <c r="I16282"/>
      <c r="J16282"/>
    </row>
    <row r="16283" spans="9:10" x14ac:dyDescent="0.3">
      <c r="I16283"/>
      <c r="J16283"/>
    </row>
    <row r="16284" spans="9:10" x14ac:dyDescent="0.3">
      <c r="I16284"/>
      <c r="J16284"/>
    </row>
    <row r="16285" spans="9:10" x14ac:dyDescent="0.3">
      <c r="I16285"/>
      <c r="J16285"/>
    </row>
    <row r="16286" spans="9:10" x14ac:dyDescent="0.3">
      <c r="I16286"/>
      <c r="J16286"/>
    </row>
    <row r="16287" spans="9:10" x14ac:dyDescent="0.3">
      <c r="I16287"/>
      <c r="J16287"/>
    </row>
    <row r="16288" spans="9:10" x14ac:dyDescent="0.3">
      <c r="I16288"/>
      <c r="J16288"/>
    </row>
    <row r="16289" spans="9:10" x14ac:dyDescent="0.3">
      <c r="I16289"/>
      <c r="J16289"/>
    </row>
    <row r="16290" spans="9:10" x14ac:dyDescent="0.3">
      <c r="I16290"/>
      <c r="J16290"/>
    </row>
    <row r="16291" spans="9:10" x14ac:dyDescent="0.3">
      <c r="I16291"/>
      <c r="J16291"/>
    </row>
    <row r="16292" spans="9:10" x14ac:dyDescent="0.3">
      <c r="I16292"/>
      <c r="J16292"/>
    </row>
    <row r="16293" spans="9:10" x14ac:dyDescent="0.3">
      <c r="I16293"/>
      <c r="J16293"/>
    </row>
    <row r="16294" spans="9:10" x14ac:dyDescent="0.3">
      <c r="I16294"/>
      <c r="J16294"/>
    </row>
    <row r="16295" spans="9:10" x14ac:dyDescent="0.3">
      <c r="I16295"/>
      <c r="J16295"/>
    </row>
    <row r="16296" spans="9:10" x14ac:dyDescent="0.3">
      <c r="I16296"/>
      <c r="J16296"/>
    </row>
    <row r="16297" spans="9:10" x14ac:dyDescent="0.3">
      <c r="I16297"/>
      <c r="J16297"/>
    </row>
    <row r="16298" spans="9:10" x14ac:dyDescent="0.3">
      <c r="I16298"/>
      <c r="J16298"/>
    </row>
    <row r="16299" spans="9:10" x14ac:dyDescent="0.3">
      <c r="I16299"/>
      <c r="J16299"/>
    </row>
    <row r="16300" spans="9:10" x14ac:dyDescent="0.3">
      <c r="I16300"/>
      <c r="J16300"/>
    </row>
    <row r="16301" spans="9:10" x14ac:dyDescent="0.3">
      <c r="I16301"/>
      <c r="J16301"/>
    </row>
    <row r="16302" spans="9:10" x14ac:dyDescent="0.3">
      <c r="I16302"/>
      <c r="J16302"/>
    </row>
    <row r="16303" spans="9:10" x14ac:dyDescent="0.3">
      <c r="I16303"/>
      <c r="J16303"/>
    </row>
    <row r="16304" spans="9:10" x14ac:dyDescent="0.3">
      <c r="I16304"/>
      <c r="J16304"/>
    </row>
    <row r="16305" spans="9:10" x14ac:dyDescent="0.3">
      <c r="I16305"/>
      <c r="J16305"/>
    </row>
    <row r="16306" spans="9:10" x14ac:dyDescent="0.3">
      <c r="I16306"/>
      <c r="J16306"/>
    </row>
    <row r="16307" spans="9:10" x14ac:dyDescent="0.3">
      <c r="I16307"/>
      <c r="J16307"/>
    </row>
    <row r="16308" spans="9:10" x14ac:dyDescent="0.3">
      <c r="I16308"/>
      <c r="J16308"/>
    </row>
    <row r="16309" spans="9:10" x14ac:dyDescent="0.3">
      <c r="I16309"/>
      <c r="J16309"/>
    </row>
    <row r="16310" spans="9:10" x14ac:dyDescent="0.3">
      <c r="I16310"/>
      <c r="J16310"/>
    </row>
    <row r="16311" spans="9:10" x14ac:dyDescent="0.3">
      <c r="I16311"/>
      <c r="J16311"/>
    </row>
    <row r="16312" spans="9:10" x14ac:dyDescent="0.3">
      <c r="I16312"/>
      <c r="J16312"/>
    </row>
    <row r="16313" spans="9:10" x14ac:dyDescent="0.3">
      <c r="I16313"/>
      <c r="J16313"/>
    </row>
    <row r="16314" spans="9:10" x14ac:dyDescent="0.3">
      <c r="I16314"/>
      <c r="J16314"/>
    </row>
    <row r="16315" spans="9:10" x14ac:dyDescent="0.3">
      <c r="I16315"/>
      <c r="J16315"/>
    </row>
    <row r="16316" spans="9:10" x14ac:dyDescent="0.3">
      <c r="I16316"/>
      <c r="J16316"/>
    </row>
    <row r="16317" spans="9:10" x14ac:dyDescent="0.3">
      <c r="I16317"/>
      <c r="J16317"/>
    </row>
    <row r="16318" spans="9:10" x14ac:dyDescent="0.3">
      <c r="I16318"/>
      <c r="J16318"/>
    </row>
    <row r="16319" spans="9:10" x14ac:dyDescent="0.3">
      <c r="I16319"/>
      <c r="J16319"/>
    </row>
    <row r="16320" spans="9:10" x14ac:dyDescent="0.3">
      <c r="I16320"/>
      <c r="J16320"/>
    </row>
    <row r="16321" spans="9:10" x14ac:dyDescent="0.3">
      <c r="I16321"/>
      <c r="J16321"/>
    </row>
    <row r="16322" spans="9:10" x14ac:dyDescent="0.3">
      <c r="I16322"/>
      <c r="J16322"/>
    </row>
    <row r="16323" spans="9:10" x14ac:dyDescent="0.3">
      <c r="I16323"/>
      <c r="J16323"/>
    </row>
    <row r="16324" spans="9:10" x14ac:dyDescent="0.3">
      <c r="I16324"/>
      <c r="J16324"/>
    </row>
    <row r="16325" spans="9:10" x14ac:dyDescent="0.3">
      <c r="I16325"/>
      <c r="J16325"/>
    </row>
    <row r="16326" spans="9:10" x14ac:dyDescent="0.3">
      <c r="I16326"/>
      <c r="J16326"/>
    </row>
    <row r="16327" spans="9:10" x14ac:dyDescent="0.3">
      <c r="I16327"/>
      <c r="J16327"/>
    </row>
    <row r="16328" spans="9:10" x14ac:dyDescent="0.3">
      <c r="I16328"/>
      <c r="J16328"/>
    </row>
    <row r="16329" spans="9:10" x14ac:dyDescent="0.3">
      <c r="I16329"/>
      <c r="J16329"/>
    </row>
    <row r="16330" spans="9:10" x14ac:dyDescent="0.3">
      <c r="I16330"/>
      <c r="J16330"/>
    </row>
    <row r="16331" spans="9:10" x14ac:dyDescent="0.3">
      <c r="I16331"/>
      <c r="J16331"/>
    </row>
    <row r="16332" spans="9:10" x14ac:dyDescent="0.3">
      <c r="I16332"/>
      <c r="J16332"/>
    </row>
    <row r="16333" spans="9:10" x14ac:dyDescent="0.3">
      <c r="I16333"/>
      <c r="J16333"/>
    </row>
    <row r="16334" spans="9:10" x14ac:dyDescent="0.3">
      <c r="I16334"/>
      <c r="J16334"/>
    </row>
    <row r="16335" spans="9:10" x14ac:dyDescent="0.3">
      <c r="I16335"/>
      <c r="J16335"/>
    </row>
    <row r="16336" spans="9:10" x14ac:dyDescent="0.3">
      <c r="I16336"/>
      <c r="J16336"/>
    </row>
    <row r="16337" spans="9:10" x14ac:dyDescent="0.3">
      <c r="I16337"/>
      <c r="J16337"/>
    </row>
    <row r="16338" spans="9:10" x14ac:dyDescent="0.3">
      <c r="I16338"/>
      <c r="J16338"/>
    </row>
    <row r="16339" spans="9:10" x14ac:dyDescent="0.3">
      <c r="I16339"/>
      <c r="J16339"/>
    </row>
    <row r="16340" spans="9:10" x14ac:dyDescent="0.3">
      <c r="I16340"/>
      <c r="J16340"/>
    </row>
    <row r="16341" spans="9:10" x14ac:dyDescent="0.3">
      <c r="I16341"/>
      <c r="J16341"/>
    </row>
    <row r="16342" spans="9:10" x14ac:dyDescent="0.3">
      <c r="I16342"/>
      <c r="J16342"/>
    </row>
    <row r="16343" spans="9:10" x14ac:dyDescent="0.3">
      <c r="I16343"/>
      <c r="J16343"/>
    </row>
    <row r="16344" spans="9:10" x14ac:dyDescent="0.3">
      <c r="I16344"/>
      <c r="J16344"/>
    </row>
    <row r="16345" spans="9:10" x14ac:dyDescent="0.3">
      <c r="I16345"/>
      <c r="J16345"/>
    </row>
    <row r="16346" spans="9:10" x14ac:dyDescent="0.3">
      <c r="I16346"/>
      <c r="J16346"/>
    </row>
    <row r="16347" spans="9:10" x14ac:dyDescent="0.3">
      <c r="I16347"/>
      <c r="J16347"/>
    </row>
    <row r="16348" spans="9:10" x14ac:dyDescent="0.3">
      <c r="I16348"/>
      <c r="J16348"/>
    </row>
    <row r="16349" spans="9:10" x14ac:dyDescent="0.3">
      <c r="I16349"/>
      <c r="J16349"/>
    </row>
    <row r="16350" spans="9:10" x14ac:dyDescent="0.3">
      <c r="I16350"/>
      <c r="J16350"/>
    </row>
    <row r="16351" spans="9:10" x14ac:dyDescent="0.3">
      <c r="I16351"/>
      <c r="J16351"/>
    </row>
    <row r="16352" spans="9:10" x14ac:dyDescent="0.3">
      <c r="I16352"/>
      <c r="J16352"/>
    </row>
    <row r="16353" spans="9:10" x14ac:dyDescent="0.3">
      <c r="I16353"/>
      <c r="J16353"/>
    </row>
    <row r="16354" spans="9:10" x14ac:dyDescent="0.3">
      <c r="I16354"/>
      <c r="J16354"/>
    </row>
    <row r="16355" spans="9:10" x14ac:dyDescent="0.3">
      <c r="I16355"/>
      <c r="J16355"/>
    </row>
    <row r="16356" spans="9:10" x14ac:dyDescent="0.3">
      <c r="I16356"/>
      <c r="J16356"/>
    </row>
    <row r="16357" spans="9:10" x14ac:dyDescent="0.3">
      <c r="I16357"/>
      <c r="J16357"/>
    </row>
    <row r="16358" spans="9:10" x14ac:dyDescent="0.3">
      <c r="I16358"/>
      <c r="J16358"/>
    </row>
    <row r="16359" spans="9:10" x14ac:dyDescent="0.3">
      <c r="I16359"/>
      <c r="J16359"/>
    </row>
    <row r="16360" spans="9:10" x14ac:dyDescent="0.3">
      <c r="I16360"/>
      <c r="J16360"/>
    </row>
    <row r="16361" spans="9:10" x14ac:dyDescent="0.3">
      <c r="I16361"/>
      <c r="J16361"/>
    </row>
    <row r="16362" spans="9:10" x14ac:dyDescent="0.3">
      <c r="I16362"/>
      <c r="J16362"/>
    </row>
    <row r="16363" spans="9:10" x14ac:dyDescent="0.3">
      <c r="I16363"/>
      <c r="J16363"/>
    </row>
    <row r="16364" spans="9:10" x14ac:dyDescent="0.3">
      <c r="I16364"/>
      <c r="J16364"/>
    </row>
    <row r="16365" spans="9:10" x14ac:dyDescent="0.3">
      <c r="I16365"/>
      <c r="J16365"/>
    </row>
    <row r="16366" spans="9:10" x14ac:dyDescent="0.3">
      <c r="I16366"/>
      <c r="J16366"/>
    </row>
    <row r="16367" spans="9:10" x14ac:dyDescent="0.3">
      <c r="I16367"/>
      <c r="J16367"/>
    </row>
    <row r="16368" spans="9:10" x14ac:dyDescent="0.3">
      <c r="I16368"/>
      <c r="J16368"/>
    </row>
    <row r="16369" spans="9:10" x14ac:dyDescent="0.3">
      <c r="I16369"/>
      <c r="J16369"/>
    </row>
    <row r="16370" spans="9:10" x14ac:dyDescent="0.3">
      <c r="I16370"/>
      <c r="J16370"/>
    </row>
    <row r="16371" spans="9:10" x14ac:dyDescent="0.3">
      <c r="I16371"/>
      <c r="J16371"/>
    </row>
    <row r="16372" spans="9:10" x14ac:dyDescent="0.3">
      <c r="I16372"/>
      <c r="J16372"/>
    </row>
    <row r="16373" spans="9:10" x14ac:dyDescent="0.3">
      <c r="I16373"/>
      <c r="J16373"/>
    </row>
    <row r="16374" spans="9:10" x14ac:dyDescent="0.3">
      <c r="I16374"/>
      <c r="J16374"/>
    </row>
    <row r="16375" spans="9:10" x14ac:dyDescent="0.3">
      <c r="I16375"/>
      <c r="J16375"/>
    </row>
    <row r="16376" spans="9:10" x14ac:dyDescent="0.3">
      <c r="I16376"/>
      <c r="J16376"/>
    </row>
    <row r="16377" spans="9:10" x14ac:dyDescent="0.3">
      <c r="I16377"/>
      <c r="J16377"/>
    </row>
    <row r="16378" spans="9:10" x14ac:dyDescent="0.3">
      <c r="I16378"/>
      <c r="J16378"/>
    </row>
    <row r="16379" spans="9:10" x14ac:dyDescent="0.3">
      <c r="I16379"/>
      <c r="J16379"/>
    </row>
  </sheetData>
  <phoneticPr fontId="1" type="noConversion"/>
  <conditionalFormatting sqref="M99:V205 M210:V210">
    <cfRule type="cellIs" dxfId="1" priority="1" operator="greaterThan">
      <formula>0</formula>
    </cfRule>
  </conditionalFormatting>
  <conditionalFormatting sqref="M2:AE98 W99:AE205 W210:AE210">
    <cfRule type="cellIs" dxfId="0" priority="2" operator="greaterThan">
      <formula>0</formula>
    </cfRule>
  </conditionalFormatting>
  <conditionalFormatting sqref="W2:X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</dc:creator>
  <cp:lastModifiedBy>帅 张</cp:lastModifiedBy>
  <dcterms:created xsi:type="dcterms:W3CDTF">2015-06-05T18:19:34Z</dcterms:created>
  <dcterms:modified xsi:type="dcterms:W3CDTF">2026-01-19T18:09:22Z</dcterms:modified>
</cp:coreProperties>
</file>